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las Maua 2026\Excel PAE\"/>
    </mc:Choice>
  </mc:AlternateContent>
  <xr:revisionPtr revIDLastSave="0" documentId="13_ncr:1_{D2A868D2-AB54-4C61-956B-E896F6EF8C07}" xr6:coauthVersionLast="47" xr6:coauthVersionMax="47" xr10:uidLastSave="{00000000-0000-0000-0000-000000000000}"/>
  <bookViews>
    <workbookView xWindow="-108" yWindow="-108" windowWidth="23256" windowHeight="12456" activeTab="2" xr2:uid="{B8FF9EE4-38B6-4FAF-A387-D2C2F3B05EFA}"/>
  </bookViews>
  <sheets>
    <sheet name="Início" sheetId="6" r:id="rId1"/>
    <sheet name="Bases" sheetId="7" r:id="rId2"/>
    <sheet name="Dashboard" sheetId="8" r:id="rId3"/>
    <sheet name="Apoio" sheetId="10" r:id="rId4"/>
    <sheet name="Apoio2" sheetId="11" r:id="rId5"/>
    <sheet name="log" sheetId="4" state="veryHidden" r:id="rId6"/>
  </sheets>
  <definedNames>
    <definedName name="_xlnm._FilterDatabase" localSheetId="1" hidden="1">Bases!$A$3:$G$3557</definedName>
    <definedName name="_xleta.SUM" hidden="1" xlm="1">#NAME?</definedName>
    <definedName name="celHab">log!$A$1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8" l="1"/>
  <c r="H19" i="8"/>
  <c r="O16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5" i="8"/>
  <c r="H14" i="8"/>
  <c r="H15" i="8"/>
  <c r="H16" i="8"/>
  <c r="H17" i="8"/>
  <c r="H18" i="8"/>
  <c r="G14" i="8"/>
  <c r="G15" i="8"/>
  <c r="G16" i="8"/>
  <c r="G17" i="8"/>
  <c r="G18" i="8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2" i="11"/>
  <c r="H12" i="8"/>
  <c r="H13" i="8"/>
  <c r="H11" i="8"/>
  <c r="G12" i="8"/>
  <c r="G13" i="8"/>
  <c r="G11" i="8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3" i="10"/>
  <c r="M9" i="10"/>
  <c r="M10" i="10"/>
  <c r="M8" i="10"/>
  <c r="M16" i="8"/>
  <c r="K9" i="10"/>
  <c r="K8" i="10"/>
  <c r="Q3" i="10"/>
  <c r="P3" i="10"/>
  <c r="O3" i="10"/>
  <c r="N3" i="10"/>
  <c r="H7" i="8"/>
  <c r="H6" i="8"/>
  <c r="H5" i="8"/>
  <c r="D5" i="8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C8" i="8" l="1"/>
  <c r="G7" i="8"/>
  <c r="G6" i="8"/>
  <c r="G5" i="8"/>
  <c r="D136" i="11" l="1"/>
  <c r="D135" i="11"/>
  <c r="D133" i="11"/>
  <c r="D118" i="11"/>
  <c r="D117" i="11"/>
  <c r="D115" i="11"/>
  <c r="D113" i="11"/>
  <c r="D112" i="11"/>
  <c r="D110" i="11"/>
  <c r="D108" i="11"/>
  <c r="D107" i="11"/>
  <c r="D105" i="11"/>
  <c r="D104" i="11"/>
  <c r="D102" i="11"/>
  <c r="D100" i="11"/>
  <c r="D99" i="11"/>
  <c r="D97" i="11"/>
  <c r="D95" i="11"/>
  <c r="D94" i="11"/>
  <c r="D92" i="11"/>
  <c r="D90" i="11"/>
  <c r="D89" i="11"/>
  <c r="D87" i="11"/>
  <c r="D85" i="11"/>
  <c r="D83" i="11"/>
  <c r="D82" i="11"/>
  <c r="D80" i="11"/>
  <c r="D78" i="11"/>
  <c r="D77" i="11"/>
  <c r="D75" i="11"/>
  <c r="D74" i="11"/>
  <c r="D72" i="11"/>
  <c r="D70" i="11"/>
  <c r="D68" i="11"/>
  <c r="D66" i="11"/>
  <c r="D64" i="11"/>
  <c r="D63" i="11"/>
  <c r="D61" i="11"/>
  <c r="D59" i="11"/>
  <c r="D58" i="11"/>
  <c r="D56" i="11"/>
  <c r="D54" i="11"/>
  <c r="D51" i="11"/>
  <c r="D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69" i="11"/>
  <c r="D3" i="11"/>
  <c r="D10" i="11"/>
  <c r="D6" i="11"/>
  <c r="D134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6" i="11"/>
  <c r="D114" i="11"/>
  <c r="D111" i="11"/>
  <c r="D109" i="11"/>
  <c r="D106" i="11"/>
  <c r="D103" i="11"/>
  <c r="D101" i="11"/>
  <c r="D98" i="11"/>
  <c r="D96" i="11"/>
  <c r="D93" i="11"/>
  <c r="D91" i="11"/>
  <c r="D88" i="11"/>
  <c r="D86" i="11"/>
  <c r="D84" i="11"/>
  <c r="D81" i="11"/>
  <c r="D79" i="11"/>
  <c r="D76" i="11"/>
  <c r="D73" i="11"/>
  <c r="D71" i="11"/>
  <c r="D67" i="11"/>
  <c r="D65" i="11"/>
  <c r="D62" i="11"/>
  <c r="D60" i="11"/>
  <c r="D57" i="11"/>
  <c r="D55" i="11"/>
  <c r="D53" i="11"/>
  <c r="D52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9" i="11"/>
  <c r="D7" i="11"/>
  <c r="D5" i="11"/>
  <c r="D8" i="11"/>
  <c r="D11" i="11"/>
  <c r="D4" i="11"/>
</calcChain>
</file>

<file path=xl/sharedStrings.xml><?xml version="1.0" encoding="utf-8"?>
<sst xmlns="http://schemas.openxmlformats.org/spreadsheetml/2006/main" count="34711" uniqueCount="3805">
  <si>
    <t>Vestido</t>
  </si>
  <si>
    <t>Blusa</t>
  </si>
  <si>
    <t>Saia</t>
  </si>
  <si>
    <t>Shorts</t>
  </si>
  <si>
    <t>G</t>
  </si>
  <si>
    <t>Cadu/DESKTOP-J3SDHJ9</t>
  </si>
  <si>
    <t>start</t>
  </si>
  <si>
    <t>R.A.</t>
  </si>
  <si>
    <t>Salvo</t>
  </si>
  <si>
    <t>Fechar</t>
  </si>
  <si>
    <t>Nome:</t>
  </si>
  <si>
    <t>PAE - Dashboards e Gráficos Avançados em Excel</t>
  </si>
  <si>
    <t>caduc/DESKTOP-UQKRVP6</t>
  </si>
  <si>
    <t>Excercício Final</t>
  </si>
  <si>
    <t>- Indicadores Sugeridos</t>
  </si>
  <si>
    <t>Curva por Tamanho</t>
  </si>
  <si>
    <t>TOP 10 Cliente</t>
  </si>
  <si>
    <t>Venda por Categoria</t>
  </si>
  <si>
    <t>Método de Envio</t>
  </si>
  <si>
    <t>TOP 15 Produto</t>
  </si>
  <si>
    <t>Venda por Estado</t>
  </si>
  <si>
    <t>Método de Pagamento</t>
  </si>
  <si>
    <t>Principais Cores</t>
  </si>
  <si>
    <t>P</t>
  </si>
  <si>
    <t>Vermelho</t>
  </si>
  <si>
    <t>06687</t>
  </si>
  <si>
    <t>06687-Vermelho-P</t>
  </si>
  <si>
    <t>06687-Vermelho-G</t>
  </si>
  <si>
    <t>Verde</t>
  </si>
  <si>
    <t>06552</t>
  </si>
  <si>
    <t>06552-Verde-P</t>
  </si>
  <si>
    <t>M</t>
  </si>
  <si>
    <t>06212</t>
  </si>
  <si>
    <t>06212-Verde-M</t>
  </si>
  <si>
    <t>06041</t>
  </si>
  <si>
    <t>06041-Verde-P</t>
  </si>
  <si>
    <t>Tangerina</t>
  </si>
  <si>
    <t>06519</t>
  </si>
  <si>
    <t>06519-Tangerina-P</t>
  </si>
  <si>
    <t>Rosa</t>
  </si>
  <si>
    <t>06634</t>
  </si>
  <si>
    <t>06634-Rosa-G</t>
  </si>
  <si>
    <t>06552-Rosa-G</t>
  </si>
  <si>
    <t>06450</t>
  </si>
  <si>
    <t>06450-Rosa-G</t>
  </si>
  <si>
    <t>06380</t>
  </si>
  <si>
    <t>06380-Rosa-G</t>
  </si>
  <si>
    <t>Preto</t>
  </si>
  <si>
    <t>06577</t>
  </si>
  <si>
    <t>06577-Preto-M</t>
  </si>
  <si>
    <t>06577-Preto-G</t>
  </si>
  <si>
    <t>06378</t>
  </si>
  <si>
    <t>06378-Preto-G</t>
  </si>
  <si>
    <t>05706</t>
  </si>
  <si>
    <t>05706-Preto-G</t>
  </si>
  <si>
    <t>Amarelo</t>
  </si>
  <si>
    <t>06539</t>
  </si>
  <si>
    <t>06539-Amarelo-P</t>
  </si>
  <si>
    <t>06346</t>
  </si>
  <si>
    <t>06346-Amarelo-G</t>
  </si>
  <si>
    <t>06260</t>
  </si>
  <si>
    <t>06260-Amarelo-M</t>
  </si>
  <si>
    <t>Coral</t>
  </si>
  <si>
    <t>06771</t>
  </si>
  <si>
    <t>06771-Coral-G</t>
  </si>
  <si>
    <t>Azul</t>
  </si>
  <si>
    <t>06159</t>
  </si>
  <si>
    <t>06159-Azul-G</t>
  </si>
  <si>
    <t>06305</t>
  </si>
  <si>
    <t>06305-Rosa-P</t>
  </si>
  <si>
    <t>06305-Rosa-M</t>
  </si>
  <si>
    <t>06305-Rosa-G</t>
  </si>
  <si>
    <t>06691</t>
  </si>
  <si>
    <t>06691-Preto-P</t>
  </si>
  <si>
    <t>06691-Preto-M</t>
  </si>
  <si>
    <t>06691-Preto-G</t>
  </si>
  <si>
    <t>06143</t>
  </si>
  <si>
    <t>06143-Preto-P</t>
  </si>
  <si>
    <t>Pistache</t>
  </si>
  <si>
    <t>06143-Pistache-M</t>
  </si>
  <si>
    <t>06143-Coral-G</t>
  </si>
  <si>
    <t>Marrom</t>
  </si>
  <si>
    <t>06535</t>
  </si>
  <si>
    <t>06535-Marrom-P</t>
  </si>
  <si>
    <t>06535-Marrom-M</t>
  </si>
  <si>
    <t>06535-Marrom-G</t>
  </si>
  <si>
    <t>06438</t>
  </si>
  <si>
    <t>06438-Tangerina-G</t>
  </si>
  <si>
    <t>06620</t>
  </si>
  <si>
    <t>06620-Rosa-P</t>
  </si>
  <si>
    <t>06620-Rosa-M</t>
  </si>
  <si>
    <t>06507</t>
  </si>
  <si>
    <t>06507-Rosa-P</t>
  </si>
  <si>
    <t>06507-Rosa-G</t>
  </si>
  <si>
    <t>06438-Rosa-P</t>
  </si>
  <si>
    <t>06438-Rosa-G</t>
  </si>
  <si>
    <t>06435</t>
  </si>
  <si>
    <t>06435-Rosa-P</t>
  </si>
  <si>
    <t>06435-Rosa-M</t>
  </si>
  <si>
    <t>06260-Rosa-P</t>
  </si>
  <si>
    <t>06260-Rosa-M</t>
  </si>
  <si>
    <t>06260-Rosa-G</t>
  </si>
  <si>
    <t>05330</t>
  </si>
  <si>
    <t>05330-Rosa-P</t>
  </si>
  <si>
    <t>05330-Rosa-G</t>
  </si>
  <si>
    <t>06438-Preto-P</t>
  </si>
  <si>
    <t>06438-Preto-G</t>
  </si>
  <si>
    <t>06435-Preto-P</t>
  </si>
  <si>
    <t>06435-Preto-M</t>
  </si>
  <si>
    <t>06238</t>
  </si>
  <si>
    <t>06238-Preto-P</t>
  </si>
  <si>
    <t>06238-Preto-G</t>
  </si>
  <si>
    <t>05330-Tangerina-P</t>
  </si>
  <si>
    <t>05330-Tangerina-G</t>
  </si>
  <si>
    <t>Branco</t>
  </si>
  <si>
    <t>06620-Branco-P</t>
  </si>
  <si>
    <t>06620-Branco-M</t>
  </si>
  <si>
    <t>06450-Branco-M</t>
  </si>
  <si>
    <t>06438-Branco-P</t>
  </si>
  <si>
    <t>06531</t>
  </si>
  <si>
    <t>06531-Amarelo-P</t>
  </si>
  <si>
    <t>06531-Amarelo-M</t>
  </si>
  <si>
    <t>06531-Amarelo-G</t>
  </si>
  <si>
    <t>05330-Amarelo-P</t>
  </si>
  <si>
    <t>05330-Amarelo-G</t>
  </si>
  <si>
    <t>05330-Coral-G</t>
  </si>
  <si>
    <t>Bege</t>
  </si>
  <si>
    <t>06620-Bege-P</t>
  </si>
  <si>
    <t>06620-Azul-P</t>
  </si>
  <si>
    <t>06620-Azul-M</t>
  </si>
  <si>
    <t>06260-Azul-P</t>
  </si>
  <si>
    <t>05330-Azul-G</t>
  </si>
  <si>
    <t>06283</t>
  </si>
  <si>
    <t>06283-Vermelho-G</t>
  </si>
  <si>
    <t>06639</t>
  </si>
  <si>
    <t>06639-Verde-G</t>
  </si>
  <si>
    <t>06604</t>
  </si>
  <si>
    <t>06604-Verde-P</t>
  </si>
  <si>
    <t>06603</t>
  </si>
  <si>
    <t>06603-Verde-M</t>
  </si>
  <si>
    <t>06585</t>
  </si>
  <si>
    <t>06585-Verde-P</t>
  </si>
  <si>
    <t>06523</t>
  </si>
  <si>
    <t>06523-Verde-P</t>
  </si>
  <si>
    <t>06512</t>
  </si>
  <si>
    <t>06512-Verde-P</t>
  </si>
  <si>
    <t>06510</t>
  </si>
  <si>
    <t>06510-Verde-M</t>
  </si>
  <si>
    <t>06380-Verde-P</t>
  </si>
  <si>
    <t>06603-Tangerina-P</t>
  </si>
  <si>
    <t>06639-Rosa-P</t>
  </si>
  <si>
    <t>06602</t>
  </si>
  <si>
    <t>06602-Rosa-G</t>
  </si>
  <si>
    <t>06512-Rosa-M</t>
  </si>
  <si>
    <t>06401</t>
  </si>
  <si>
    <t>06401-Rosa-M</t>
  </si>
  <si>
    <t>06380-Rosa-M</t>
  </si>
  <si>
    <t>06604-Preto-G</t>
  </si>
  <si>
    <t>06603-Preto-P</t>
  </si>
  <si>
    <t>06510-Preto-P</t>
  </si>
  <si>
    <t>06368</t>
  </si>
  <si>
    <t>06368-Preto-M</t>
  </si>
  <si>
    <t>06260-Preto-P</t>
  </si>
  <si>
    <t>06603-Branco-M</t>
  </si>
  <si>
    <t>06585-Branco-G</t>
  </si>
  <si>
    <t>06510-Branco-G</t>
  </si>
  <si>
    <t>06283-Branco-P</t>
  </si>
  <si>
    <t>06497</t>
  </si>
  <si>
    <t>06497-Azul-P</t>
  </si>
  <si>
    <t>06602-Amarelo-P</t>
  </si>
  <si>
    <t>06509</t>
  </si>
  <si>
    <t>06509-Verde-P</t>
  </si>
  <si>
    <t>06474</t>
  </si>
  <si>
    <t>06474-Verde-G</t>
  </si>
  <si>
    <t>06158</t>
  </si>
  <si>
    <t>06158-Verde-G</t>
  </si>
  <si>
    <t>06633</t>
  </si>
  <si>
    <t>06633-Tangerina-M</t>
  </si>
  <si>
    <t>06555</t>
  </si>
  <si>
    <t>06555-Tangerina-P</t>
  </si>
  <si>
    <t>06506</t>
  </si>
  <si>
    <t>06506-Tangerina-M</t>
  </si>
  <si>
    <t>06506-Tangerina-G</t>
  </si>
  <si>
    <t>06500</t>
  </si>
  <si>
    <t>06500-Tangerina-P</t>
  </si>
  <si>
    <t>06482</t>
  </si>
  <si>
    <t>06482-Tangerina-M</t>
  </si>
  <si>
    <t>06482-Tangerina-G</t>
  </si>
  <si>
    <t>06474-Tangerina-P</t>
  </si>
  <si>
    <t>06257</t>
  </si>
  <si>
    <t>06257-Tangerina-G</t>
  </si>
  <si>
    <t>06134</t>
  </si>
  <si>
    <t>06134-Tangerina-P</t>
  </si>
  <si>
    <t>06100</t>
  </si>
  <si>
    <t>06100-Tangerina-P</t>
  </si>
  <si>
    <t>06294</t>
  </si>
  <si>
    <t>06294-Rosa-G</t>
  </si>
  <si>
    <t>06293</t>
  </si>
  <si>
    <t>06293-Rosa-G</t>
  </si>
  <si>
    <t>06155</t>
  </si>
  <si>
    <t>06155-Rosa-M</t>
  </si>
  <si>
    <t>04733</t>
  </si>
  <si>
    <t>04733-Rosa-P</t>
  </si>
  <si>
    <t>GG</t>
  </si>
  <si>
    <t>C1594</t>
  </si>
  <si>
    <t>C1594-Preto-GG</t>
  </si>
  <si>
    <t>C1594-Preto-G</t>
  </si>
  <si>
    <t>06670</t>
  </si>
  <si>
    <t>06670-Preto-G</t>
  </si>
  <si>
    <t>06622</t>
  </si>
  <si>
    <t>06622-Preto-M</t>
  </si>
  <si>
    <t>06545</t>
  </si>
  <si>
    <t>06545-Preto-M</t>
  </si>
  <si>
    <t>06471</t>
  </si>
  <si>
    <t>06471-Preto-M</t>
  </si>
  <si>
    <t>06413</t>
  </si>
  <si>
    <t>06413-Preto-M</t>
  </si>
  <si>
    <t>06379</t>
  </si>
  <si>
    <t>06379-Preto-M</t>
  </si>
  <si>
    <t>06368-Preto-P</t>
  </si>
  <si>
    <t>06328</t>
  </si>
  <si>
    <t>06328-Preto-M</t>
  </si>
  <si>
    <t>06213</t>
  </si>
  <si>
    <t>06213-Preto-GG</t>
  </si>
  <si>
    <t>06134-Preto-P</t>
  </si>
  <si>
    <t>06134-Preto-M</t>
  </si>
  <si>
    <t>06100-Preto-M</t>
  </si>
  <si>
    <t>Prata</t>
  </si>
  <si>
    <t>05014</t>
  </si>
  <si>
    <t>05014-Prata-P</t>
  </si>
  <si>
    <t>06551</t>
  </si>
  <si>
    <t>06551-Tangerina-M</t>
  </si>
  <si>
    <t>06672</t>
  </si>
  <si>
    <t>06672-Branco-P</t>
  </si>
  <si>
    <t>06616</t>
  </si>
  <si>
    <t>06616-Branco-P</t>
  </si>
  <si>
    <t>06492</t>
  </si>
  <si>
    <t>06492-Branco-M</t>
  </si>
  <si>
    <t>06134-Branco-M</t>
  </si>
  <si>
    <t>06111</t>
  </si>
  <si>
    <t>06111-Branco-P</t>
  </si>
  <si>
    <t>Vinho</t>
  </si>
  <si>
    <t>C1594-Vinho-G</t>
  </si>
  <si>
    <t>C0008</t>
  </si>
  <si>
    <t>C0008-Vinho-GG</t>
  </si>
  <si>
    <t>06551-Amarelo-P</t>
  </si>
  <si>
    <t>06356</t>
  </si>
  <si>
    <t>06356-Amarelo-P</t>
  </si>
  <si>
    <t>06294-Amarelo-M</t>
  </si>
  <si>
    <t>06293-Amarelo-M</t>
  </si>
  <si>
    <t>06213-Amarelo-G</t>
  </si>
  <si>
    <t>06356-Coral-M</t>
  </si>
  <si>
    <t>06318</t>
  </si>
  <si>
    <t>06318-Coral-M</t>
  </si>
  <si>
    <t>Laranja</t>
  </si>
  <si>
    <t>06525</t>
  </si>
  <si>
    <t>06525-Laranja-M</t>
  </si>
  <si>
    <t>06525-Laranja-G</t>
  </si>
  <si>
    <t>06414</t>
  </si>
  <si>
    <t>06414-Laranja-M</t>
  </si>
  <si>
    <t>06379-Coral-G</t>
  </si>
  <si>
    <t>06364</t>
  </si>
  <si>
    <t>06364-Azul-G</t>
  </si>
  <si>
    <t>06474-Amarelo-M</t>
  </si>
  <si>
    <t>06235</t>
  </si>
  <si>
    <t>06235-Rosa-M</t>
  </si>
  <si>
    <t>C1594-Preto-M</t>
  </si>
  <si>
    <t>06335</t>
  </si>
  <si>
    <t>06335-Preto-G</t>
  </si>
  <si>
    <t>C1594-Branco-P</t>
  </si>
  <si>
    <t>C1594-Branco-G</t>
  </si>
  <si>
    <t>06500-Branco-M</t>
  </si>
  <si>
    <t>06348</t>
  </si>
  <si>
    <t>06348-Verde-P</t>
  </si>
  <si>
    <t>06577-Amarelo-M</t>
  </si>
  <si>
    <t>06523-Coral-M</t>
  </si>
  <si>
    <t>Salmão</t>
  </si>
  <si>
    <t>C1594-Salmão-G</t>
  </si>
  <si>
    <t>C1594-Amarelo-M</t>
  </si>
  <si>
    <t>C2904</t>
  </si>
  <si>
    <t>C2904-Vermelho-GG</t>
  </si>
  <si>
    <t>C0084</t>
  </si>
  <si>
    <t>C0084-Vermelho-GG</t>
  </si>
  <si>
    <t>C1594-Salmão-P</t>
  </si>
  <si>
    <t>C0084-Rosa-GG</t>
  </si>
  <si>
    <t>05698</t>
  </si>
  <si>
    <t>05698-Rosa-GG</t>
  </si>
  <si>
    <t>06346-Preto-M</t>
  </si>
  <si>
    <t>05706-Preto-P</t>
  </si>
  <si>
    <t>C1594-Verde-P</t>
  </si>
  <si>
    <t>C1594-Coral-M</t>
  </si>
  <si>
    <t>06299</t>
  </si>
  <si>
    <t>06299-Marrom-M</t>
  </si>
  <si>
    <t>06120</t>
  </si>
  <si>
    <t>06120-Coral-P</t>
  </si>
  <si>
    <t>C0008-Azul-GG</t>
  </si>
  <si>
    <t>C0084-Amarelo-M</t>
  </si>
  <si>
    <t>06672-Preto-P</t>
  </si>
  <si>
    <t>06672-Preto-M</t>
  </si>
  <si>
    <t>06672-Preto-G</t>
  </si>
  <si>
    <t>06159-Preto-P</t>
  </si>
  <si>
    <t>06159-Preto-G</t>
  </si>
  <si>
    <t>06158-Branco-M</t>
  </si>
  <si>
    <t>06158-Branco-G</t>
  </si>
  <si>
    <t>06606</t>
  </si>
  <si>
    <t>06606-Rosa-P</t>
  </si>
  <si>
    <t>06346-Preto-G</t>
  </si>
  <si>
    <t>06346-Branco-P</t>
  </si>
  <si>
    <t>06687-Amarelo-M</t>
  </si>
  <si>
    <t>06691-Rosa-P</t>
  </si>
  <si>
    <t>06493</t>
  </si>
  <si>
    <t>06493-Rosa-M</t>
  </si>
  <si>
    <t>06364-Rosa-G</t>
  </si>
  <si>
    <t>06213-Rosa-GG</t>
  </si>
  <si>
    <t>06711</t>
  </si>
  <si>
    <t>06711-Preto-M</t>
  </si>
  <si>
    <t>06688</t>
  </si>
  <si>
    <t>06688-Preto-M</t>
  </si>
  <si>
    <t>06687-Preto-M</t>
  </si>
  <si>
    <t>06688-Branco-P</t>
  </si>
  <si>
    <t>06577-Branco-M</t>
  </si>
  <si>
    <t>06213-Branco-GG</t>
  </si>
  <si>
    <t>06687-Amarelo-P</t>
  </si>
  <si>
    <t>06687-Amarelo-G</t>
  </si>
  <si>
    <t>06577-Amarelo-G</t>
  </si>
  <si>
    <t>06356-Amarelo-G</t>
  </si>
  <si>
    <t>06356-Coral-G</t>
  </si>
  <si>
    <t>06703</t>
  </si>
  <si>
    <t>06703-Verde-G</t>
  </si>
  <si>
    <t>06558</t>
  </si>
  <si>
    <t>06558-Verde-M</t>
  </si>
  <si>
    <t>06691-Tangerina-P</t>
  </si>
  <si>
    <t>06538</t>
  </si>
  <si>
    <t>06538-Rosa-P</t>
  </si>
  <si>
    <t>06520</t>
  </si>
  <si>
    <t>06520-Rosa-G</t>
  </si>
  <si>
    <t>06320</t>
  </si>
  <si>
    <t>06320-Preto-M</t>
  </si>
  <si>
    <t>06640</t>
  </si>
  <si>
    <t>06640-Branco-P</t>
  </si>
  <si>
    <t>06634-Branco-P</t>
  </si>
  <si>
    <t>06621</t>
  </si>
  <si>
    <t>06621-Branco-P</t>
  </si>
  <si>
    <t>06771-Coral-P</t>
  </si>
  <si>
    <t>Jeans</t>
  </si>
  <si>
    <t>BF000</t>
  </si>
  <si>
    <t>BF000-Jeans-38</t>
  </si>
  <si>
    <t>06573</t>
  </si>
  <si>
    <t>06573-Marrom-P</t>
  </si>
  <si>
    <t>06621-Bege-M</t>
  </si>
  <si>
    <t>06611</t>
  </si>
  <si>
    <t>06611-Amarelo-P</t>
  </si>
  <si>
    <t>06596</t>
  </si>
  <si>
    <t>06596-Amarelo-P</t>
  </si>
  <si>
    <t>06544</t>
  </si>
  <si>
    <t>06544-Amarelo-P</t>
  </si>
  <si>
    <t>06379-Amarelo-M</t>
  </si>
  <si>
    <t>06099</t>
  </si>
  <si>
    <t>06099-Verde-P</t>
  </si>
  <si>
    <t>06099-Verde-M</t>
  </si>
  <si>
    <t>06099-Verde-G</t>
  </si>
  <si>
    <t>06520-Rosa-M</t>
  </si>
  <si>
    <t>06235-Rosa-P</t>
  </si>
  <si>
    <t>06235-Rosa-G</t>
  </si>
  <si>
    <t>06637</t>
  </si>
  <si>
    <t>06637-Branco-P</t>
  </si>
  <si>
    <t>06637-Branco-M</t>
  </si>
  <si>
    <t>06609</t>
  </si>
  <si>
    <t>06609-Branco-M</t>
  </si>
  <si>
    <t>05330-Azul-M</t>
  </si>
  <si>
    <t>06283-Vermelho-M</t>
  </si>
  <si>
    <t>06585-Verde-G</t>
  </si>
  <si>
    <t>06356-Verde-P</t>
  </si>
  <si>
    <t>06295</t>
  </si>
  <si>
    <t>06295-Verde-G</t>
  </si>
  <si>
    <t>06283-Verde-G</t>
  </si>
  <si>
    <t>06158-Verde-P</t>
  </si>
  <si>
    <t>06554</t>
  </si>
  <si>
    <t>06554-Rosa-P</t>
  </si>
  <si>
    <t>06549</t>
  </si>
  <si>
    <t>06549-Rosa-P</t>
  </si>
  <si>
    <t>06401-Rosa-P</t>
  </si>
  <si>
    <t>06041-Preto-M</t>
  </si>
  <si>
    <t>05993</t>
  </si>
  <si>
    <t>05993-Preto-G</t>
  </si>
  <si>
    <t>06014</t>
  </si>
  <si>
    <t>06014-Pistache-P</t>
  </si>
  <si>
    <t>06585-Branco-P</t>
  </si>
  <si>
    <t>06552-Branco-M</t>
  </si>
  <si>
    <t>06041-Branco-P</t>
  </si>
  <si>
    <t>06294-Amarelo-P</t>
  </si>
  <si>
    <t>06293-Amarelo-P</t>
  </si>
  <si>
    <t>06041-Coral-P</t>
  </si>
  <si>
    <t>BF000-Jeans-42</t>
  </si>
  <si>
    <t>BF000-Jeans-40</t>
  </si>
  <si>
    <t>BF000-Jeans-36</t>
  </si>
  <si>
    <t>06301</t>
  </si>
  <si>
    <t>06301-Marrom-P</t>
  </si>
  <si>
    <t>Bronze</t>
  </si>
  <si>
    <t>06299-Bronze-M</t>
  </si>
  <si>
    <t>06159-Bege-P</t>
  </si>
  <si>
    <t>06014-Azul-M</t>
  </si>
  <si>
    <t>06603-Tangerina-M</t>
  </si>
  <si>
    <t>06621-Rosa-M</t>
  </si>
  <si>
    <t>06606-Rosa-M</t>
  </si>
  <si>
    <t>06554-Rosa-M</t>
  </si>
  <si>
    <t>06549-Rosa-M</t>
  </si>
  <si>
    <t>06611-Preto-M</t>
  </si>
  <si>
    <t>06611-Preto-G</t>
  </si>
  <si>
    <t>06603-Preto-M</t>
  </si>
  <si>
    <t>06611-Branco-G</t>
  </si>
  <si>
    <t>06606-Bege-M</t>
  </si>
  <si>
    <t>06611-Amarelo-G</t>
  </si>
  <si>
    <t>06556</t>
  </si>
  <si>
    <t>06556-Verde-M</t>
  </si>
  <si>
    <t>06378-Preto-P</t>
  </si>
  <si>
    <t>06378-Preto-M</t>
  </si>
  <si>
    <t>06556-Branco-P</t>
  </si>
  <si>
    <t>06379-Branco-P</t>
  </si>
  <si>
    <t>06479</t>
  </si>
  <si>
    <t>06479-Bege-M</t>
  </si>
  <si>
    <t>06621-Azul-M</t>
  </si>
  <si>
    <t>06621-Azul-G</t>
  </si>
  <si>
    <t>06621-Rosa-P</t>
  </si>
  <si>
    <t>06492-Rosa-P</t>
  </si>
  <si>
    <t>06490</t>
  </si>
  <si>
    <t>06490-Rosa-P</t>
  </si>
  <si>
    <t>06688-Preto-P</t>
  </si>
  <si>
    <t>06637-Preto-P</t>
  </si>
  <si>
    <t>06595</t>
  </si>
  <si>
    <t>06595-Preto-P</t>
  </si>
  <si>
    <t>06552-Preto-P</t>
  </si>
  <si>
    <t>06538-Preto-P</t>
  </si>
  <si>
    <t>06492-Preto-P</t>
  </si>
  <si>
    <t>06341</t>
  </si>
  <si>
    <t>06341-Preto-P</t>
  </si>
  <si>
    <t>06295-Preto-P</t>
  </si>
  <si>
    <t>06552-Branco-P</t>
  </si>
  <si>
    <t>06479-Bege-P</t>
  </si>
  <si>
    <t>06624</t>
  </si>
  <si>
    <t>06624-Azul-P</t>
  </si>
  <si>
    <t>06621-Azul-P</t>
  </si>
  <si>
    <t>06364-Azul-P</t>
  </si>
  <si>
    <t>06474-Tangerina-M</t>
  </si>
  <si>
    <t>06465</t>
  </si>
  <si>
    <t>06465-Tangerina-M</t>
  </si>
  <si>
    <t>06492-Rosa-M</t>
  </si>
  <si>
    <t>06465-Rosa-G</t>
  </si>
  <si>
    <t>06336</t>
  </si>
  <si>
    <t>06336-Rosa-G</t>
  </si>
  <si>
    <t>06372</t>
  </si>
  <si>
    <t>06372-Preto-G</t>
  </si>
  <si>
    <t>06041-Coral-M</t>
  </si>
  <si>
    <t>06235-Marrom-M</t>
  </si>
  <si>
    <t>06611-Amarelo-M</t>
  </si>
  <si>
    <t>06637-Verde-G</t>
  </si>
  <si>
    <t>06604-Verde-M</t>
  </si>
  <si>
    <t>06540</t>
  </si>
  <si>
    <t>06540-Verde-P</t>
  </si>
  <si>
    <t>06364-Verde-M</t>
  </si>
  <si>
    <t>06711-Rosa-M</t>
  </si>
  <si>
    <t>06540-Rosa-M</t>
  </si>
  <si>
    <t>06521</t>
  </si>
  <si>
    <t>06521-Rosa-M</t>
  </si>
  <si>
    <t>06473</t>
  </si>
  <si>
    <t>06473-Rosa-G</t>
  </si>
  <si>
    <t>06364-Rosa-P</t>
  </si>
  <si>
    <t>06711-Preto-G</t>
  </si>
  <si>
    <t>06555-Preto-M</t>
  </si>
  <si>
    <t>06634-Branco-G</t>
  </si>
  <si>
    <t>06540-Branco-M</t>
  </si>
  <si>
    <t>06540-Branco-G</t>
  </si>
  <si>
    <t>06299-Marrom-G</t>
  </si>
  <si>
    <t>06703-Verde-P</t>
  </si>
  <si>
    <t>06703-Verde-M</t>
  </si>
  <si>
    <t>06703-Preto-P</t>
  </si>
  <si>
    <t>06703-Preto-M</t>
  </si>
  <si>
    <t>06703-Preto-G</t>
  </si>
  <si>
    <t>06611-Preto-P</t>
  </si>
  <si>
    <t>06703-Branco-P</t>
  </si>
  <si>
    <t>06703-Branco-M</t>
  </si>
  <si>
    <t>06703-Branco-G</t>
  </si>
  <si>
    <t>06611-Branco-P</t>
  </si>
  <si>
    <t>06611-Branco-M</t>
  </si>
  <si>
    <t>06670-Verde-M</t>
  </si>
  <si>
    <t>06635</t>
  </si>
  <si>
    <t>06635-Verde-P</t>
  </si>
  <si>
    <t>06558-Rosa-M</t>
  </si>
  <si>
    <t>06614</t>
  </si>
  <si>
    <t>06614-Branco-M</t>
  </si>
  <si>
    <t>06328-Branco-P</t>
  </si>
  <si>
    <t>06340</t>
  </si>
  <si>
    <t>06340-Coral-G</t>
  </si>
  <si>
    <t>06635-Verde-M</t>
  </si>
  <si>
    <t>06597</t>
  </si>
  <si>
    <t>06597-Verde-P</t>
  </si>
  <si>
    <t>06506-Verde-M</t>
  </si>
  <si>
    <t>06635-Tangerina-G</t>
  </si>
  <si>
    <t>06597-Tangerina-M</t>
  </si>
  <si>
    <t>06281</t>
  </si>
  <si>
    <t>06281-Rosa-G</t>
  </si>
  <si>
    <t>06635-Branco-P</t>
  </si>
  <si>
    <t>06614-Branco-G</t>
  </si>
  <si>
    <t>06597-Branco-M</t>
  </si>
  <si>
    <t>06492-Branco-P</t>
  </si>
  <si>
    <t>06134-Branco-P</t>
  </si>
  <si>
    <t>06474-Verde-P</t>
  </si>
  <si>
    <t>06555-Tangerina-M</t>
  </si>
  <si>
    <t>06493-Rosa-P</t>
  </si>
  <si>
    <t>06380-Rosa-P</t>
  </si>
  <si>
    <t>06615</t>
  </si>
  <si>
    <t>06615-Preto-P</t>
  </si>
  <si>
    <t>06328-Preto-P</t>
  </si>
  <si>
    <t>06616-Branco-M</t>
  </si>
  <si>
    <t>06614-Branco-P</t>
  </si>
  <si>
    <t>06551-Amarelo-M</t>
  </si>
  <si>
    <t>06608</t>
  </si>
  <si>
    <t>06608-Bege-P</t>
  </si>
  <si>
    <t>06200</t>
  </si>
  <si>
    <t>06200-Amarelo-M</t>
  </si>
  <si>
    <t>06353</t>
  </si>
  <si>
    <t>06353-Vermelho-G</t>
  </si>
  <si>
    <t>06527</t>
  </si>
  <si>
    <t>06527-Verde-G</t>
  </si>
  <si>
    <t>06555-Rosa-G</t>
  </si>
  <si>
    <t>06435-Preto-G</t>
  </si>
  <si>
    <t>06622-Branco-G</t>
  </si>
  <si>
    <t>06553</t>
  </si>
  <si>
    <t>06553-Branco-G</t>
  </si>
  <si>
    <t>06517</t>
  </si>
  <si>
    <t>06517-Marrom-G</t>
  </si>
  <si>
    <t>06407</t>
  </si>
  <si>
    <t>06407-Rosa-P</t>
  </si>
  <si>
    <t>06143-Preto-M</t>
  </si>
  <si>
    <t>05842</t>
  </si>
  <si>
    <t>05842-Preto-G</t>
  </si>
  <si>
    <t>06374</t>
  </si>
  <si>
    <t>06374-Coral-P</t>
  </si>
  <si>
    <t>06373</t>
  </si>
  <si>
    <t>06373-Coral-P</t>
  </si>
  <si>
    <t>05842-Azul-P</t>
  </si>
  <si>
    <t>06555-Verde-G</t>
  </si>
  <si>
    <t>06633-Tangerina-P</t>
  </si>
  <si>
    <t>06555-Rosa-M</t>
  </si>
  <si>
    <t>06435-Rosa-G</t>
  </si>
  <si>
    <t>06328-Rosa-M</t>
  </si>
  <si>
    <t>06615-Preto-M</t>
  </si>
  <si>
    <t>04850</t>
  </si>
  <si>
    <t>04850-Marrom-P</t>
  </si>
  <si>
    <t>06494</t>
  </si>
  <si>
    <t>06494-Rosa-G</t>
  </si>
  <si>
    <t>06336-Rosa-P</t>
  </si>
  <si>
    <t>04733-Rosa-M</t>
  </si>
  <si>
    <t>06281-Preto-M</t>
  </si>
  <si>
    <t>05074</t>
  </si>
  <si>
    <t>05074-Prata-P</t>
  </si>
  <si>
    <t>05074-Prata-M</t>
  </si>
  <si>
    <t>06014-Pistache-G</t>
  </si>
  <si>
    <t>06494-Branco-P</t>
  </si>
  <si>
    <t>06336-Branco-P</t>
  </si>
  <si>
    <t>06281-Branco-G</t>
  </si>
  <si>
    <t>05074-Marrom-P</t>
  </si>
  <si>
    <t>06199</t>
  </si>
  <si>
    <t>06199-Coral-P</t>
  </si>
  <si>
    <t>06528</t>
  </si>
  <si>
    <t>06528-Branco-M</t>
  </si>
  <si>
    <t>06581</t>
  </si>
  <si>
    <t>06581-Bege-P</t>
  </si>
  <si>
    <t>06555-Verde-P</t>
  </si>
  <si>
    <t>06474-Verde-M</t>
  </si>
  <si>
    <t>06041-Verde-M</t>
  </si>
  <si>
    <t>06555-Rosa-P</t>
  </si>
  <si>
    <t>06639-Preto-G</t>
  </si>
  <si>
    <t>06299-Marrom-P</t>
  </si>
  <si>
    <t>05842-Bege-P</t>
  </si>
  <si>
    <t>Roxo</t>
  </si>
  <si>
    <t>06483</t>
  </si>
  <si>
    <t>06483-Roxo-P</t>
  </si>
  <si>
    <t>06483-Roxo-M</t>
  </si>
  <si>
    <t>06521-Rosa-P</t>
  </si>
  <si>
    <t>06622-Preto-P</t>
  </si>
  <si>
    <t>06552-Branco-G</t>
  </si>
  <si>
    <t>06328-Rosa-P</t>
  </si>
  <si>
    <t>06328-Preto-G</t>
  </si>
  <si>
    <t>06159-Preto-M</t>
  </si>
  <si>
    <t>06189</t>
  </si>
  <si>
    <t>06189-Coral-P</t>
  </si>
  <si>
    <t>06189-Azul-M</t>
  </si>
  <si>
    <t>06120-Azul-M</t>
  </si>
  <si>
    <t>06558-Verde-G</t>
  </si>
  <si>
    <t>06473-Rosa-M</t>
  </si>
  <si>
    <t>06299-Bronze-G</t>
  </si>
  <si>
    <t>06597-Verde-M</t>
  </si>
  <si>
    <t>06522</t>
  </si>
  <si>
    <t>06522-Verde-G</t>
  </si>
  <si>
    <t>06410</t>
  </si>
  <si>
    <t>06410-Verde-P</t>
  </si>
  <si>
    <t>06410-Tangerina-M</t>
  </si>
  <si>
    <t>06545-Rosa-M</t>
  </si>
  <si>
    <t>06536</t>
  </si>
  <si>
    <t>06536-Rosa-G</t>
  </si>
  <si>
    <t>06597-Preto-M</t>
  </si>
  <si>
    <t>06536-Preto-G</t>
  </si>
  <si>
    <t>06465-Preto-G</t>
  </si>
  <si>
    <t>06410-Preto-M</t>
  </si>
  <si>
    <t>06410-Preto-G</t>
  </si>
  <si>
    <t>06537</t>
  </si>
  <si>
    <t>06537-Branco-M</t>
  </si>
  <si>
    <t>06536-Branco-M</t>
  </si>
  <si>
    <t>06536-Branco-G</t>
  </si>
  <si>
    <t>06522-Branco-M</t>
  </si>
  <si>
    <t>06474-Branco-P</t>
  </si>
  <si>
    <t>06474-Branco-M</t>
  </si>
  <si>
    <t>06474-Branco-G</t>
  </si>
  <si>
    <t>06450-Branco-G</t>
  </si>
  <si>
    <t>06410-Branco-P</t>
  </si>
  <si>
    <t>06410-Branco-M</t>
  </si>
  <si>
    <t>06379-Branco-G</t>
  </si>
  <si>
    <t>06111-Branco-M</t>
  </si>
  <si>
    <t>06373-Amarelo-M</t>
  </si>
  <si>
    <t>06374-Branco-M</t>
  </si>
  <si>
    <t>06373-Branco-M</t>
  </si>
  <si>
    <t>06537-Azul-M</t>
  </si>
  <si>
    <t>06555-Verde-M</t>
  </si>
  <si>
    <t>06633-Tangerina-G</t>
  </si>
  <si>
    <t>06614-Tangerina-P</t>
  </si>
  <si>
    <t>06614-Tangerina-M</t>
  </si>
  <si>
    <t>06614-Rosa-P</t>
  </si>
  <si>
    <t>06614-Rosa-M</t>
  </si>
  <si>
    <t>06614-Rosa-G</t>
  </si>
  <si>
    <t>06614-Preto-P</t>
  </si>
  <si>
    <t>06614-Preto-M</t>
  </si>
  <si>
    <t>06614-Preto-G</t>
  </si>
  <si>
    <t>06554-Branco-P</t>
  </si>
  <si>
    <t>06554-Branco-M</t>
  </si>
  <si>
    <t>06549-Branco-P</t>
  </si>
  <si>
    <t>06549-Branco-M</t>
  </si>
  <si>
    <t>06444</t>
  </si>
  <si>
    <t>06444-Vermelho-P</t>
  </si>
  <si>
    <t>06444-Vermelho-M</t>
  </si>
  <si>
    <t>06242</t>
  </si>
  <si>
    <t>06242-Rosa-M</t>
  </si>
  <si>
    <t>C0032</t>
  </si>
  <si>
    <t>C0032-Preto-G</t>
  </si>
  <si>
    <t>06444-Preto-P</t>
  </si>
  <si>
    <t>06444-Preto-M</t>
  </si>
  <si>
    <t>06444-Preto-G</t>
  </si>
  <si>
    <t>06411</t>
  </si>
  <si>
    <t>06411-Laranja-P</t>
  </si>
  <si>
    <t>06411-Laranja-M</t>
  </si>
  <si>
    <t>06411-Laranja-G</t>
  </si>
  <si>
    <t>C0032-Amarelo-M</t>
  </si>
  <si>
    <t>06242-Amarelo-P</t>
  </si>
  <si>
    <t>06509-Verde-M</t>
  </si>
  <si>
    <t>06531-Tangerina-P</t>
  </si>
  <si>
    <t>06531-Preto-P</t>
  </si>
  <si>
    <t>06550</t>
  </si>
  <si>
    <t>06550-Branco-P</t>
  </si>
  <si>
    <t>06550-Branco-M</t>
  </si>
  <si>
    <t>06550-Branco-G</t>
  </si>
  <si>
    <t>06539-Branco-P</t>
  </si>
  <si>
    <t>06529</t>
  </si>
  <si>
    <t>06529-Branco-P</t>
  </si>
  <si>
    <t>06526</t>
  </si>
  <si>
    <t>06526-Branco-P</t>
  </si>
  <si>
    <t>06588</t>
  </si>
  <si>
    <t>06588-Verde-P</t>
  </si>
  <si>
    <t>06374-Amarelo-P</t>
  </si>
  <si>
    <t>06373-Amarelo-P</t>
  </si>
  <si>
    <t>06529-Laranja-P</t>
  </si>
  <si>
    <t>06509-Amarelo-P</t>
  </si>
  <si>
    <t>06509-Amarelo-G</t>
  </si>
  <si>
    <t>06295-Verde-M</t>
  </si>
  <si>
    <t>C2265</t>
  </si>
  <si>
    <t>C2265-Rosa-M</t>
  </si>
  <si>
    <t>06400</t>
  </si>
  <si>
    <t>06400-Rosa-M</t>
  </si>
  <si>
    <t>06295-Rosa-M</t>
  </si>
  <si>
    <t>05842-Verde-M</t>
  </si>
  <si>
    <t>06564</t>
  </si>
  <si>
    <t>06564-Bronze-M</t>
  </si>
  <si>
    <t>C2265-Bege-M</t>
  </si>
  <si>
    <t>06413-Amarelo-M</t>
  </si>
  <si>
    <t>Olaria</t>
  </si>
  <si>
    <t>C1594-Olaria-G</t>
  </si>
  <si>
    <t>C1594-Branco-GG</t>
  </si>
  <si>
    <t>06143-Branco-P</t>
  </si>
  <si>
    <t>06143-Branco-G</t>
  </si>
  <si>
    <t>C1594-Verde-G</t>
  </si>
  <si>
    <t>C1594-Vinho-M</t>
  </si>
  <si>
    <t>06258</t>
  </si>
  <si>
    <t>06258-Coral-M</t>
  </si>
  <si>
    <t>06522-Azul-M</t>
  </si>
  <si>
    <t>C1594-Amarelo-P</t>
  </si>
  <si>
    <t>C1594-Amarelo-G</t>
  </si>
  <si>
    <t>06609-Preto-P</t>
  </si>
  <si>
    <t>06456</t>
  </si>
  <si>
    <t>06456-Preto-M</t>
  </si>
  <si>
    <t>06372-Preto-P</t>
  </si>
  <si>
    <t>06372-Preto-M</t>
  </si>
  <si>
    <t>06349</t>
  </si>
  <si>
    <t>06349-Preto-P</t>
  </si>
  <si>
    <t>06349-Preto-M</t>
  </si>
  <si>
    <t>06609-Amarelo-P</t>
  </si>
  <si>
    <t>06609-Amarelo-M</t>
  </si>
  <si>
    <t>06158-Verde-M</t>
  </si>
  <si>
    <t>C1594-Tangerina-P</t>
  </si>
  <si>
    <t>C1594-Tangerina-M</t>
  </si>
  <si>
    <t>C1594-Rosa-P</t>
  </si>
  <si>
    <t>05698-Rosa-P</t>
  </si>
  <si>
    <t>C1594-Preto-P</t>
  </si>
  <si>
    <t>C0084-Preto-P</t>
  </si>
  <si>
    <t>06213-Preto-P</t>
  </si>
  <si>
    <t>06213-Preto-G</t>
  </si>
  <si>
    <t>C1594-Salmão-M</t>
  </si>
  <si>
    <t>C0084-Branco-P</t>
  </si>
  <si>
    <t>06158-Branco-P</t>
  </si>
  <si>
    <t>C1594-Verde-M</t>
  </si>
  <si>
    <t>C0084-Verde-G</t>
  </si>
  <si>
    <t>C1594-Vinho-P</t>
  </si>
  <si>
    <t>05698-Coral-P</t>
  </si>
  <si>
    <t>05698-Coral-M</t>
  </si>
  <si>
    <t>06213-Verde-P</t>
  </si>
  <si>
    <t>06213-Verde-M</t>
  </si>
  <si>
    <t>06213-Verde-G</t>
  </si>
  <si>
    <t>C1594-Bege-P</t>
  </si>
  <si>
    <t>C0084-Azul-G</t>
  </si>
  <si>
    <t>C1594-Azul-P</t>
  </si>
  <si>
    <t>C1594-Azul-M</t>
  </si>
  <si>
    <t>C0084-Azul-M</t>
  </si>
  <si>
    <t>06213-Azul-G</t>
  </si>
  <si>
    <t>06257-Tangerina-M</t>
  </si>
  <si>
    <t>06257-Rosa-G</t>
  </si>
  <si>
    <t>06345</t>
  </si>
  <si>
    <t>06345-Preto-P</t>
  </si>
  <si>
    <t>06345-Preto-M</t>
  </si>
  <si>
    <t>05706-Preto-GG</t>
  </si>
  <si>
    <t>06354</t>
  </si>
  <si>
    <t>06354-Amarelo-P</t>
  </si>
  <si>
    <t>06354-Amarelo-M</t>
  </si>
  <si>
    <t>06468</t>
  </si>
  <si>
    <t>06468-Coral-M</t>
  </si>
  <si>
    <t>05706-Verde-P</t>
  </si>
  <si>
    <t>05706-Verde-G</t>
  </si>
  <si>
    <t>06378-Marrom-P</t>
  </si>
  <si>
    <t>06378-Marrom-M</t>
  </si>
  <si>
    <t>06378-Marrom-G</t>
  </si>
  <si>
    <t>05706-Bege-G</t>
  </si>
  <si>
    <t>06468-Azul-P</t>
  </si>
  <si>
    <t>06468-Azul-M</t>
  </si>
  <si>
    <t>06468-Azul-G</t>
  </si>
  <si>
    <t>06354-Azul-P</t>
  </si>
  <si>
    <t>06354-Azul-M</t>
  </si>
  <si>
    <t>06354-Azul-G</t>
  </si>
  <si>
    <t>05706-Azul-P</t>
  </si>
  <si>
    <t>05706-Azul-M</t>
  </si>
  <si>
    <t>05706-Azul-GG</t>
  </si>
  <si>
    <t>05706-Azul-G</t>
  </si>
  <si>
    <t>06257-Amarelo-P</t>
  </si>
  <si>
    <t>06257-Amarelo-M</t>
  </si>
  <si>
    <t>06257-Amarelo-G</t>
  </si>
  <si>
    <t>05706-Amarelo-P</t>
  </si>
  <si>
    <t>05706-Amarelo-GG</t>
  </si>
  <si>
    <t>06462</t>
  </si>
  <si>
    <t>06462-Verde-P</t>
  </si>
  <si>
    <t>06407-Rosa-G</t>
  </si>
  <si>
    <t>06341-Amarelo-M</t>
  </si>
  <si>
    <t>06340-Coral-P</t>
  </si>
  <si>
    <t>06633-Rosa-G</t>
  </si>
  <si>
    <t>06526-Branco-M</t>
  </si>
  <si>
    <t>06513</t>
  </si>
  <si>
    <t>06513-Branco-G</t>
  </si>
  <si>
    <t>06536-Rosa-P</t>
  </si>
  <si>
    <t>06536-Preto-P</t>
  </si>
  <si>
    <t>06506-Preto-M</t>
  </si>
  <si>
    <t>06336-Preto-P</t>
  </si>
  <si>
    <t>06260-Tangerina-P</t>
  </si>
  <si>
    <t>06260-Tangerina-M</t>
  </si>
  <si>
    <t>06159-Verde-G</t>
  </si>
  <si>
    <t>06536-Branco-P</t>
  </si>
  <si>
    <t>06532</t>
  </si>
  <si>
    <t>06532-Branco-P</t>
  </si>
  <si>
    <t>06532-Branco-M</t>
  </si>
  <si>
    <t>06439</t>
  </si>
  <si>
    <t>06439-Branco-M</t>
  </si>
  <si>
    <t>06260-Azul-M</t>
  </si>
  <si>
    <t>06372-Vermelho-G</t>
  </si>
  <si>
    <t>06633-Rosa-M</t>
  </si>
  <si>
    <t>06633-Preto-M</t>
  </si>
  <si>
    <t>06633-Preto-G</t>
  </si>
  <si>
    <t>06446</t>
  </si>
  <si>
    <t>06446-Preto-M</t>
  </si>
  <si>
    <t>06159-Verde-M</t>
  </si>
  <si>
    <t>06111-Branco-G</t>
  </si>
  <si>
    <t>06510-Coral-P</t>
  </si>
  <si>
    <t>06635-Verde-G</t>
  </si>
  <si>
    <t>06522-Verde-P</t>
  </si>
  <si>
    <t>06528-Tangerina-M</t>
  </si>
  <si>
    <t>06616-Rosa-G</t>
  </si>
  <si>
    <t>06566</t>
  </si>
  <si>
    <t>06566-Rosa-P</t>
  </si>
  <si>
    <t>06340-Preto-P</t>
  </si>
  <si>
    <t>06475</t>
  </si>
  <si>
    <t>06475-Tangerina-M</t>
  </si>
  <si>
    <t>06622-Branco-P</t>
  </si>
  <si>
    <t>06582</t>
  </si>
  <si>
    <t>06582-Amarelo-M</t>
  </si>
  <si>
    <t>06559</t>
  </si>
  <si>
    <t>06559-Amarelo-M</t>
  </si>
  <si>
    <t>06526-Amarelo-P</t>
  </si>
  <si>
    <t>06537-Verde-G</t>
  </si>
  <si>
    <t>06456-Rosa-M</t>
  </si>
  <si>
    <t>06456-Preto-P</t>
  </si>
  <si>
    <t>06613</t>
  </si>
  <si>
    <t>06613-Bronze-P</t>
  </si>
  <si>
    <t>06612</t>
  </si>
  <si>
    <t>06612-Bronze-G</t>
  </si>
  <si>
    <t>06301-Bronze-M</t>
  </si>
  <si>
    <t>06585-Verde-M</t>
  </si>
  <si>
    <t>06285</t>
  </si>
  <si>
    <t>06285-Verde-P</t>
  </si>
  <si>
    <t>06285-Verde-M</t>
  </si>
  <si>
    <t>06134-Tangerina-M</t>
  </si>
  <si>
    <t>06345-Rosa-M</t>
  </si>
  <si>
    <t>06585-Branco-M</t>
  </si>
  <si>
    <t>06134-Azul-M</t>
  </si>
  <si>
    <t>06281-Amarelo-G</t>
  </si>
  <si>
    <t>06242-Amarelo-M</t>
  </si>
  <si>
    <t>06407-Verde-M</t>
  </si>
  <si>
    <t>06493-Preto-G</t>
  </si>
  <si>
    <t>06379-Preto-P</t>
  </si>
  <si>
    <t>06239</t>
  </si>
  <si>
    <t>06239-Preto-G</t>
  </si>
  <si>
    <t>06100-Preto-P</t>
  </si>
  <si>
    <t>06553-Branco-M</t>
  </si>
  <si>
    <t>06493-Branco-M</t>
  </si>
  <si>
    <t>06588-Verde-M</t>
  </si>
  <si>
    <t>06566-Marrom-M</t>
  </si>
  <si>
    <t>06517-Marrom-M</t>
  </si>
  <si>
    <t>06301-Marrom-M</t>
  </si>
  <si>
    <t>06301-Marrom-G</t>
  </si>
  <si>
    <t>06301-Bronze-G</t>
  </si>
  <si>
    <t>06600</t>
  </si>
  <si>
    <t>06600-Azul-P</t>
  </si>
  <si>
    <t>06600-Azul-M</t>
  </si>
  <si>
    <t>06599</t>
  </si>
  <si>
    <t>06599-Azul-M</t>
  </si>
  <si>
    <t>06375</t>
  </si>
  <si>
    <t>06375-Vermelho-P</t>
  </si>
  <si>
    <t>06283-Vermelho-P</t>
  </si>
  <si>
    <t>06213-Vermelho-P</t>
  </si>
  <si>
    <t>05698-Vermelho-G</t>
  </si>
  <si>
    <t>06637-Verde-M</t>
  </si>
  <si>
    <t>06521-Verde-P</t>
  </si>
  <si>
    <t>06506-Tangerina-P</t>
  </si>
  <si>
    <t>06482-Tangerina-P</t>
  </si>
  <si>
    <t>06519-Rosa-M</t>
  </si>
  <si>
    <t>06456-Rosa-P</t>
  </si>
  <si>
    <t>06400-Rosa-P</t>
  </si>
  <si>
    <t>05698-Rosa-M</t>
  </si>
  <si>
    <t>C0008-Olaria-M</t>
  </si>
  <si>
    <t>06375-Branco-P</t>
  </si>
  <si>
    <t>06351</t>
  </si>
  <si>
    <t>06351-Branco-P</t>
  </si>
  <si>
    <t>06354-Amarelo-G</t>
  </si>
  <si>
    <t>06559-Verde-G</t>
  </si>
  <si>
    <t>06517-Marrom-P</t>
  </si>
  <si>
    <t>06199-Coral-M</t>
  </si>
  <si>
    <t>06099-Coral-G</t>
  </si>
  <si>
    <t>06513-Marrom-M</t>
  </si>
  <si>
    <t>06512-Amarelo-M</t>
  </si>
  <si>
    <t>06481</t>
  </si>
  <si>
    <t>06481-Amarelo-M</t>
  </si>
  <si>
    <t>05706-Amarelo-G</t>
  </si>
  <si>
    <t>06550-Verde-G</t>
  </si>
  <si>
    <t>06257-Verde-P</t>
  </si>
  <si>
    <t>06257-Verde-M</t>
  </si>
  <si>
    <t>06257-Verde-GG</t>
  </si>
  <si>
    <t>06257-Verde-G</t>
  </si>
  <si>
    <t>06257-Rosa-P</t>
  </si>
  <si>
    <t>06257-Rosa-M</t>
  </si>
  <si>
    <t>06550-Preto-P</t>
  </si>
  <si>
    <t>06550-Preto-M</t>
  </si>
  <si>
    <t>06550-Preto-G</t>
  </si>
  <si>
    <t>06633-Verde-P</t>
  </si>
  <si>
    <t>06633-Verde-M</t>
  </si>
  <si>
    <t>06209</t>
  </si>
  <si>
    <t>06209-Verde-G</t>
  </si>
  <si>
    <t>06616-Rosa-P</t>
  </si>
  <si>
    <t>06616-Rosa-M</t>
  </si>
  <si>
    <t>06407-Rosa-M</t>
  </si>
  <si>
    <t>06500-Branco-P</t>
  </si>
  <si>
    <t>06331</t>
  </si>
  <si>
    <t>06331-Amarelo-M</t>
  </si>
  <si>
    <t>06209-Laranja-P</t>
  </si>
  <si>
    <t>06556-Verde-P</t>
  </si>
  <si>
    <t>06335-Rosa-G</t>
  </si>
  <si>
    <t>06534</t>
  </si>
  <si>
    <t>06534-Preto-M</t>
  </si>
  <si>
    <t>06446-Preto-G</t>
  </si>
  <si>
    <t>06553-Branco-P</t>
  </si>
  <si>
    <t>06120-Coral-G</t>
  </si>
  <si>
    <t>06120-Azul-P</t>
  </si>
  <si>
    <t>06444-Vermelho-G</t>
  </si>
  <si>
    <t>06375-Vermelho-G</t>
  </si>
  <si>
    <t>06527-Rosa-M</t>
  </si>
  <si>
    <t>06414-Rosa-M</t>
  </si>
  <si>
    <t>06014-Pistache-GG</t>
  </si>
  <si>
    <t>06375-Branco-M</t>
  </si>
  <si>
    <t>06242-Amarelo-G</t>
  </si>
  <si>
    <t>06523-Verde-G</t>
  </si>
  <si>
    <t>06597-Tangerina-P</t>
  </si>
  <si>
    <t>06633-Rosa-P</t>
  </si>
  <si>
    <t>06622-Preto-G</t>
  </si>
  <si>
    <t>06597-Preto-P</t>
  </si>
  <si>
    <t>06594</t>
  </si>
  <si>
    <t>06594-Preto-G</t>
  </si>
  <si>
    <t>06553-Preto-P</t>
  </si>
  <si>
    <t>06553-Preto-G</t>
  </si>
  <si>
    <t>06637-Verde-P</t>
  </si>
  <si>
    <t>06411-Verde-P</t>
  </si>
  <si>
    <t>06411-Verde-M</t>
  </si>
  <si>
    <t>06411-Verde-G</t>
  </si>
  <si>
    <t>06594-Rosa-P</t>
  </si>
  <si>
    <t>06553-Preto-M</t>
  </si>
  <si>
    <t>05842-Preto-P</t>
  </si>
  <si>
    <t>06622-Branco-M</t>
  </si>
  <si>
    <t>06609-Rosa-P</t>
  </si>
  <si>
    <t>06521-Verde-M</t>
  </si>
  <si>
    <t>06609-Rosa-G</t>
  </si>
  <si>
    <t>06616-Preto-P</t>
  </si>
  <si>
    <t>06612-Preto-P</t>
  </si>
  <si>
    <t>06236</t>
  </si>
  <si>
    <t>06236-Preto-G</t>
  </si>
  <si>
    <t>06331-Amarelo-P</t>
  </si>
  <si>
    <t>06609-Coral-G</t>
  </si>
  <si>
    <t>06612-Bronze-M</t>
  </si>
  <si>
    <t>06410-Verde-M</t>
  </si>
  <si>
    <t>06410-Verde-G</t>
  </si>
  <si>
    <t>06635-Tangerina-P</t>
  </si>
  <si>
    <t>06635-Tangerina-M</t>
  </si>
  <si>
    <t>06559-Amarelo-P</t>
  </si>
  <si>
    <t>06301-Bronze-P</t>
  </si>
  <si>
    <t>06299-Bronze-P</t>
  </si>
  <si>
    <t>06545-Preto-P</t>
  </si>
  <si>
    <t>06446-Preto-P</t>
  </si>
  <si>
    <t>06446-Branco-P</t>
  </si>
  <si>
    <t>06349-Vermelho-G</t>
  </si>
  <si>
    <t>06519-Tangerina-M</t>
  </si>
  <si>
    <t>C0032-Rosa-M</t>
  </si>
  <si>
    <t>06536-Rosa-M</t>
  </si>
  <si>
    <t>06506-Rosa-M</t>
  </si>
  <si>
    <t>06437</t>
  </si>
  <si>
    <t>06437-Rosa-P</t>
  </si>
  <si>
    <t>06411-Rosa-P</t>
  </si>
  <si>
    <t>C2904-Preto-G</t>
  </si>
  <si>
    <t>06452</t>
  </si>
  <si>
    <t>06452-Preto-M</t>
  </si>
  <si>
    <t>06450-Preto-M</t>
  </si>
  <si>
    <t>Azul-Marinho</t>
  </si>
  <si>
    <t>06130</t>
  </si>
  <si>
    <t>06130-Azul-Marinho-P</t>
  </si>
  <si>
    <t>C2904-Amarelo-G</t>
  </si>
  <si>
    <t>06513-Amarelo-M</t>
  </si>
  <si>
    <t>06532-Laranja-M</t>
  </si>
  <si>
    <t>06212-Laranja-M</t>
  </si>
  <si>
    <t>06120-Coral-M</t>
  </si>
  <si>
    <t>06482-Azul-M</t>
  </si>
  <si>
    <t>06472</t>
  </si>
  <si>
    <t>06472-Verde-P</t>
  </si>
  <si>
    <t>06441</t>
  </si>
  <si>
    <t>06441-Verde-P</t>
  </si>
  <si>
    <t>06526-Tangerina-P</t>
  </si>
  <si>
    <t>06531-Preto-G</t>
  </si>
  <si>
    <t>06281-Preto-G</t>
  </si>
  <si>
    <t>06526-Branco-G</t>
  </si>
  <si>
    <t>06134-Branco-G</t>
  </si>
  <si>
    <t>05987</t>
  </si>
  <si>
    <t>05987-Branco-G</t>
  </si>
  <si>
    <t>06100-Tangerina-M</t>
  </si>
  <si>
    <t>06450-Rosa-M</t>
  </si>
  <si>
    <t>06331-Rosa-M</t>
  </si>
  <si>
    <t>06331-Rosa-G</t>
  </si>
  <si>
    <t>06100-Rosa-M</t>
  </si>
  <si>
    <t>06379-Preto-G</t>
  </si>
  <si>
    <t>06320-Preto-P</t>
  </si>
  <si>
    <t>06320-Preto-G</t>
  </si>
  <si>
    <t>06224</t>
  </si>
  <si>
    <t>06224-Preto-P</t>
  </si>
  <si>
    <t>06331-Amarelo-G</t>
  </si>
  <si>
    <t>06379-Coral-P</t>
  </si>
  <si>
    <t>06379-Coral-M</t>
  </si>
  <si>
    <t>06328-Amarelo-P</t>
  </si>
  <si>
    <t>06328-Amarelo-M</t>
  </si>
  <si>
    <t>06411-Rosa-M</t>
  </si>
  <si>
    <t>06341-Rosa-M</t>
  </si>
  <si>
    <t>06580</t>
  </si>
  <si>
    <t>06580-Preto-P</t>
  </si>
  <si>
    <t>06493-Preto-P</t>
  </si>
  <si>
    <t>06450-Branco-P</t>
  </si>
  <si>
    <t>06341-Branco-P</t>
  </si>
  <si>
    <t>05706-Amarelo-M</t>
  </si>
  <si>
    <t>06372-Vermelho-M</t>
  </si>
  <si>
    <t>C1594-Verde-GG</t>
  </si>
  <si>
    <t>06458</t>
  </si>
  <si>
    <t>06458-Verde-P</t>
  </si>
  <si>
    <t>06458-Verde-M</t>
  </si>
  <si>
    <t>06458-Verde-G</t>
  </si>
  <si>
    <t>06533</t>
  </si>
  <si>
    <t>06533-Tangerina-P</t>
  </si>
  <si>
    <t>06533-Tangerina-M</t>
  </si>
  <si>
    <t>C1594-Salmão-GG</t>
  </si>
  <si>
    <t>C1594-Rosa-GG</t>
  </si>
  <si>
    <t>06533-Rosa-P</t>
  </si>
  <si>
    <t>06533-Rosa-M</t>
  </si>
  <si>
    <t>06242-Rosa-P</t>
  </si>
  <si>
    <t>C1594-Azul-Marinho-GG</t>
  </si>
  <si>
    <t>C1594-Azul-Marinho-G</t>
  </si>
  <si>
    <t>C1594-Olaria-P</t>
  </si>
  <si>
    <t>C1594-Olaria-M</t>
  </si>
  <si>
    <t>C1594-Olaria-GG</t>
  </si>
  <si>
    <t>C1594-Azul-Marinho-P</t>
  </si>
  <si>
    <t>C1594-Vinho-GG</t>
  </si>
  <si>
    <t>C1594-Marrom-P</t>
  </si>
  <si>
    <t>C1594-Marrom-M</t>
  </si>
  <si>
    <t>C1594-Marrom-G</t>
  </si>
  <si>
    <t>C1594-Amarelo-GG</t>
  </si>
  <si>
    <t>06349-Vermelho-M</t>
  </si>
  <si>
    <t>05706-Tangerina-GG</t>
  </si>
  <si>
    <t>06242-Rosa-G</t>
  </si>
  <si>
    <t>06450-Preto-G</t>
  </si>
  <si>
    <t>06349-Preto-G</t>
  </si>
  <si>
    <t>06330</t>
  </si>
  <si>
    <t>06330-Laranja-P</t>
  </si>
  <si>
    <t>05706-Bege-GG</t>
  </si>
  <si>
    <t>06281-Amarelo-P</t>
  </si>
  <si>
    <t>06523-Branco-P</t>
  </si>
  <si>
    <t>06523-Branco-G</t>
  </si>
  <si>
    <t>06436</t>
  </si>
  <si>
    <t>06436-Tangerina-P</t>
  </si>
  <si>
    <t>06294-Rosa-P</t>
  </si>
  <si>
    <t>06293-Rosa-P</t>
  </si>
  <si>
    <t>06594-Preto-M</t>
  </si>
  <si>
    <t>05330-Preto-G</t>
  </si>
  <si>
    <t>06374-Branco-P</t>
  </si>
  <si>
    <t>06373-Branco-P</t>
  </si>
  <si>
    <t>06238-Amarelo-P</t>
  </si>
  <si>
    <t>06213-Vermelho-M</t>
  </si>
  <si>
    <t>06539-Tangerina-P</t>
  </si>
  <si>
    <t>06539-Tangerina-M</t>
  </si>
  <si>
    <t>06539-Tangerina-G</t>
  </si>
  <si>
    <t>06531-Preto-M</t>
  </si>
  <si>
    <t>06213-Azul-P</t>
  </si>
  <si>
    <t>06213-Azul-M</t>
  </si>
  <si>
    <t>06379-Amarelo-P</t>
  </si>
  <si>
    <t>06536-Verde-P</t>
  </si>
  <si>
    <t>06536-Verde-G</t>
  </si>
  <si>
    <t>06531-Tangerina-M</t>
  </si>
  <si>
    <t>06531-Tangerina-G</t>
  </si>
  <si>
    <t>06526-Tangerina-M</t>
  </si>
  <si>
    <t>06526-Tangerina-G</t>
  </si>
  <si>
    <t>06536-Preto-M</t>
  </si>
  <si>
    <t>06597-Branco-P</t>
  </si>
  <si>
    <t>06559-Branco-M</t>
  </si>
  <si>
    <t>06379-Branco-M</t>
  </si>
  <si>
    <t>06331-Branco-P</t>
  </si>
  <si>
    <t>06331-Branco-G</t>
  </si>
  <si>
    <t>06100-Branco-M</t>
  </si>
  <si>
    <t>06413-Rosa-G</t>
  </si>
  <si>
    <t>06331-Rosa-P</t>
  </si>
  <si>
    <t>06224-Branco-P</t>
  </si>
  <si>
    <t>05842-Verde-P</t>
  </si>
  <si>
    <t>06340-Coral-M</t>
  </si>
  <si>
    <t>05842-Coral-M</t>
  </si>
  <si>
    <t>06594-Verde-M</t>
  </si>
  <si>
    <t>06594-Rosa-G</t>
  </si>
  <si>
    <t>06437-Rosa-M</t>
  </si>
  <si>
    <t>06422</t>
  </si>
  <si>
    <t>06422-Branco-P</t>
  </si>
  <si>
    <t>06257-Coral-M</t>
  </si>
  <si>
    <t>06407-Verde-P</t>
  </si>
  <si>
    <t>06401-Verde-P</t>
  </si>
  <si>
    <t>06400-Verde-P</t>
  </si>
  <si>
    <t>06250</t>
  </si>
  <si>
    <t>06250-Rosa-M</t>
  </si>
  <si>
    <t>06224-Preto-M</t>
  </si>
  <si>
    <t>06594-Branco-M</t>
  </si>
  <si>
    <t>06288</t>
  </si>
  <si>
    <t>06288-Coral-M</t>
  </si>
  <si>
    <t>06256</t>
  </si>
  <si>
    <t>06256-Coral-M</t>
  </si>
  <si>
    <t>06288-Azul-P</t>
  </si>
  <si>
    <t>06256-Azul-P</t>
  </si>
  <si>
    <t>06209-Verde-P</t>
  </si>
  <si>
    <t>06594-Rosa-M</t>
  </si>
  <si>
    <t>06340-Amarelo-M</t>
  </si>
  <si>
    <t>06424</t>
  </si>
  <si>
    <t>06424-Preto-P</t>
  </si>
  <si>
    <t>06525-Branco-P</t>
  </si>
  <si>
    <t>06445</t>
  </si>
  <si>
    <t>06445-Vermelho-M</t>
  </si>
  <si>
    <t>06368-Vermelho-P</t>
  </si>
  <si>
    <t>06523-Verde-M</t>
  </si>
  <si>
    <t>06500-Verde-P</t>
  </si>
  <si>
    <t>06500-Tangerina-G</t>
  </si>
  <si>
    <t>06445-Preto-G</t>
  </si>
  <si>
    <t>06386</t>
  </si>
  <si>
    <t>06386-Preto-M</t>
  </si>
  <si>
    <t>06258-Coral-G</t>
  </si>
  <si>
    <t>06036</t>
  </si>
  <si>
    <t>06036-Azul-P</t>
  </si>
  <si>
    <t>06036-Azul-M</t>
  </si>
  <si>
    <t>06258-Azul-M</t>
  </si>
  <si>
    <t>C0084-Vermelho-P</t>
  </si>
  <si>
    <t>C0084-Verde-P</t>
  </si>
  <si>
    <t>C0084-Verde-M</t>
  </si>
  <si>
    <t>Ultravioleta</t>
  </si>
  <si>
    <t>C1594-Ultravioleta-P</t>
  </si>
  <si>
    <t>C1594-Tangerina-GG</t>
  </si>
  <si>
    <t>C0084-Tangerina-P</t>
  </si>
  <si>
    <t>C0084-Tangerina-M</t>
  </si>
  <si>
    <t>C1594-Rosa-M</t>
  </si>
  <si>
    <t>C0084-Olaria-M</t>
  </si>
  <si>
    <t>C0084-Amarelo-P</t>
  </si>
  <si>
    <t>C1594-Bege-GG</t>
  </si>
  <si>
    <t>C0084-Azul-P</t>
  </si>
  <si>
    <t>C2265-Preto-GG</t>
  </si>
  <si>
    <t>05330-Amarelo-M</t>
  </si>
  <si>
    <t>06523-Coral-P</t>
  </si>
  <si>
    <t>05330-Coral-P</t>
  </si>
  <si>
    <t>C2265-Amarelo-M</t>
  </si>
  <si>
    <t>06468-Verde-M</t>
  </si>
  <si>
    <t>06452-Verde-P</t>
  </si>
  <si>
    <t>06396</t>
  </si>
  <si>
    <t>06396-Verde-P</t>
  </si>
  <si>
    <t>06396-Verde-G</t>
  </si>
  <si>
    <t>05706-Tangerina-M</t>
  </si>
  <si>
    <t>06490-Rosa-M</t>
  </si>
  <si>
    <t>06352</t>
  </si>
  <si>
    <t>06352-Preto-P</t>
  </si>
  <si>
    <t>06510-Branco-P</t>
  </si>
  <si>
    <t>06283-Branco-M</t>
  </si>
  <si>
    <t>05330-Branco-G</t>
  </si>
  <si>
    <t>06559-Verde-M</t>
  </si>
  <si>
    <t>06513-Azul-M</t>
  </si>
  <si>
    <t>06384</t>
  </si>
  <si>
    <t>06384-Verde-P</t>
  </si>
  <si>
    <t>06594-Verde-G</t>
  </si>
  <si>
    <t>06294-Rosa-M</t>
  </si>
  <si>
    <t>06256-Azul-M</t>
  </si>
  <si>
    <t>06213-Vermelho-G</t>
  </si>
  <si>
    <t>06536-Verde-M</t>
  </si>
  <si>
    <t>05698-Verde-M</t>
  </si>
  <si>
    <t>06346-Rosa-G</t>
  </si>
  <si>
    <t>06213-Rosa-M</t>
  </si>
  <si>
    <t>06559-Preto-P</t>
  </si>
  <si>
    <t>06559-Preto-M</t>
  </si>
  <si>
    <t>06559-Preto-G</t>
  </si>
  <si>
    <t>06336-Preto-M</t>
  </si>
  <si>
    <t>06336-Preto-G</t>
  </si>
  <si>
    <t>05698-Preto-P</t>
  </si>
  <si>
    <t>05698-Preto-M</t>
  </si>
  <si>
    <t>05698-Preto-G</t>
  </si>
  <si>
    <t>06559-Branco-P</t>
  </si>
  <si>
    <t>06346-Verde-M</t>
  </si>
  <si>
    <t>06346-Azul-M</t>
  </si>
  <si>
    <t>06445-Vermelho-P</t>
  </si>
  <si>
    <t>06372-Vermelho-P</t>
  </si>
  <si>
    <t>06349-Vermelho-P</t>
  </si>
  <si>
    <t>06445-Preto-M</t>
  </si>
  <si>
    <t>06239-Coral-M</t>
  </si>
  <si>
    <t>06183</t>
  </si>
  <si>
    <t>06183-Verde-P</t>
  </si>
  <si>
    <t>06048</t>
  </si>
  <si>
    <t>06048-Marrom-M</t>
  </si>
  <si>
    <t>06487</t>
  </si>
  <si>
    <t>06487-Azul-M</t>
  </si>
  <si>
    <t>06594-Preto-P</t>
  </si>
  <si>
    <t>06452-Preto-P</t>
  </si>
  <si>
    <t>06452-Preto-G</t>
  </si>
  <si>
    <t>06347</t>
  </si>
  <si>
    <t>06347-Preto-M</t>
  </si>
  <si>
    <t>06120-Azul-G</t>
  </si>
  <si>
    <t>C0084-Verde-GG</t>
  </si>
  <si>
    <t>06384-Verde-M</t>
  </si>
  <si>
    <t>06384-Verde-G</t>
  </si>
  <si>
    <t>Turquesa</t>
  </si>
  <si>
    <t>05706-Turquesa-GG</t>
  </si>
  <si>
    <t>06437-Rosa-G</t>
  </si>
  <si>
    <t>06341-Rosa-P</t>
  </si>
  <si>
    <t>C0084-Preto-GG</t>
  </si>
  <si>
    <t>06582-Preto-G</t>
  </si>
  <si>
    <t>06582-Branco-M</t>
  </si>
  <si>
    <t>06437-Branco-P</t>
  </si>
  <si>
    <t>06437-Branco-M</t>
  </si>
  <si>
    <t>06416</t>
  </si>
  <si>
    <t>06416-Branco-P</t>
  </si>
  <si>
    <t>06416-Branco-G</t>
  </si>
  <si>
    <t>C0084-Vinho-GG</t>
  </si>
  <si>
    <t>06582-Amarelo-P</t>
  </si>
  <si>
    <t>06341-Amarelo-P</t>
  </si>
  <si>
    <t>06384-Laranja-P</t>
  </si>
  <si>
    <t>06582-Verde-M</t>
  </si>
  <si>
    <t>C0084-Azul-GG</t>
  </si>
  <si>
    <t>06382</t>
  </si>
  <si>
    <t>06382-Amarelo-P</t>
  </si>
  <si>
    <t>06481-Amarelo-P</t>
  </si>
  <si>
    <t>06209-Verde-M</t>
  </si>
  <si>
    <t>06238-Tangerina-M</t>
  </si>
  <si>
    <t>06533-Preto-M</t>
  </si>
  <si>
    <t>06441-Preto-G</t>
  </si>
  <si>
    <t>06339</t>
  </si>
  <si>
    <t>06339-Preto-G</t>
  </si>
  <si>
    <t>06341-Branco-M</t>
  </si>
  <si>
    <t>06249</t>
  </si>
  <si>
    <t>06249-Branco-G</t>
  </si>
  <si>
    <t>06394</t>
  </si>
  <si>
    <t>06394-Coral-G</t>
  </si>
  <si>
    <t>06048-Marrom-G</t>
  </si>
  <si>
    <t>06381</t>
  </si>
  <si>
    <t>06381-Bege-G</t>
  </si>
  <si>
    <t>06159-Verde-P</t>
  </si>
  <si>
    <t>06441-Verde-G</t>
  </si>
  <si>
    <t>06322</t>
  </si>
  <si>
    <t>06322-Rosa-M</t>
  </si>
  <si>
    <t>06217</t>
  </si>
  <si>
    <t>06217-Rosa-M</t>
  </si>
  <si>
    <t>06382-Preto-G</t>
  </si>
  <si>
    <t>06341-Preto-G</t>
  </si>
  <si>
    <t>06217-Preto-M</t>
  </si>
  <si>
    <t>06041-Branco-M</t>
  </si>
  <si>
    <t>06460</t>
  </si>
  <si>
    <t>06460-Branco-M</t>
  </si>
  <si>
    <t>06339-Preto-M</t>
  </si>
  <si>
    <t>06510-Coral-M</t>
  </si>
  <si>
    <t>C0084-Rosa-P</t>
  </si>
  <si>
    <t>06494-Rosa-M</t>
  </si>
  <si>
    <t>C0084-Preto-M</t>
  </si>
  <si>
    <t>06217-Preto-P</t>
  </si>
  <si>
    <t>C0084-Pistache-M</t>
  </si>
  <si>
    <t>C0084-Azul-Marinho-M</t>
  </si>
  <si>
    <t>06324</t>
  </si>
  <si>
    <t>06324-Azul-M</t>
  </si>
  <si>
    <t>06221</t>
  </si>
  <si>
    <t>06221-Amarelo-P</t>
  </si>
  <si>
    <t>06487-Tangerina-G</t>
  </si>
  <si>
    <t>06238-Tangerina-G</t>
  </si>
  <si>
    <t>06352-Rosa-G</t>
  </si>
  <si>
    <t>06255</t>
  </si>
  <si>
    <t>06255-Rosa-G</t>
  </si>
  <si>
    <t>06353-Preto-G</t>
  </si>
  <si>
    <t>06255-Branco-G</t>
  </si>
  <si>
    <t>06374-Coral-G</t>
  </si>
  <si>
    <t>06373-Coral-G</t>
  </si>
  <si>
    <t>06487-Azul-G</t>
  </si>
  <si>
    <t>06482-Azul-G</t>
  </si>
  <si>
    <t>06353-Vermelho-P</t>
  </si>
  <si>
    <t>06533-Verde-M</t>
  </si>
  <si>
    <t>06481-Verde-P</t>
  </si>
  <si>
    <t>06221-Verde-M</t>
  </si>
  <si>
    <t>06099-Verde-GG</t>
  </si>
  <si>
    <t>C1594-Tangerina-G</t>
  </si>
  <si>
    <t>06500-Tangerina-M</t>
  </si>
  <si>
    <t>06158-Tangerina-P</t>
  </si>
  <si>
    <t>C1594-Rosa-G</t>
  </si>
  <si>
    <t>05842-Preto-M</t>
  </si>
  <si>
    <t>06257-Coral-G</t>
  </si>
  <si>
    <t>06481-Azul-P</t>
  </si>
  <si>
    <t>06481-Azul-M</t>
  </si>
  <si>
    <t>05842-Amarelo-M</t>
  </si>
  <si>
    <t>06376</t>
  </si>
  <si>
    <t>06376-Vermelho-P</t>
  </si>
  <si>
    <t>05706-Verde-M</t>
  </si>
  <si>
    <t>06346-Rosa-P</t>
  </si>
  <si>
    <t>06438-Branco-G</t>
  </si>
  <si>
    <t>06341-Branco-G</t>
  </si>
  <si>
    <t>06341-Amarelo-G</t>
  </si>
  <si>
    <t>C1594-Bege-G</t>
  </si>
  <si>
    <t>06433</t>
  </si>
  <si>
    <t>06433-Tangerina-M</t>
  </si>
  <si>
    <t>06550-Rosa-G</t>
  </si>
  <si>
    <t>06545-Rosa-P</t>
  </si>
  <si>
    <t>06433-Rosa-G</t>
  </si>
  <si>
    <t>06346-Rosa-M</t>
  </si>
  <si>
    <t>06143-Pistache-G</t>
  </si>
  <si>
    <t>C2889</t>
  </si>
  <si>
    <t>C2889-Amarelo-P</t>
  </si>
  <si>
    <t>C2889-Amarelo-M</t>
  </si>
  <si>
    <t>06412</t>
  </si>
  <si>
    <t>06412-Verde-M</t>
  </si>
  <si>
    <t>06412-Verde-G</t>
  </si>
  <si>
    <t>06158-Tangerina-M</t>
  </si>
  <si>
    <t>06158-Tangerina-G</t>
  </si>
  <si>
    <t>06506-Preto-P</t>
  </si>
  <si>
    <t>06441-Preto-P</t>
  </si>
  <si>
    <t>06441-Preto-M</t>
  </si>
  <si>
    <t>06413-Preto-P</t>
  </si>
  <si>
    <t>05993-Branco-G</t>
  </si>
  <si>
    <t>06462-Rosa-P</t>
  </si>
  <si>
    <t>06462-Branco-M</t>
  </si>
  <si>
    <t>06514</t>
  </si>
  <si>
    <t>06514-Amarelo-P</t>
  </si>
  <si>
    <t>06513-Amarelo-P</t>
  </si>
  <si>
    <t>06513-Amarelo-G</t>
  </si>
  <si>
    <t>06363</t>
  </si>
  <si>
    <t>06363-Branco-G</t>
  </si>
  <si>
    <t>06514-Azul-P</t>
  </si>
  <si>
    <t>06513-Azul-P</t>
  </si>
  <si>
    <t>C0084-Rosa-M</t>
  </si>
  <si>
    <t>C0084-Salmão-G</t>
  </si>
  <si>
    <t>C0084-Branco-M</t>
  </si>
  <si>
    <t>C0084-Branco-G</t>
  </si>
  <si>
    <t>06217-Branco-M</t>
  </si>
  <si>
    <t>06014-Azul-GG</t>
  </si>
  <si>
    <t>06209-Amarelo-P</t>
  </si>
  <si>
    <t>06468-Verde-P</t>
  </si>
  <si>
    <t>06468-Verde-G</t>
  </si>
  <si>
    <t>06345-Preto-G</t>
  </si>
  <si>
    <t>06513-Branco-P</t>
  </si>
  <si>
    <t>06513-Branco-M</t>
  </si>
  <si>
    <t>06468-Branco-P</t>
  </si>
  <si>
    <t>06468-Branco-M</t>
  </si>
  <si>
    <t>06468-Branco-G</t>
  </si>
  <si>
    <t>05706-Branco-P</t>
  </si>
  <si>
    <t>05706-Branco-M</t>
  </si>
  <si>
    <t>06345-Amarelo-P</t>
  </si>
  <si>
    <t>06345-Amarelo-M</t>
  </si>
  <si>
    <t>06468-Coral-P</t>
  </si>
  <si>
    <t>06468-Coral-G</t>
  </si>
  <si>
    <t>06513-Marrom-P</t>
  </si>
  <si>
    <t>06513-Marrom-G</t>
  </si>
  <si>
    <t>06439-Branco-P</t>
  </si>
  <si>
    <t>06550-Verde-M</t>
  </si>
  <si>
    <t>06424-Verde-M</t>
  </si>
  <si>
    <t>06424-Rosa-M</t>
  </si>
  <si>
    <t>06423</t>
  </si>
  <si>
    <t>06423-Preto-P</t>
  </si>
  <si>
    <t>06423-Preto-M</t>
  </si>
  <si>
    <t>06423-Preto-G</t>
  </si>
  <si>
    <t>06424-Branco-M</t>
  </si>
  <si>
    <t>C2265-Marrom-M</t>
  </si>
  <si>
    <t>C2265-Marrom-G</t>
  </si>
  <si>
    <t>06500-Verde-M</t>
  </si>
  <si>
    <t>06293-Rosa-M</t>
  </si>
  <si>
    <t>06462-Preto-P</t>
  </si>
  <si>
    <t>06545-Branco-P</t>
  </si>
  <si>
    <t>06545-Branco-M</t>
  </si>
  <si>
    <t>06209-Laranja-M</t>
  </si>
  <si>
    <t>06514-Azul-M</t>
  </si>
  <si>
    <t>06514-Branco-P</t>
  </si>
  <si>
    <t>06514-Branco-M</t>
  </si>
  <si>
    <t>06514-Branco-G</t>
  </si>
  <si>
    <t>06514-Amarelo-M</t>
  </si>
  <si>
    <t>06514-Amarelo-G</t>
  </si>
  <si>
    <t>06514-Azul-G</t>
  </si>
  <si>
    <t>06513-Azul-G</t>
  </si>
  <si>
    <t>06338</t>
  </si>
  <si>
    <t>06338-Verde-G</t>
  </si>
  <si>
    <t>06386-Rosa-G</t>
  </si>
  <si>
    <t>06250-Rosa-P</t>
  </si>
  <si>
    <t>06506-Preto-G</t>
  </si>
  <si>
    <t>06295-Tangerina-M</t>
  </si>
  <si>
    <t>06422-Branco-G</t>
  </si>
  <si>
    <t>06036-Branco-M</t>
  </si>
  <si>
    <t>06294-Amarelo-G</t>
  </si>
  <si>
    <t>06293-Amarelo-G</t>
  </si>
  <si>
    <t>06036-Amarelo-G</t>
  </si>
  <si>
    <t>06250-Amarelo-G</t>
  </si>
  <si>
    <t>06500-Verde-G</t>
  </si>
  <si>
    <t>06414-Verde-P</t>
  </si>
  <si>
    <t>06414-Verde-M</t>
  </si>
  <si>
    <t>06414-Verde-G</t>
  </si>
  <si>
    <t>06412-Verde-P</t>
  </si>
  <si>
    <t>06374-Verde-M</t>
  </si>
  <si>
    <t>06373-Verde-M</t>
  </si>
  <si>
    <t>06462-Rosa-M</t>
  </si>
  <si>
    <t>06440</t>
  </si>
  <si>
    <t>06440-Rosa-M</t>
  </si>
  <si>
    <t>06347-Rosa-G</t>
  </si>
  <si>
    <t>06440-Preto-P</t>
  </si>
  <si>
    <t>06440-Branco-M</t>
  </si>
  <si>
    <t>06374-Coral-M</t>
  </si>
  <si>
    <t>C2265-Preto-G</t>
  </si>
  <si>
    <t>C1594-Azul-G</t>
  </si>
  <si>
    <t>06036-Azul-G</t>
  </si>
  <si>
    <t>05330-Azul-P</t>
  </si>
  <si>
    <t>06440-Verde-P</t>
  </si>
  <si>
    <t>06440-Verde-M</t>
  </si>
  <si>
    <t>06440-Rosa-P</t>
  </si>
  <si>
    <t>06440-Branco-P</t>
  </si>
  <si>
    <t>06374-Verde-P</t>
  </si>
  <si>
    <t>06373-Verde-P</t>
  </si>
  <si>
    <t>06338-Rosa-P</t>
  </si>
  <si>
    <t>06462-Branco-P</t>
  </si>
  <si>
    <t>06056</t>
  </si>
  <si>
    <t>06056-Azul-P</t>
  </si>
  <si>
    <t>06374-Verde-G</t>
  </si>
  <si>
    <t>06373-Verde-G</t>
  </si>
  <si>
    <t>06440-Rosa-G</t>
  </si>
  <si>
    <t>06484</t>
  </si>
  <si>
    <t>06484-Branco-P</t>
  </si>
  <si>
    <t>06153</t>
  </si>
  <si>
    <t>06153-Azul-P</t>
  </si>
  <si>
    <t>06250-Rosa-G</t>
  </si>
  <si>
    <t>06475-Preto-P</t>
  </si>
  <si>
    <t>06475-Preto-G</t>
  </si>
  <si>
    <t>06440-Preto-G</t>
  </si>
  <si>
    <t>06339-Preto-P</t>
  </si>
  <si>
    <t>06281-Preto-P</t>
  </si>
  <si>
    <t>06243</t>
  </si>
  <si>
    <t>06243-Amarelo-P</t>
  </si>
  <si>
    <t>06340-Verde-P</t>
  </si>
  <si>
    <t>06438-Tangerina-P</t>
  </si>
  <si>
    <t>06335-Preto-M</t>
  </si>
  <si>
    <t>06493-Branco-P</t>
  </si>
  <si>
    <t>06257-Branco-G</t>
  </si>
  <si>
    <t>06255-Branco-P</t>
  </si>
  <si>
    <t>06514-Marrom-M</t>
  </si>
  <si>
    <t>06550-Rosa-M</t>
  </si>
  <si>
    <t>06255-Preto-P</t>
  </si>
  <si>
    <t>06255-Branco-M</t>
  </si>
  <si>
    <t>06143-Coral-P</t>
  </si>
  <si>
    <t>06346-Verde-G</t>
  </si>
  <si>
    <t>06346-Azul-P</t>
  </si>
  <si>
    <t>05698-Verde-GG</t>
  </si>
  <si>
    <t>06347-Rosa-P</t>
  </si>
  <si>
    <t>06447</t>
  </si>
  <si>
    <t>06447-Preto-P</t>
  </si>
  <si>
    <t>06417</t>
  </si>
  <si>
    <t>06417-Preto-P</t>
  </si>
  <si>
    <t>06417-Preto-M</t>
  </si>
  <si>
    <t>05698-Verde-G</t>
  </si>
  <si>
    <t>06239-Coral-P</t>
  </si>
  <si>
    <t>06532-Laranja-P</t>
  </si>
  <si>
    <t>06481-Verde-G</t>
  </si>
  <si>
    <t>05698-Verde-P</t>
  </si>
  <si>
    <t>06474-Rosa-G</t>
  </si>
  <si>
    <t>05993-Rosa-G</t>
  </si>
  <si>
    <t>06353-Vermelho-M</t>
  </si>
  <si>
    <t>06533-Verde-P</t>
  </si>
  <si>
    <t>06481-Verde-M</t>
  </si>
  <si>
    <t>06322-Verde-M</t>
  </si>
  <si>
    <t>06433-Tangerina-P</t>
  </si>
  <si>
    <t>06322-Rosa-G</t>
  </si>
  <si>
    <t>06062</t>
  </si>
  <si>
    <t>06062-Rosa-P</t>
  </si>
  <si>
    <t>06062-Rosa-M</t>
  </si>
  <si>
    <t>06322-Preto-P</t>
  </si>
  <si>
    <t>06255-Preto-M</t>
  </si>
  <si>
    <t>06255-Preto-G</t>
  </si>
  <si>
    <t>06062-Amarelo-P</t>
  </si>
  <si>
    <t>06481-Amarelo-G</t>
  </si>
  <si>
    <t>C0084-Vermelho-M</t>
  </si>
  <si>
    <t>05698-Vermelho-P</t>
  </si>
  <si>
    <t>06046</t>
  </si>
  <si>
    <t>06046-Verde-P</t>
  </si>
  <si>
    <t>C0084-Tangerina-G</t>
  </si>
  <si>
    <t>C0084-Rosa-G</t>
  </si>
  <si>
    <t>06322-Rosa-P</t>
  </si>
  <si>
    <t>05698-Rosa-G</t>
  </si>
  <si>
    <t>06402</t>
  </si>
  <si>
    <t>06402-Preto-M</t>
  </si>
  <si>
    <t>06080</t>
  </si>
  <si>
    <t>06080-Preto-P</t>
  </si>
  <si>
    <t>06080-Preto-M</t>
  </si>
  <si>
    <t>06080-Preto-G</t>
  </si>
  <si>
    <t>05706-Branco-GG</t>
  </si>
  <si>
    <t>C0084-Vinho-P</t>
  </si>
  <si>
    <t>06213-Amarelo-P</t>
  </si>
  <si>
    <t>06046-Coral-M</t>
  </si>
  <si>
    <t>06346-Azul-G</t>
  </si>
  <si>
    <t>C1594-Ultravioleta-GG</t>
  </si>
  <si>
    <t>C1594-Bege-M</t>
  </si>
  <si>
    <t>06356-Verde-G</t>
  </si>
  <si>
    <t>06484-Tangerina-M</t>
  </si>
  <si>
    <t>06111-Rosa-G</t>
  </si>
  <si>
    <t>06331-Preto-G</t>
  </si>
  <si>
    <t>06249-Preto-M</t>
  </si>
  <si>
    <t>06219</t>
  </si>
  <si>
    <t>06219-Preto-G</t>
  </si>
  <si>
    <t>06062-Preto-G</t>
  </si>
  <si>
    <t>06361</t>
  </si>
  <si>
    <t>06361-Verde-G</t>
  </si>
  <si>
    <t>06239-Marrom-M</t>
  </si>
  <si>
    <t>06062-Marrom-G</t>
  </si>
  <si>
    <t>06510-Verde-G</t>
  </si>
  <si>
    <t>06447-Verde-P</t>
  </si>
  <si>
    <t>06295-Verde-P</t>
  </si>
  <si>
    <t>06042</t>
  </si>
  <si>
    <t>06042-Verde-G</t>
  </si>
  <si>
    <t>C2904-Rosa-G</t>
  </si>
  <si>
    <t>05706-Rosa-G</t>
  </si>
  <si>
    <t>06510-Preto-M</t>
  </si>
  <si>
    <t>06510-Preto-G</t>
  </si>
  <si>
    <t>06450-Preto-P</t>
  </si>
  <si>
    <t>06386-Preto-G</t>
  </si>
  <si>
    <t>06341-Preto-M</t>
  </si>
  <si>
    <t>06069</t>
  </si>
  <si>
    <t>06069-Preto-M</t>
  </si>
  <si>
    <t>C1594-Azul-Marinho-M</t>
  </si>
  <si>
    <t>06438-Branco-M</t>
  </si>
  <si>
    <t>06345-Branco-P</t>
  </si>
  <si>
    <t>06260-Branco-G</t>
  </si>
  <si>
    <t>06080-Branco-G</t>
  </si>
  <si>
    <t>06239-Marrom-G</t>
  </si>
  <si>
    <t>06239-Preto-P</t>
  </si>
  <si>
    <t>06484-Branco-M</t>
  </si>
  <si>
    <t>06239-Coral-G</t>
  </si>
  <si>
    <t>06437-Amarelo-P</t>
  </si>
  <si>
    <t>06437-Amarelo-M</t>
  </si>
  <si>
    <t>06437-Amarelo-G</t>
  </si>
  <si>
    <t>06436-Tangerina-M</t>
  </si>
  <si>
    <t>06507-Rosa-M</t>
  </si>
  <si>
    <t>06474-Rosa-M</t>
  </si>
  <si>
    <t>06413-Rosa-M</t>
  </si>
  <si>
    <t>06347-Rosa-M</t>
  </si>
  <si>
    <t>06338-Rosa-M</t>
  </si>
  <si>
    <t>06243-Rosa-M</t>
  </si>
  <si>
    <t>06528-Branco-P</t>
  </si>
  <si>
    <t>06363-Branco-P</t>
  </si>
  <si>
    <t>C0032-Vermelho-GG</t>
  </si>
  <si>
    <t>06324-Branco-G</t>
  </si>
  <si>
    <t>06452-Verde-M</t>
  </si>
  <si>
    <t>06433-Verde-G</t>
  </si>
  <si>
    <t>06162</t>
  </si>
  <si>
    <t>06162-Verde-P</t>
  </si>
  <si>
    <t>06130-Verde-P</t>
  </si>
  <si>
    <t>06243-Rosa-G</t>
  </si>
  <si>
    <t>C0032-Preto-M</t>
  </si>
  <si>
    <t>06482-Preto-P</t>
  </si>
  <si>
    <t>06386-Preto-P</t>
  </si>
  <si>
    <t>06331-Preto-P</t>
  </si>
  <si>
    <t>06331-Preto-M</t>
  </si>
  <si>
    <t>C0032-Branco-M</t>
  </si>
  <si>
    <t>06433-Branco-G</t>
  </si>
  <si>
    <t>06307</t>
  </si>
  <si>
    <t>06307-Branco-M</t>
  </si>
  <si>
    <t>06162-Azul-Marinho-M</t>
  </si>
  <si>
    <t>06130-Azul-Marinho-M</t>
  </si>
  <si>
    <t>C0032-Amarelo-GG</t>
  </si>
  <si>
    <t>06346-Verde-P</t>
  </si>
  <si>
    <t>06201</t>
  </si>
  <si>
    <t>06201-Verde-M</t>
  </si>
  <si>
    <t>06201-Bege-P</t>
  </si>
  <si>
    <t>06275</t>
  </si>
  <si>
    <t>06275-Amarelo-M</t>
  </si>
  <si>
    <t>06364-Verde-P</t>
  </si>
  <si>
    <t>06239-Marrom-P</t>
  </si>
  <si>
    <t>06487-Tangerina-M</t>
  </si>
  <si>
    <t>06219-Branco-M</t>
  </si>
  <si>
    <t>06236-Verde-G</t>
  </si>
  <si>
    <t>06263</t>
  </si>
  <si>
    <t>06263-Rosa-G</t>
  </si>
  <si>
    <t>06475-Preto-M</t>
  </si>
  <si>
    <t>06347-Preto-G</t>
  </si>
  <si>
    <t>06338-Preto-M</t>
  </si>
  <si>
    <t>06249-Preto-G</t>
  </si>
  <si>
    <t>06153-Azul-M</t>
  </si>
  <si>
    <t>06474-Tangerina-G</t>
  </si>
  <si>
    <t>06474-Rosa-P</t>
  </si>
  <si>
    <t>06436-Rosa-P</t>
  </si>
  <si>
    <t>06290</t>
  </si>
  <si>
    <t>06290-Rosa-G</t>
  </si>
  <si>
    <t>06436-Preto-P</t>
  </si>
  <si>
    <t>06436-Preto-G</t>
  </si>
  <si>
    <t>06111-Preto-P</t>
  </si>
  <si>
    <t>06111-Preto-G</t>
  </si>
  <si>
    <t>06433-Verde-M</t>
  </si>
  <si>
    <t>06402-Preto-P</t>
  </si>
  <si>
    <t>06433-Branco-M</t>
  </si>
  <si>
    <t>06249-Branco-M</t>
  </si>
  <si>
    <t>06356-Coral-P</t>
  </si>
  <si>
    <t>06238-Azul-P</t>
  </si>
  <si>
    <t>06487-Azul-P</t>
  </si>
  <si>
    <t>06340-Amarelo-P</t>
  </si>
  <si>
    <t>06287</t>
  </si>
  <si>
    <t>06287-Rosa-P</t>
  </si>
  <si>
    <t>06100-Rosa-P</t>
  </si>
  <si>
    <t>05330-Rosa-M</t>
  </si>
  <si>
    <t>05330-Preto-P</t>
  </si>
  <si>
    <t>05330-Preto-M</t>
  </si>
  <si>
    <t>06436-Rosa-M</t>
  </si>
  <si>
    <t>06339-Rosa-P</t>
  </si>
  <si>
    <t>06320-Rosa-M</t>
  </si>
  <si>
    <t>06211</t>
  </si>
  <si>
    <t>06211-Rosa-M</t>
  </si>
  <si>
    <t>06236-Preto-P</t>
  </si>
  <si>
    <t>06340-Preto-G</t>
  </si>
  <si>
    <t>06416-Branco-M</t>
  </si>
  <si>
    <t>06338-Branco-M</t>
  </si>
  <si>
    <t>06211-Bege-M</t>
  </si>
  <si>
    <t>06550-Verde-P</t>
  </si>
  <si>
    <t>05706-Verde-GG</t>
  </si>
  <si>
    <t>06550-Rosa-P</t>
  </si>
  <si>
    <t>05706-Rosa-GG</t>
  </si>
  <si>
    <t>05706-Preto-M</t>
  </si>
  <si>
    <t>06257-Branco-P</t>
  </si>
  <si>
    <t>06257-Coral-P</t>
  </si>
  <si>
    <t>06257-Coral-GG</t>
  </si>
  <si>
    <t>C2265-Marrom-GG</t>
  </si>
  <si>
    <t>06352-Verde-G</t>
  </si>
  <si>
    <t>06285-Verde-G</t>
  </si>
  <si>
    <t>06238-Verde-G</t>
  </si>
  <si>
    <t>06399</t>
  </si>
  <si>
    <t>06399-Tangerina-G</t>
  </si>
  <si>
    <t>06382-Rosa-G</t>
  </si>
  <si>
    <t>06285-Rosa-G</t>
  </si>
  <si>
    <t>06084</t>
  </si>
  <si>
    <t>06084-Preto-G</t>
  </si>
  <si>
    <t>06487-Preto-G</t>
  </si>
  <si>
    <t>06482-Preto-G</t>
  </si>
  <si>
    <t>06352-Preto-G</t>
  </si>
  <si>
    <t>06376-Branco-G</t>
  </si>
  <si>
    <t>06414-Laranja-G</t>
  </si>
  <si>
    <t>06356-Verde-M</t>
  </si>
  <si>
    <t>06432</t>
  </si>
  <si>
    <t>06432-Preto-P</t>
  </si>
  <si>
    <t>06422-Preto-M</t>
  </si>
  <si>
    <t>06529-Branco-M</t>
  </si>
  <si>
    <t>06398</t>
  </si>
  <si>
    <t>06398-Branco-P</t>
  </si>
  <si>
    <t>06376-Branco-M</t>
  </si>
  <si>
    <t>06219-Branco-P</t>
  </si>
  <si>
    <t>06062-Marrom-M</t>
  </si>
  <si>
    <t>06156</t>
  </si>
  <si>
    <t>06156-Verde-M</t>
  </si>
  <si>
    <t>06138</t>
  </si>
  <si>
    <t>06138-Verde-P</t>
  </si>
  <si>
    <t>06318-Preto-P</t>
  </si>
  <si>
    <t>06156-Azul-Marinho-M</t>
  </si>
  <si>
    <t>06046-Coral-P</t>
  </si>
  <si>
    <t>06138-Azul-P</t>
  </si>
  <si>
    <t>06484-Preto-P</t>
  </si>
  <si>
    <t>06069-Branco-M</t>
  </si>
  <si>
    <t>06048-Marrom-P</t>
  </si>
  <si>
    <t>06413-Rosa-P</t>
  </si>
  <si>
    <t>06224-Rosa-P</t>
  </si>
  <si>
    <t>06224-Branco-M</t>
  </si>
  <si>
    <t>06223</t>
  </si>
  <si>
    <t>06223-Preto-M</t>
  </si>
  <si>
    <t>06281-Branco-M</t>
  </si>
  <si>
    <t>06189-Coral-M</t>
  </si>
  <si>
    <t>06281-Amarelo-M</t>
  </si>
  <si>
    <t>C0032-Verde-GG</t>
  </si>
  <si>
    <t>06447-Preto-M</t>
  </si>
  <si>
    <t>06302</t>
  </si>
  <si>
    <t>06302-Branco-M</t>
  </si>
  <si>
    <t>C2265-Verde-GG</t>
  </si>
  <si>
    <t>06203</t>
  </si>
  <si>
    <t>06203-Verde-M</t>
  </si>
  <si>
    <t>C0032-Coral-M</t>
  </si>
  <si>
    <t>06399-Verde-P</t>
  </si>
  <si>
    <t>06399-Verde-M</t>
  </si>
  <si>
    <t>06228</t>
  </si>
  <si>
    <t>06228-Verde-G</t>
  </si>
  <si>
    <t>06228-Rosa-P</t>
  </si>
  <si>
    <t>06150</t>
  </si>
  <si>
    <t>06150-Tangerina-P</t>
  </si>
  <si>
    <t>06285-Branco-P</t>
  </si>
  <si>
    <t>C0084-Coral-G</t>
  </si>
  <si>
    <t>06433-Rosa-M</t>
  </si>
  <si>
    <t>06263-Rosa-P</t>
  </si>
  <si>
    <t>06422-Preto-G</t>
  </si>
  <si>
    <t>06340-Preto-M</t>
  </si>
  <si>
    <t>06295-Tangerina-G</t>
  </si>
  <si>
    <t>06386-Branco-P</t>
  </si>
  <si>
    <t>06348-Verde-G</t>
  </si>
  <si>
    <t>06211-Rosa-P</t>
  </si>
  <si>
    <t>06402-Preto-G</t>
  </si>
  <si>
    <t>C2889-Tangerina-M</t>
  </si>
  <si>
    <t>C2889-Branco-G</t>
  </si>
  <si>
    <t>06402-Branco-M</t>
  </si>
  <si>
    <t>06402-Branco-G</t>
  </si>
  <si>
    <t>C2889-Azul-Marinho-P</t>
  </si>
  <si>
    <t>C2889-Bege-G</t>
  </si>
  <si>
    <t>06445-Preto-P</t>
  </si>
  <si>
    <t>06432-Preto-M</t>
  </si>
  <si>
    <t>06417-Tangerina-M</t>
  </si>
  <si>
    <t>06325</t>
  </si>
  <si>
    <t>06325-Branco-P</t>
  </si>
  <si>
    <t>06186</t>
  </si>
  <si>
    <t>06186-Branco-P</t>
  </si>
  <si>
    <t>06080-Branco-P</t>
  </si>
  <si>
    <t>06201-Amarelo-M</t>
  </si>
  <si>
    <t>06186-Coral-P</t>
  </si>
  <si>
    <t>06128</t>
  </si>
  <si>
    <t>06128-Azul-P</t>
  </si>
  <si>
    <t>06263-Verde-P</t>
  </si>
  <si>
    <t>06263-Verde-G</t>
  </si>
  <si>
    <t>06263-Rosa-M</t>
  </si>
  <si>
    <t>06422-Branco-M</t>
  </si>
  <si>
    <t>06211-Bege-P</t>
  </si>
  <si>
    <t>06211-Bege-G</t>
  </si>
  <si>
    <t>06417-Rosa-M</t>
  </si>
  <si>
    <t>06417-Rosa-G</t>
  </si>
  <si>
    <t>05987-Rosa-G</t>
  </si>
  <si>
    <t>06417-Preto-G</t>
  </si>
  <si>
    <t>06236-Preto-M</t>
  </si>
  <si>
    <t>06484-Tangerina-G</t>
  </si>
  <si>
    <t>06484-Preto-M</t>
  </si>
  <si>
    <t>06347-Preto-P</t>
  </si>
  <si>
    <t>06494-Branco-M</t>
  </si>
  <si>
    <t>06494-Branco-G</t>
  </si>
  <si>
    <t>06347-Branco-M</t>
  </si>
  <si>
    <t>06347-Branco-G</t>
  </si>
  <si>
    <t>06338-Branco-G</t>
  </si>
  <si>
    <t>06471-Preto-P</t>
  </si>
  <si>
    <t>06228-Verde-P</t>
  </si>
  <si>
    <t>06399-Tangerina-P</t>
  </si>
  <si>
    <t>06036-Tangerina-P</t>
  </si>
  <si>
    <t>06386-Rosa-P</t>
  </si>
  <si>
    <t>06228-Rosa-M</t>
  </si>
  <si>
    <t>06228-Preto-G</t>
  </si>
  <si>
    <t>06507-Branco-P</t>
  </si>
  <si>
    <t>06399-Branco-G</t>
  </si>
  <si>
    <t>06386-Branco-M</t>
  </si>
  <si>
    <t>06402-Azul-P</t>
  </si>
  <si>
    <t>06487-Preto-P</t>
  </si>
  <si>
    <t>06351-Preto-G</t>
  </si>
  <si>
    <t>06323</t>
  </si>
  <si>
    <t>06323-Branco-P</t>
  </si>
  <si>
    <t>06417-Verde-P</t>
  </si>
  <si>
    <t>06042-Verde-P</t>
  </si>
  <si>
    <t>06450-Rosa-P</t>
  </si>
  <si>
    <t>06289</t>
  </si>
  <si>
    <t>06289-Rosa-P</t>
  </si>
  <si>
    <t>06189-Preto-M</t>
  </si>
  <si>
    <t>06156-Azul-Marinho-P</t>
  </si>
  <si>
    <t>06361-Verde-P</t>
  </si>
  <si>
    <t>06132</t>
  </si>
  <si>
    <t>06132-Coral-P</t>
  </si>
  <si>
    <t>06042-Coral-P</t>
  </si>
  <si>
    <t>06402-Azul-M</t>
  </si>
  <si>
    <t>06189-Azul-P</t>
  </si>
  <si>
    <t>06507-Azul-G</t>
  </si>
  <si>
    <t>06325-Amarelo-P</t>
  </si>
  <si>
    <t>06398-Vermelho-G</t>
  </si>
  <si>
    <t>06490-Verde-P</t>
  </si>
  <si>
    <t>06472-Verde-G</t>
  </si>
  <si>
    <t>06432-Verde-M</t>
  </si>
  <si>
    <t>06417-Verde-M</t>
  </si>
  <si>
    <t>06338-Verde-P</t>
  </si>
  <si>
    <t>06292</t>
  </si>
  <si>
    <t>06292-Verde-M</t>
  </si>
  <si>
    <t>06490-Tangerina-M</t>
  </si>
  <si>
    <t>06484-Tangerina-P</t>
  </si>
  <si>
    <t>06438-Tangerina-M</t>
  </si>
  <si>
    <t>06399-Tangerina-M</t>
  </si>
  <si>
    <t>06412-Rosa-P</t>
  </si>
  <si>
    <t>06292-Rosa-P</t>
  </si>
  <si>
    <t>06292-Rosa-G</t>
  </si>
  <si>
    <t>06472-Preto-P</t>
  </si>
  <si>
    <t>06432-Preto-G</t>
  </si>
  <si>
    <t>06413-Preto-G</t>
  </si>
  <si>
    <t>06399-Preto-G</t>
  </si>
  <si>
    <t>06338-Preto-G</t>
  </si>
  <si>
    <t>06417-Tangerina-P</t>
  </si>
  <si>
    <t>06413-Branco-M</t>
  </si>
  <si>
    <t>06399-Branco-P</t>
  </si>
  <si>
    <t>06398-Branco-G</t>
  </si>
  <si>
    <t>06338-Branco-P</t>
  </si>
  <si>
    <t>06174</t>
  </si>
  <si>
    <t>06174-Branco-M</t>
  </si>
  <si>
    <t>06412-Laranja-M</t>
  </si>
  <si>
    <t>06490-Azul-M</t>
  </si>
  <si>
    <t>06174-Azul-P</t>
  </si>
  <si>
    <t>06174-Azul-G</t>
  </si>
  <si>
    <t>06135</t>
  </si>
  <si>
    <t>06135-Azul-G</t>
  </si>
  <si>
    <t>06413-Amarelo-G</t>
  </si>
  <si>
    <t>06385</t>
  </si>
  <si>
    <t>06385-Verde-G</t>
  </si>
  <si>
    <t>06156-Verde-G</t>
  </si>
  <si>
    <t>06046-Verde-G</t>
  </si>
  <si>
    <t>06342</t>
  </si>
  <si>
    <t>06342-Tangerina-G</t>
  </si>
  <si>
    <t>C0084-Pistache-G</t>
  </si>
  <si>
    <t>06352-Branco-M</t>
  </si>
  <si>
    <t>06342-Branco-G</t>
  </si>
  <si>
    <t>06203-Amarelo-M</t>
  </si>
  <si>
    <t>05330-Bege-G</t>
  </si>
  <si>
    <t>C0084-Amarelo-G</t>
  </si>
  <si>
    <t>06398-Vermelho-M</t>
  </si>
  <si>
    <t>06375-Vermelho-M</t>
  </si>
  <si>
    <t>06387</t>
  </si>
  <si>
    <t>06387-Branco-M</t>
  </si>
  <si>
    <t>06188</t>
  </si>
  <si>
    <t>06188-Verde-P</t>
  </si>
  <si>
    <t>06460-Branco-P</t>
  </si>
  <si>
    <t>06363-Branco-M</t>
  </si>
  <si>
    <t>06039</t>
  </si>
  <si>
    <t>06039-Verde-M</t>
  </si>
  <si>
    <t>06494-Preto-P</t>
  </si>
  <si>
    <t>06414-Laranja-P</t>
  </si>
  <si>
    <t>06347-Branco-P</t>
  </si>
  <si>
    <t>06155-Rosa-G</t>
  </si>
  <si>
    <t>C0084-Pistache-P</t>
  </si>
  <si>
    <t>C0084-Coral-P</t>
  </si>
  <si>
    <t>06338-Verde-M</t>
  </si>
  <si>
    <t>06335-Verde-P</t>
  </si>
  <si>
    <t>C0032-Preto-P</t>
  </si>
  <si>
    <t>C0032-Branco-P</t>
  </si>
  <si>
    <t>06433-Branco-P</t>
  </si>
  <si>
    <t>C0032-Amarelo-G</t>
  </si>
  <si>
    <t>C0032-Coral-G</t>
  </si>
  <si>
    <t>05842-Azul-M</t>
  </si>
  <si>
    <t>06487-Tangerina-P</t>
  </si>
  <si>
    <t>06475-Tangerina-P</t>
  </si>
  <si>
    <t>06487-Preto-M</t>
  </si>
  <si>
    <t>06351-Preto-M</t>
  </si>
  <si>
    <t>06036-Branco-P</t>
  </si>
  <si>
    <t>06208</t>
  </si>
  <si>
    <t>06208-Rosa-P</t>
  </si>
  <si>
    <t>06208-Azul-P</t>
  </si>
  <si>
    <t>06346-Vermelho-P</t>
  </si>
  <si>
    <t>06346-Vermelho-M</t>
  </si>
  <si>
    <t>C1594-Ultravioleta-G</t>
  </si>
  <si>
    <t>06213-Preto-M</t>
  </si>
  <si>
    <t>C2889-Azul-Marinho-M</t>
  </si>
  <si>
    <t>C2889-Coral-P</t>
  </si>
  <si>
    <t>06433-Verde-P</t>
  </si>
  <si>
    <t>06386-Verde-P</t>
  </si>
  <si>
    <t>06386-Verde-M</t>
  </si>
  <si>
    <t>06433-Rosa-P</t>
  </si>
  <si>
    <t>06424-Rosa-P</t>
  </si>
  <si>
    <t>06386-Rosa-M</t>
  </si>
  <si>
    <t>06438-Preto-M</t>
  </si>
  <si>
    <t>06351-Preto-P</t>
  </si>
  <si>
    <t>06424-Branco-P</t>
  </si>
  <si>
    <t>06351-Branco-M</t>
  </si>
  <si>
    <t>06236-Verde-P</t>
  </si>
  <si>
    <t>06236-Verde-M</t>
  </si>
  <si>
    <t>06338-Rosa-G</t>
  </si>
  <si>
    <t>06338-Preto-P</t>
  </si>
  <si>
    <t>06346-Vermelho-G</t>
  </si>
  <si>
    <t>06471-Verde-P</t>
  </si>
  <si>
    <t>06352-Branco-P</t>
  </si>
  <si>
    <t>06302-Branco-P</t>
  </si>
  <si>
    <t>06342-Verde-M</t>
  </si>
  <si>
    <t>C0008-Branco-G</t>
  </si>
  <si>
    <t>C0008-Amarelo-M</t>
  </si>
  <si>
    <t>C0008-Amarelo-GG</t>
  </si>
  <si>
    <t>C0008-Amarelo-G</t>
  </si>
  <si>
    <t>06423-Tangerina-P</t>
  </si>
  <si>
    <t>06423-Tangerina-M</t>
  </si>
  <si>
    <t>06218</t>
  </si>
  <si>
    <t>06218-Preto-P</t>
  </si>
  <si>
    <t>06218-Branco-P</t>
  </si>
  <si>
    <t>06471-Preto-G</t>
  </si>
  <si>
    <t>06386-Branco-G</t>
  </si>
  <si>
    <t>06352-Verde-P</t>
  </si>
  <si>
    <t>06352-Verde-M</t>
  </si>
  <si>
    <t>06345-Rosa-P</t>
  </si>
  <si>
    <t>06341-Rosa-G</t>
  </si>
  <si>
    <t>06424-Preto-M</t>
  </si>
  <si>
    <t>06218-Preto-M</t>
  </si>
  <si>
    <t>06182</t>
  </si>
  <si>
    <t>06182-Preto-M</t>
  </si>
  <si>
    <t>06111-Preto-M</t>
  </si>
  <si>
    <t>C0084-Salmão-M</t>
  </si>
  <si>
    <t>C0084-Branco-GG</t>
  </si>
  <si>
    <t>C0084-Coral-M</t>
  </si>
  <si>
    <t>05330-Tangerina-M</t>
  </si>
  <si>
    <t>06086</t>
  </si>
  <si>
    <t>06086-Preto-P</t>
  </si>
  <si>
    <t>06086-Amarelo-P</t>
  </si>
  <si>
    <t>06086-Amarelo-M</t>
  </si>
  <si>
    <t>05330-Coral-M</t>
  </si>
  <si>
    <t>06135-Coral-M</t>
  </si>
  <si>
    <t>06128-Coral-M</t>
  </si>
  <si>
    <t>06086-Azul-M</t>
  </si>
  <si>
    <t>06069-Azul-M</t>
  </si>
  <si>
    <t>06394-Verde-G</t>
  </si>
  <si>
    <t>C0032-Preto-GG</t>
  </si>
  <si>
    <t>06208-Azul-G</t>
  </si>
  <si>
    <t>06424-Verde-P</t>
  </si>
  <si>
    <t>06249-Verde-M</t>
  </si>
  <si>
    <t>06423-Rosa-P</t>
  </si>
  <si>
    <t>06048-Rosa-M</t>
  </si>
  <si>
    <t>06249-Preto-P</t>
  </si>
  <si>
    <t>06344</t>
  </si>
  <si>
    <t>06344-Rosa-M</t>
  </si>
  <si>
    <t>06213-Rosa-G</t>
  </si>
  <si>
    <t>06285-Preto-G</t>
  </si>
  <si>
    <t>06278</t>
  </si>
  <si>
    <t>06278-Preto-G</t>
  </si>
  <si>
    <t>06216</t>
  </si>
  <si>
    <t>06216-Preto-P</t>
  </si>
  <si>
    <t>06216-Preto-M</t>
  </si>
  <si>
    <t>06216-Preto-G</t>
  </si>
  <si>
    <t>06086-Preto-G</t>
  </si>
  <si>
    <t>06062-Preto-M</t>
  </si>
  <si>
    <t>06481-Branco-G</t>
  </si>
  <si>
    <t>06257-Branco-GG</t>
  </si>
  <si>
    <t>06218-Branco-M</t>
  </si>
  <si>
    <t>06216-Branco-P</t>
  </si>
  <si>
    <t>06216-Branco-M</t>
  </si>
  <si>
    <t>06181</t>
  </si>
  <si>
    <t>06181-Amarelo-M</t>
  </si>
  <si>
    <t>06278-Coral-G</t>
  </si>
  <si>
    <t>06128-Azul-G</t>
  </si>
  <si>
    <t>06086-Azul-G</t>
  </si>
  <si>
    <t>06342-Verde-P</t>
  </si>
  <si>
    <t>06342-Verde-G</t>
  </si>
  <si>
    <t>05706-Turquesa-M</t>
  </si>
  <si>
    <t>05706-Tangerina-P</t>
  </si>
  <si>
    <t>05706-Tangerina-G</t>
  </si>
  <si>
    <t>06423-Rosa-M</t>
  </si>
  <si>
    <t>06344-Rosa-P</t>
  </si>
  <si>
    <t>05706-Branco-G</t>
  </si>
  <si>
    <t>06399-Preto-P</t>
  </si>
  <si>
    <t>06153-Azul-G</t>
  </si>
  <si>
    <t>05956</t>
  </si>
  <si>
    <t>05956-Azul-M</t>
  </si>
  <si>
    <t>06218-Rosa-M</t>
  </si>
  <si>
    <t>06290-Preto-G</t>
  </si>
  <si>
    <t>06318-Verde-P</t>
  </si>
  <si>
    <t>06218-Rosa-P</t>
  </si>
  <si>
    <t>06318-Branco-P</t>
  </si>
  <si>
    <t>06416-Rosa-M</t>
  </si>
  <si>
    <t>06416-Preto-P</t>
  </si>
  <si>
    <t>06416-Preto-M</t>
  </si>
  <si>
    <t>06219-Preto-P</t>
  </si>
  <si>
    <t>06219-Preto-M</t>
  </si>
  <si>
    <t>06213-Branco-G</t>
  </si>
  <si>
    <t>06381-Verde-M</t>
  </si>
  <si>
    <t>06259</t>
  </si>
  <si>
    <t>06259-Verde-M</t>
  </si>
  <si>
    <t>06238-Verde-M</t>
  </si>
  <si>
    <t>06281-Rosa-P</t>
  </si>
  <si>
    <t>06281-Rosa-M</t>
  </si>
  <si>
    <t>06219-Rosa-P</t>
  </si>
  <si>
    <t>06219-Rosa-M</t>
  </si>
  <si>
    <t>06048-Rosa-P</t>
  </si>
  <si>
    <t>06162-Azul-Marinho-P</t>
  </si>
  <si>
    <t>06381-Verde-G</t>
  </si>
  <si>
    <t>06155-Rosa-P</t>
  </si>
  <si>
    <t>05993-Rosa-P</t>
  </si>
  <si>
    <t>05993-Branco-M</t>
  </si>
  <si>
    <t>06086-Coral-P</t>
  </si>
  <si>
    <t>06085</t>
  </si>
  <si>
    <t>06085-Verde-P</t>
  </si>
  <si>
    <t>06085-Verde-G</t>
  </si>
  <si>
    <t>06056-Azul-G</t>
  </si>
  <si>
    <t>06036-Tangerina-M</t>
  </si>
  <si>
    <t>06264</t>
  </si>
  <si>
    <t>06264-Rosa-P</t>
  </si>
  <si>
    <t>06239-Preto-M</t>
  </si>
  <si>
    <t>06202</t>
  </si>
  <si>
    <t>06202-Preto-P</t>
  </si>
  <si>
    <t>06324-Branco-P</t>
  </si>
  <si>
    <t>06198</t>
  </si>
  <si>
    <t>06198-Branco-M</t>
  </si>
  <si>
    <t>06174-Branco-P</t>
  </si>
  <si>
    <t>06394-Coral-P</t>
  </si>
  <si>
    <t>06208-Bege-M</t>
  </si>
  <si>
    <t>06056-Verde-P</t>
  </si>
  <si>
    <t>06056-Verde-G</t>
  </si>
  <si>
    <t>06318-Branco-M</t>
  </si>
  <si>
    <t>06249-Branco-P</t>
  </si>
  <si>
    <t>06319</t>
  </si>
  <si>
    <t>06319-Azul-Marinho-M</t>
  </si>
  <si>
    <t>06319-Coral-P</t>
  </si>
  <si>
    <t>06137</t>
  </si>
  <si>
    <t>06137-Coral-P</t>
  </si>
  <si>
    <t>06137-Coral-G</t>
  </si>
  <si>
    <t>06237</t>
  </si>
  <si>
    <t>06237-Rosa-G</t>
  </si>
  <si>
    <t>06344-Amarelo-P</t>
  </si>
  <si>
    <t>06344-Amarelo-M</t>
  </si>
  <si>
    <t>06188-Verde-M</t>
  </si>
  <si>
    <t>06275-Verde-M</t>
  </si>
  <si>
    <t>05842-Tangerina-G</t>
  </si>
  <si>
    <t>06275-Rosa-M</t>
  </si>
  <si>
    <t>06275-Rosa-G</t>
  </si>
  <si>
    <t>06319-Coral-G</t>
  </si>
  <si>
    <t>06201-Bege-M</t>
  </si>
  <si>
    <t>06329</t>
  </si>
  <si>
    <t>06329-Verde-G</t>
  </si>
  <si>
    <t>06126</t>
  </si>
  <si>
    <t>06126-Verde-G</t>
  </si>
  <si>
    <t>06414-Rosa-G</t>
  </si>
  <si>
    <t>06272</t>
  </si>
  <si>
    <t>06272-Rosa-G</t>
  </si>
  <si>
    <t>06416-Preto-G</t>
  </si>
  <si>
    <t>06325-Branco-G</t>
  </si>
  <si>
    <t>06323-Branco-G</t>
  </si>
  <si>
    <t>06198-Amarelo-G</t>
  </si>
  <si>
    <t>06174-Amarelo-G</t>
  </si>
  <si>
    <t>06290-Verde-G</t>
  </si>
  <si>
    <t>06282</t>
  </si>
  <si>
    <t>06282-Verde-M</t>
  </si>
  <si>
    <t>06272-Rosa-P</t>
  </si>
  <si>
    <t>06238-Rosa-M</t>
  </si>
  <si>
    <t>06257-Preto-G</t>
  </si>
  <si>
    <t>06306</t>
  </si>
  <si>
    <t>06306-Coral-M</t>
  </si>
  <si>
    <t>06298</t>
  </si>
  <si>
    <t>06298-Coral-M</t>
  </si>
  <si>
    <t>06198-Azul-P</t>
  </si>
  <si>
    <t>06282-Branco-P</t>
  </si>
  <si>
    <t>06160</t>
  </si>
  <si>
    <t>06160-Branco-P</t>
  </si>
  <si>
    <t>06105</t>
  </si>
  <si>
    <t>06105-Branco-P</t>
  </si>
  <si>
    <t>06249-Verde-P</t>
  </si>
  <si>
    <t>06328-Rosa-G</t>
  </si>
  <si>
    <t>06394-Coral-M</t>
  </si>
  <si>
    <t>06135-Coral-P</t>
  </si>
  <si>
    <t>06289-Verde-P</t>
  </si>
  <si>
    <t>06287-Verde-M</t>
  </si>
  <si>
    <t>06264-Verde-P</t>
  </si>
  <si>
    <t>06264-Tangerina-P</t>
  </si>
  <si>
    <t>06416-Rosa-P</t>
  </si>
  <si>
    <t>06412-Rosa-M</t>
  </si>
  <si>
    <t>06289-Rosa-G</t>
  </si>
  <si>
    <t>06264-Rosa-G</t>
  </si>
  <si>
    <t>06134-Rosa-M</t>
  </si>
  <si>
    <t>06052</t>
  </si>
  <si>
    <t>06052-Rosa-G</t>
  </si>
  <si>
    <t>06257-Preto-M</t>
  </si>
  <si>
    <t>Pele</t>
  </si>
  <si>
    <t>05330-Pele-P</t>
  </si>
  <si>
    <t>05330-Pele-M</t>
  </si>
  <si>
    <t>06307-Branco-P</t>
  </si>
  <si>
    <t>06319-Azul-Marinho-P</t>
  </si>
  <si>
    <t>06306-Azul-Marinho-P</t>
  </si>
  <si>
    <t>06201-Amarelo-P</t>
  </si>
  <si>
    <t>06319-Coral-M</t>
  </si>
  <si>
    <t>06306-Coral-G</t>
  </si>
  <si>
    <t>06412-Laranja-P</t>
  </si>
  <si>
    <t>06350</t>
  </si>
  <si>
    <t>06350-Laranja-M</t>
  </si>
  <si>
    <t>06332</t>
  </si>
  <si>
    <t>06332-Laranja-P</t>
  </si>
  <si>
    <t>06332-Laranja-M</t>
  </si>
  <si>
    <t>06332-Laranja-G</t>
  </si>
  <si>
    <t>06241</t>
  </si>
  <si>
    <t>06241-Laranja-M</t>
  </si>
  <si>
    <t>06233</t>
  </si>
  <si>
    <t>06233-Laranja-M</t>
  </si>
  <si>
    <t>06128-Coral-P</t>
  </si>
  <si>
    <t>06052-Bege-M</t>
  </si>
  <si>
    <t>06135-Azul-M</t>
  </si>
  <si>
    <t>06128-Azul-M</t>
  </si>
  <si>
    <t>06307-Amarelo-M</t>
  </si>
  <si>
    <t>06302-Amarelo-M</t>
  </si>
  <si>
    <t>06250-Amarelo-M</t>
  </si>
  <si>
    <t>06358</t>
  </si>
  <si>
    <t>06358-Verde-P</t>
  </si>
  <si>
    <t>06358-Verde-M</t>
  </si>
  <si>
    <t>06358-Verde-G</t>
  </si>
  <si>
    <t>06134-Tangerina-G</t>
  </si>
  <si>
    <t>06297</t>
  </si>
  <si>
    <t>06297-Rosa-M</t>
  </si>
  <si>
    <t>06134-Rosa-P</t>
  </si>
  <si>
    <t>06361-Verde-M</t>
  </si>
  <si>
    <t>06282-Verde-G</t>
  </si>
  <si>
    <t>06412-Rosa-G</t>
  </si>
  <si>
    <t>06411-Rosa-G</t>
  </si>
  <si>
    <t>06129</t>
  </si>
  <si>
    <t>06129-Preto-M</t>
  </si>
  <si>
    <t>06085-Preto-G</t>
  </si>
  <si>
    <t>06371</t>
  </si>
  <si>
    <t>06371-Marrom-G</t>
  </si>
  <si>
    <t>06129-Azul-G</t>
  </si>
  <si>
    <t>06417-Rosa-P</t>
  </si>
  <si>
    <t>06323-Amarelo-P</t>
  </si>
  <si>
    <t>06354-Vermelho-P</t>
  </si>
  <si>
    <t>06354-Verde-P</t>
  </si>
  <si>
    <t>06342-Tangerina-P</t>
  </si>
  <si>
    <t>06324-Rosa-P</t>
  </si>
  <si>
    <t>06297-Rosa-P</t>
  </si>
  <si>
    <t>06300</t>
  </si>
  <si>
    <t>06300-Preto-P</t>
  </si>
  <si>
    <t>06261</t>
  </si>
  <si>
    <t>06261-Coral-P</t>
  </si>
  <si>
    <t>06354-Bege-P</t>
  </si>
  <si>
    <t>06358-Azul-P</t>
  </si>
  <si>
    <t>06222</t>
  </si>
  <si>
    <t>06222-Amarelo-P</t>
  </si>
  <si>
    <t>05761</t>
  </si>
  <si>
    <t>05761-Rosa-G</t>
  </si>
  <si>
    <t>06354-Vermelho-M</t>
  </si>
  <si>
    <t>06354-Verde-G</t>
  </si>
  <si>
    <t>06379-Rosa-M</t>
  </si>
  <si>
    <t>06348-Verde-M</t>
  </si>
  <si>
    <t>06325-Amarelo-M</t>
  </si>
  <si>
    <t>06323-Amarelo-M</t>
  </si>
  <si>
    <t>C0008-Rosa-GG</t>
  </si>
  <si>
    <t>06324-Rosa-M</t>
  </si>
  <si>
    <t>C0008-Preto-GG</t>
  </si>
  <si>
    <t>06352-Preto-M</t>
  </si>
  <si>
    <t>06186-Preto-G</t>
  </si>
  <si>
    <t>06143-Preto-G</t>
  </si>
  <si>
    <t>06143-Pistache-P</t>
  </si>
  <si>
    <t>C0008-Branco-GG</t>
  </si>
  <si>
    <t>C0084-Azul-Marinho-G</t>
  </si>
  <si>
    <t>C0008-Vinho-P</t>
  </si>
  <si>
    <t>06186-Coral-M</t>
  </si>
  <si>
    <t>06143-Coral-M</t>
  </si>
  <si>
    <t>C0008-Bege-G</t>
  </si>
  <si>
    <t>05761-Verde-G</t>
  </si>
  <si>
    <t>06111-Rosa-M</t>
  </si>
  <si>
    <t>06246</t>
  </si>
  <si>
    <t>06246-Coral-M</t>
  </si>
  <si>
    <t>06241-Laranja-P</t>
  </si>
  <si>
    <t>06240</t>
  </si>
  <si>
    <t>06240-Laranja-P</t>
  </si>
  <si>
    <t>06233-Laranja-P</t>
  </si>
  <si>
    <t>06282-Verde-P</t>
  </si>
  <si>
    <t>06282-Rosa-M</t>
  </si>
  <si>
    <t>06255-Rosa-M</t>
  </si>
  <si>
    <t>06282-Preto-P</t>
  </si>
  <si>
    <t>06260-Branco-P</t>
  </si>
  <si>
    <t>06329-Laranja-P</t>
  </si>
  <si>
    <t>06329-Laranja-M</t>
  </si>
  <si>
    <t>06350-Verde-M</t>
  </si>
  <si>
    <t>06103</t>
  </si>
  <si>
    <t>06103-Tangerina-P</t>
  </si>
  <si>
    <t>06052-Branco-M</t>
  </si>
  <si>
    <t>06137-Azul-G</t>
  </si>
  <si>
    <t>06263-Vermelho-M</t>
  </si>
  <si>
    <t>05846</t>
  </si>
  <si>
    <t>05846-Vermelho-G</t>
  </si>
  <si>
    <t>C2265-Rosa-G</t>
  </si>
  <si>
    <t>06178</t>
  </si>
  <si>
    <t>06178-Rosa-G</t>
  </si>
  <si>
    <t>06136</t>
  </si>
  <si>
    <t>06136-Rosa-G</t>
  </si>
  <si>
    <t>05993-Rosa-M</t>
  </si>
  <si>
    <t>06088</t>
  </si>
  <si>
    <t>06088-Tangerina-G</t>
  </si>
  <si>
    <t>05961</t>
  </si>
  <si>
    <t>05961-Verde-G</t>
  </si>
  <si>
    <t>06186-Branco-G</t>
  </si>
  <si>
    <t>06011</t>
  </si>
  <si>
    <t>06011-Verde-G</t>
  </si>
  <si>
    <t>06350-Verde-P</t>
  </si>
  <si>
    <t>06350-Verde-G</t>
  </si>
  <si>
    <t>06103-Tangerina-M</t>
  </si>
  <si>
    <t>06103-Tangerina-G</t>
  </si>
  <si>
    <t>06111-Rosa-P</t>
  </si>
  <si>
    <t>06332-Verde-M</t>
  </si>
  <si>
    <t>06329-Verde-M</t>
  </si>
  <si>
    <t>06339-Rosa-M</t>
  </si>
  <si>
    <t>06339-Amarelo-M</t>
  </si>
  <si>
    <t>06237-Preto-P</t>
  </si>
  <si>
    <t>06237-Preto-M</t>
  </si>
  <si>
    <t>06224-Pistache-P</t>
  </si>
  <si>
    <t>06152</t>
  </si>
  <si>
    <t>06152-Pistache-M</t>
  </si>
  <si>
    <t>06152-Tangerina-P</t>
  </si>
  <si>
    <t>06152-Tangerina-G</t>
  </si>
  <si>
    <t>06320-Branco-G</t>
  </si>
  <si>
    <t>06237-Branco-P</t>
  </si>
  <si>
    <t>06237-Branco-M</t>
  </si>
  <si>
    <t>06152-Branco-G</t>
  </si>
  <si>
    <t>06224-Coral-P</t>
  </si>
  <si>
    <t>06152-Amarelo-P</t>
  </si>
  <si>
    <t>C2265-Vinho-P</t>
  </si>
  <si>
    <t>06300-Rosa-P</t>
  </si>
  <si>
    <t>06300-Rosa-G</t>
  </si>
  <si>
    <t>06142</t>
  </si>
  <si>
    <t>06142-Rosa-P</t>
  </si>
  <si>
    <t>06142-Rosa-M</t>
  </si>
  <si>
    <t>05846-Rosa-M</t>
  </si>
  <si>
    <t>06345-Branco-M</t>
  </si>
  <si>
    <t>06344-Branco-P</t>
  </si>
  <si>
    <t>06344-Branco-M</t>
  </si>
  <si>
    <t>06300-Branco-M</t>
  </si>
  <si>
    <t>06281-Branco-P</t>
  </si>
  <si>
    <t>06245</t>
  </si>
  <si>
    <t>06245-Branco-P</t>
  </si>
  <si>
    <t>06245-Amarelo-P</t>
  </si>
  <si>
    <t>06243-Amarelo-M</t>
  </si>
  <si>
    <t>06335-Verde-M</t>
  </si>
  <si>
    <t>06300-Verde-M</t>
  </si>
  <si>
    <t>05977</t>
  </si>
  <si>
    <t>05977-Tangerina-M</t>
  </si>
  <si>
    <t>05976</t>
  </si>
  <si>
    <t>05976-Tangerina-M</t>
  </si>
  <si>
    <t>06198-Amarelo-M</t>
  </si>
  <si>
    <t>06174-Amarelo-M</t>
  </si>
  <si>
    <t>06345-Rosa-G</t>
  </si>
  <si>
    <t>06344-Rosa-G</t>
  </si>
  <si>
    <t>06320-Rosa-P</t>
  </si>
  <si>
    <t>06300-Rosa-M</t>
  </si>
  <si>
    <t>06300-Preto-M</t>
  </si>
  <si>
    <t>06300-Preto-G</t>
  </si>
  <si>
    <t>06306-Coral-P</t>
  </si>
  <si>
    <t>06298-Coral-P</t>
  </si>
  <si>
    <t>06298-Coral-G</t>
  </si>
  <si>
    <t>06181-Verde-M</t>
  </si>
  <si>
    <t>06100-Tangerina-G</t>
  </si>
  <si>
    <t>06290-Rosa-M</t>
  </si>
  <si>
    <t>06205</t>
  </si>
  <si>
    <t>06205-Rosa-G</t>
  </si>
  <si>
    <t>06169</t>
  </si>
  <si>
    <t>06169-Rosa-P</t>
  </si>
  <si>
    <t>06169-Rosa-M</t>
  </si>
  <si>
    <t>06169-Rosa-G</t>
  </si>
  <si>
    <t>06136-Rosa-P</t>
  </si>
  <si>
    <t>05948</t>
  </si>
  <si>
    <t>05948-Rosa-G</t>
  </si>
  <si>
    <t>06344-Preto-P</t>
  </si>
  <si>
    <t>06260-Preto-M</t>
  </si>
  <si>
    <t>06205-Preto-P</t>
  </si>
  <si>
    <t>06205-Preto-G</t>
  </si>
  <si>
    <t>06260-Branco-M</t>
  </si>
  <si>
    <t>06181-Branco-P</t>
  </si>
  <si>
    <t>06100-Branco-G</t>
  </si>
  <si>
    <t>06146</t>
  </si>
  <si>
    <t>06146-Verde-G</t>
  </si>
  <si>
    <t>06261-Coral-M</t>
  </si>
  <si>
    <t>06259-Coral-M</t>
  </si>
  <si>
    <t>06160-Coral-M</t>
  </si>
  <si>
    <t>06086-Coral-M</t>
  </si>
  <si>
    <t>06135-Coral-G</t>
  </si>
  <si>
    <t>06128-Coral-G</t>
  </si>
  <si>
    <t>06205-Azul-M</t>
  </si>
  <si>
    <t>06169-Azul-G</t>
  </si>
  <si>
    <t>06250-Amarelo-P</t>
  </si>
  <si>
    <t>06208-Branco-P</t>
  </si>
  <si>
    <t>06208-Branco-M</t>
  </si>
  <si>
    <t>06146-Tangerina-G</t>
  </si>
  <si>
    <t>06282-Preto-G</t>
  </si>
  <si>
    <t>06134-Preto-G</t>
  </si>
  <si>
    <t>05485</t>
  </si>
  <si>
    <t>05485-Preto-G</t>
  </si>
  <si>
    <t>05961-Tangerina-G</t>
  </si>
  <si>
    <t>05842-Amarelo-G</t>
  </si>
  <si>
    <t>05961-Tangerina-M</t>
  </si>
  <si>
    <t>06033</t>
  </si>
  <si>
    <t>06033-Verde-M</t>
  </si>
  <si>
    <t>05485-Bege-G</t>
  </si>
  <si>
    <t>06159-Branco-P</t>
  </si>
  <si>
    <t>06190</t>
  </si>
  <si>
    <t>06190-Bege-P</t>
  </si>
  <si>
    <t>06036-Tangerina-G</t>
  </si>
  <si>
    <t>06335-Rosa-P</t>
  </si>
  <si>
    <t>06335-Rosa-M</t>
  </si>
  <si>
    <t>06249-Rosa-P</t>
  </si>
  <si>
    <t>06249-Rosa-M</t>
  </si>
  <si>
    <t>06298-Azul-Marinho-P</t>
  </si>
  <si>
    <t>06241-Laranja-G</t>
  </si>
  <si>
    <t>06233-Laranja-G</t>
  </si>
  <si>
    <t>06228-Verde-M</t>
  </si>
  <si>
    <t>06080-Tangerina-M</t>
  </si>
  <si>
    <t>06155-Branco-G</t>
  </si>
  <si>
    <t>06134-Bege-G</t>
  </si>
  <si>
    <t>06133</t>
  </si>
  <si>
    <t>06133-Bege-G</t>
  </si>
  <si>
    <t>06335-Verde-G</t>
  </si>
  <si>
    <t>06133-Tangerina-P</t>
  </si>
  <si>
    <t>06133-Tangerina-G</t>
  </si>
  <si>
    <t>06237-Rosa-P</t>
  </si>
  <si>
    <t>06237-Preto-G</t>
  </si>
  <si>
    <t>05796</t>
  </si>
  <si>
    <t>05796-Verde-P</t>
  </si>
  <si>
    <t>05796-Verde-M</t>
  </si>
  <si>
    <t>05796-Verde-G</t>
  </si>
  <si>
    <t>C0032-Vermelho-M</t>
  </si>
  <si>
    <t>C1594-Branco-M</t>
  </si>
  <si>
    <t>C0032-Amarelo-P</t>
  </si>
  <si>
    <t>C0032-Verde-P</t>
  </si>
  <si>
    <t>06142-Rosa-G</t>
  </si>
  <si>
    <t>06083</t>
  </si>
  <si>
    <t>06083-Preto-G</t>
  </si>
  <si>
    <t>06031</t>
  </si>
  <si>
    <t>06031-Preto-G</t>
  </si>
  <si>
    <t>05653</t>
  </si>
  <si>
    <t>05653-Preto-M</t>
  </si>
  <si>
    <t>06142-Branco-G</t>
  </si>
  <si>
    <t>06083-Bege-G</t>
  </si>
  <si>
    <t>C0008-Azul-G</t>
  </si>
  <si>
    <t>06275-Verde-P</t>
  </si>
  <si>
    <t>06272-Verde-P</t>
  </si>
  <si>
    <t>06197</t>
  </si>
  <si>
    <t>06197-Verde-P</t>
  </si>
  <si>
    <t>06290-Preto-P</t>
  </si>
  <si>
    <t>06169-Azul-M</t>
  </si>
  <si>
    <t>06093</t>
  </si>
  <si>
    <t>06093-Azul-M</t>
  </si>
  <si>
    <t>06264-Verde-M</t>
  </si>
  <si>
    <t>06140</t>
  </si>
  <si>
    <t>06140-Verde-M</t>
  </si>
  <si>
    <t>06342-Rosa-M</t>
  </si>
  <si>
    <t>06244</t>
  </si>
  <si>
    <t>06244-Rosa-G</t>
  </si>
  <si>
    <t>06244-Rosa-M</t>
  </si>
  <si>
    <t>06140-Rosa-G</t>
  </si>
  <si>
    <t>06244-Preto-P</t>
  </si>
  <si>
    <t>06244-Preto-M</t>
  </si>
  <si>
    <t>06031-Olaria-M</t>
  </si>
  <si>
    <t>06031-Olaria-G</t>
  </si>
  <si>
    <t>06140-Azul-P</t>
  </si>
  <si>
    <t>06129-Amarelo-P</t>
  </si>
  <si>
    <t>06129-Amarelo-M</t>
  </si>
  <si>
    <t>06129-Amarelo-G</t>
  </si>
  <si>
    <t>06129-Azul-P</t>
  </si>
  <si>
    <t>06342-Tangerina-M</t>
  </si>
  <si>
    <t>06205-Rosa-P</t>
  </si>
  <si>
    <t>06027</t>
  </si>
  <si>
    <t>06027-Rosa-M</t>
  </si>
  <si>
    <t>05964</t>
  </si>
  <si>
    <t>05964-Rosa-M</t>
  </si>
  <si>
    <t>06205-Preto-M</t>
  </si>
  <si>
    <t>05927</t>
  </si>
  <si>
    <t>05927-Preto-G</t>
  </si>
  <si>
    <t>06222-Olaria-G</t>
  </si>
  <si>
    <t>05927-Branco-M</t>
  </si>
  <si>
    <t>06222-Amarelo-M</t>
  </si>
  <si>
    <t>05543</t>
  </si>
  <si>
    <t>05543-Verde-M</t>
  </si>
  <si>
    <t>06264-Rosa-M</t>
  </si>
  <si>
    <t>05944</t>
  </si>
  <si>
    <t>05944-Tangerina-P</t>
  </si>
  <si>
    <t>05921</t>
  </si>
  <si>
    <t>05921-Tangerina-P</t>
  </si>
  <si>
    <t>06277</t>
  </si>
  <si>
    <t>06277-Verde-P</t>
  </si>
  <si>
    <t>06259-Verde-P</t>
  </si>
  <si>
    <t>06246-Verde-P</t>
  </si>
  <si>
    <t>06131</t>
  </si>
  <si>
    <t>06131-Verde-P</t>
  </si>
  <si>
    <t>06342-Rosa-P</t>
  </si>
  <si>
    <t>06282-Rosa-P</t>
  </si>
  <si>
    <t>06222-Preto-M</t>
  </si>
  <si>
    <t>06086-Preto-M</t>
  </si>
  <si>
    <t>06052-Preto-G</t>
  </si>
  <si>
    <t>06297-Coral-M</t>
  </si>
  <si>
    <t>05977-Coral-G</t>
  </si>
  <si>
    <t>06275-Amarelo-P</t>
  </si>
  <si>
    <t>06272-Amarelo-P</t>
  </si>
  <si>
    <t>06230</t>
  </si>
  <si>
    <t>06230-Amarelo-G</t>
  </si>
  <si>
    <t>C0008-Rosa-G</t>
  </si>
  <si>
    <t>05791</t>
  </si>
  <si>
    <t>05791-Preto-P</t>
  </si>
  <si>
    <t>05791-Preto-G</t>
  </si>
  <si>
    <t>C0008-Olaria-P</t>
  </si>
  <si>
    <t>C0008-Verde-M</t>
  </si>
  <si>
    <t>C0008-Verde-G</t>
  </si>
  <si>
    <t>C0008-Amarelo-P</t>
  </si>
  <si>
    <t>05842-Coral-G</t>
  </si>
  <si>
    <t>05948-Azul-M</t>
  </si>
  <si>
    <t>06181-Verde-P</t>
  </si>
  <si>
    <t>06105-Verde-P</t>
  </si>
  <si>
    <t>06105-Verde-M</t>
  </si>
  <si>
    <t>06342-Rosa-G</t>
  </si>
  <si>
    <t>06237-Rosa-M</t>
  </si>
  <si>
    <t>06257-Preto-P</t>
  </si>
  <si>
    <t>06083-Preto-P</t>
  </si>
  <si>
    <t>06083-Preto-M</t>
  </si>
  <si>
    <t>06342-Branco-P</t>
  </si>
  <si>
    <t>06342-Branco-M</t>
  </si>
  <si>
    <t>06181-Branco-M</t>
  </si>
  <si>
    <t>06083-Branco-P</t>
  </si>
  <si>
    <t>06083-Branco-M</t>
  </si>
  <si>
    <t>05791-Branco-P</t>
  </si>
  <si>
    <t>05791-Branco-M</t>
  </si>
  <si>
    <t>06213-Verde-GG</t>
  </si>
  <si>
    <t>06083-Verde-P</t>
  </si>
  <si>
    <t>06083-Verde-M</t>
  </si>
  <si>
    <t>06083-Verde-G</t>
  </si>
  <si>
    <t>C2904-Verde-P</t>
  </si>
  <si>
    <t>06125</t>
  </si>
  <si>
    <t>06125-Verde-M</t>
  </si>
  <si>
    <t>06063</t>
  </si>
  <si>
    <t>06063-Verde-P</t>
  </si>
  <si>
    <t>06275-Rosa-P</t>
  </si>
  <si>
    <t>06097</t>
  </si>
  <si>
    <t>06097-Rosa-P</t>
  </si>
  <si>
    <t>C2904-Preto-P</t>
  </si>
  <si>
    <t>06277-Preto-M</t>
  </si>
  <si>
    <t>06105-Preto-M</t>
  </si>
  <si>
    <t>06063-Preto-M</t>
  </si>
  <si>
    <t>06031-Preto-P</t>
  </si>
  <si>
    <t>06025</t>
  </si>
  <si>
    <t>06025-Preto-M</t>
  </si>
  <si>
    <t>05930</t>
  </si>
  <si>
    <t>05930-Preto-M</t>
  </si>
  <si>
    <t>06277-Branco-P</t>
  </si>
  <si>
    <t>06152-Branco-M</t>
  </si>
  <si>
    <t>06125-Branco-M</t>
  </si>
  <si>
    <t>06025-Branco-P</t>
  </si>
  <si>
    <t>05930-Branco-P</t>
  </si>
  <si>
    <t>06025-Verde-P</t>
  </si>
  <si>
    <t>C1594-Coral-P</t>
  </si>
  <si>
    <t>06259-Coral-P</t>
  </si>
  <si>
    <t>06125-Coral-P</t>
  </si>
  <si>
    <t>C2889-Verde-M</t>
  </si>
  <si>
    <t>06097-Verde-M</t>
  </si>
  <si>
    <t>06125-Amarelo-P</t>
  </si>
  <si>
    <t>06208-Branco-G</t>
  </si>
  <si>
    <t>C0084-Olaria-P</t>
  </si>
  <si>
    <t>C2904-Branco-G</t>
  </si>
  <si>
    <t>C0084-Vinho-G</t>
  </si>
  <si>
    <t>05698-Azul-M</t>
  </si>
  <si>
    <t>06238-Verde-P</t>
  </si>
  <si>
    <t>06202-Verde-P</t>
  </si>
  <si>
    <t>06196</t>
  </si>
  <si>
    <t>06196-Verde-P</t>
  </si>
  <si>
    <t>06136-Verde-P</t>
  </si>
  <si>
    <t>06052-Rosa-P</t>
  </si>
  <si>
    <t>06245-Preto-M</t>
  </si>
  <si>
    <t>05920</t>
  </si>
  <si>
    <t>05920-Verde-P</t>
  </si>
  <si>
    <t>06337</t>
  </si>
  <si>
    <t>06337-Coral-P</t>
  </si>
  <si>
    <t>06184</t>
  </si>
  <si>
    <t>06184-Bege-P</t>
  </si>
  <si>
    <t>06131-Azul-P</t>
  </si>
  <si>
    <t>06069-Azul-P</t>
  </si>
  <si>
    <t>06196-Verde-M</t>
  </si>
  <si>
    <t>06131-Verde-G</t>
  </si>
  <si>
    <t>06044</t>
  </si>
  <si>
    <t>06044-Azul-Marinho-M</t>
  </si>
  <si>
    <t>06043</t>
  </si>
  <si>
    <t>06043-Azul-Marinho-G</t>
  </si>
  <si>
    <t>06198-Amarelo-P</t>
  </si>
  <si>
    <t>06179</t>
  </si>
  <si>
    <t>06179-Coral-P</t>
  </si>
  <si>
    <t>05928</t>
  </si>
  <si>
    <t>05928-Bege-M</t>
  </si>
  <si>
    <t>06185</t>
  </si>
  <si>
    <t>06185-Bege-P</t>
  </si>
  <si>
    <t>06178-Bege-P</t>
  </si>
  <si>
    <t>05789</t>
  </si>
  <si>
    <t>05789-Bege-M</t>
  </si>
  <si>
    <t>06168</t>
  </si>
  <si>
    <t>06168-Azul-P</t>
  </si>
  <si>
    <t>06140-Azul-M</t>
  </si>
  <si>
    <t>06136-Azul-M</t>
  </si>
  <si>
    <t>C0032-Vermelho-G</t>
  </si>
  <si>
    <t>06129-Verde-P</t>
  </si>
  <si>
    <t>05920-Verde-G</t>
  </si>
  <si>
    <t>06174-Azul-M</t>
  </si>
  <si>
    <t>06152-Amarelo-G</t>
  </si>
  <si>
    <t>05980</t>
  </si>
  <si>
    <t>05980-Amarelo-G</t>
  </si>
  <si>
    <t>06144</t>
  </si>
  <si>
    <t>06144-Rosa-P</t>
  </si>
  <si>
    <t>06144-Rosa-M</t>
  </si>
  <si>
    <t>06144-Rosa-G</t>
  </si>
  <si>
    <t>05330-Pele-G</t>
  </si>
  <si>
    <t>06129-Verde-M</t>
  </si>
  <si>
    <t>06129-Verde-G</t>
  </si>
  <si>
    <t>05330-Bege-P</t>
  </si>
  <si>
    <t>05330-Bege-M</t>
  </si>
  <si>
    <t>06144-Azul-P</t>
  </si>
  <si>
    <t>06144-Azul-G</t>
  </si>
  <si>
    <t>05653-Verde-M</t>
  </si>
  <si>
    <t>06097-Rosa-M</t>
  </si>
  <si>
    <t>05973</t>
  </si>
  <si>
    <t>05973-Rosa-P</t>
  </si>
  <si>
    <t>05973-Rosa-G</t>
  </si>
  <si>
    <t>05915</t>
  </si>
  <si>
    <t>05915-Rosa-P</t>
  </si>
  <si>
    <t>05914</t>
  </si>
  <si>
    <t>05914-Rosa-P</t>
  </si>
  <si>
    <t>05846-Rosa-G</t>
  </si>
  <si>
    <t>06114</t>
  </si>
  <si>
    <t>06114-Preto-M</t>
  </si>
  <si>
    <t>06052-Preto-P</t>
  </si>
  <si>
    <t>05973-Preto-M</t>
  </si>
  <si>
    <t>05920-Tangerina-P</t>
  </si>
  <si>
    <t>05543-Branco-M</t>
  </si>
  <si>
    <t>05944-Verde-M</t>
  </si>
  <si>
    <t>05920-Verde-M</t>
  </si>
  <si>
    <t>05973-Bege-M</t>
  </si>
  <si>
    <t>06114-Azul-G</t>
  </si>
  <si>
    <t>06140-Verde-G</t>
  </si>
  <si>
    <t>06197-Rosa-M</t>
  </si>
  <si>
    <t>06092</t>
  </si>
  <si>
    <t>06092-Rosa-P</t>
  </si>
  <si>
    <t>06238-Preto-M</t>
  </si>
  <si>
    <t>05930-Preto-P</t>
  </si>
  <si>
    <t>06117</t>
  </si>
  <si>
    <t>06117-Olaria-G</t>
  </si>
  <si>
    <t>05930-Branco-M</t>
  </si>
  <si>
    <t>06092-Amarelo-M</t>
  </si>
  <si>
    <t>06115</t>
  </si>
  <si>
    <t>06115-Azul-P</t>
  </si>
  <si>
    <t>05930-Azul-G</t>
  </si>
  <si>
    <t>05991</t>
  </si>
  <si>
    <t>05991-Amarelo-G</t>
  </si>
  <si>
    <t>06196-Verde-G</t>
  </si>
  <si>
    <t>06213-Rosa-P</t>
  </si>
  <si>
    <t>06196-Rosa-P</t>
  </si>
  <si>
    <t>06196-Rosa-M</t>
  </si>
  <si>
    <t>06065</t>
  </si>
  <si>
    <t>06065-Rosa-G</t>
  </si>
  <si>
    <t>05921-Tangerina-M</t>
  </si>
  <si>
    <t>06163</t>
  </si>
  <si>
    <t>06163-Branco-P</t>
  </si>
  <si>
    <t>06163-Azul-M</t>
  </si>
  <si>
    <t>06065-Azul-P</t>
  </si>
  <si>
    <t>06290-Preto-M</t>
  </si>
  <si>
    <t>06245-Preto-P</t>
  </si>
  <si>
    <t>05543-Preto-G</t>
  </si>
  <si>
    <t>C0032-Vinho-P</t>
  </si>
  <si>
    <t>06160-Coral-P</t>
  </si>
  <si>
    <t>05961-Coral-P</t>
  </si>
  <si>
    <t>05977-Branco-M</t>
  </si>
  <si>
    <t>05976-Branco-M</t>
  </si>
  <si>
    <t>06191</t>
  </si>
  <si>
    <t>06191-Rosa-G</t>
  </si>
  <si>
    <t>06045</t>
  </si>
  <si>
    <t>06045-Rosa-M</t>
  </si>
  <si>
    <t>05939</t>
  </si>
  <si>
    <t>05939-Rosa-G</t>
  </si>
  <si>
    <t>05939-Bege-P</t>
  </si>
  <si>
    <t>06275-Verde-G</t>
  </si>
  <si>
    <t>06272-Verde-G</t>
  </si>
  <si>
    <t>06218-Rosa-G</t>
  </si>
  <si>
    <t>06187</t>
  </si>
  <si>
    <t>06187-Branco-M</t>
  </si>
  <si>
    <t>06187-Verde-G</t>
  </si>
  <si>
    <t>06174-Amarelo-P</t>
  </si>
  <si>
    <t>06011-Verde-P</t>
  </si>
  <si>
    <t>06011-Verde-M</t>
  </si>
  <si>
    <t>06174-Verde-P</t>
  </si>
  <si>
    <t>06174-Verde-M</t>
  </si>
  <si>
    <t>06187-Azul-P</t>
  </si>
  <si>
    <t>05939-Verde-G</t>
  </si>
  <si>
    <t>C0008-Rosa-M</t>
  </si>
  <si>
    <t>06255-Rosa-P</t>
  </si>
  <si>
    <t>C0008-Preto-P</t>
  </si>
  <si>
    <t>C0008-Preto-M</t>
  </si>
  <si>
    <t>06218-Pistache-G</t>
  </si>
  <si>
    <t>C0008-Branco-P</t>
  </si>
  <si>
    <t>C0008-Branco-M</t>
  </si>
  <si>
    <t>06257-Branco-M</t>
  </si>
  <si>
    <t>06228-Branco-P</t>
  </si>
  <si>
    <t>06213-Branco-M</t>
  </si>
  <si>
    <t>05842-Verde-G</t>
  </si>
  <si>
    <t>06228-Coral-M</t>
  </si>
  <si>
    <t>C0008-Bege-P</t>
  </si>
  <si>
    <t>06133-Bege-M</t>
  </si>
  <si>
    <t>05698-Bege-P</t>
  </si>
  <si>
    <t>05698-Bege-G</t>
  </si>
  <si>
    <t>06063-Verde-M</t>
  </si>
  <si>
    <t>06063-Verde-G</t>
  </si>
  <si>
    <t>06216-Branco-G</t>
  </si>
  <si>
    <t>06063-Vinho-G</t>
  </si>
  <si>
    <t>06272-Verde-M</t>
  </si>
  <si>
    <t>06044-Preto-M</t>
  </si>
  <si>
    <t>05993-Preto-P</t>
  </si>
  <si>
    <t>05761-Preto-G</t>
  </si>
  <si>
    <t>05991-Pistache-M</t>
  </si>
  <si>
    <t>06047</t>
  </si>
  <si>
    <t>06047-Branco-P</t>
  </si>
  <si>
    <t>05951</t>
  </si>
  <si>
    <t>05951-Branco-M</t>
  </si>
  <si>
    <t>06058</t>
  </si>
  <si>
    <t>06058-Azul-Marinho-M</t>
  </si>
  <si>
    <t>06044-Azul-Marinho-P</t>
  </si>
  <si>
    <t>05951-Azul-Marinho-P</t>
  </si>
  <si>
    <t>05944-Verde-P</t>
  </si>
  <si>
    <t>05921-Verde-P</t>
  </si>
  <si>
    <t>05987-Bege-P</t>
  </si>
  <si>
    <t>05931</t>
  </si>
  <si>
    <t>05931-Bege-P</t>
  </si>
  <si>
    <t>06097-Azul-M</t>
  </si>
  <si>
    <t>06058-Azul-M</t>
  </si>
  <si>
    <t>05930-Azul-P</t>
  </si>
  <si>
    <t>06244-Verde-P</t>
  </si>
  <si>
    <t>06244-Verde-M</t>
  </si>
  <si>
    <t>06244-Rosa-P</t>
  </si>
  <si>
    <t>06080-Rosa-P</t>
  </si>
  <si>
    <t>06080-Rosa-M</t>
  </si>
  <si>
    <t>06080-Rosa-G</t>
  </si>
  <si>
    <t>05948-Rosa-P</t>
  </si>
  <si>
    <t>06190-Preto-P</t>
  </si>
  <si>
    <t>06155-Preto-P</t>
  </si>
  <si>
    <t>06155-Preto-M</t>
  </si>
  <si>
    <t>06155-Preto-G</t>
  </si>
  <si>
    <t>06069-Preto-P</t>
  </si>
  <si>
    <t>06044-Preto-P</t>
  </si>
  <si>
    <t>05939-Preto-P</t>
  </si>
  <si>
    <t>05939-Preto-M</t>
  </si>
  <si>
    <t>06117-Olaria-P</t>
  </si>
  <si>
    <t>06238-Branco-P</t>
  </si>
  <si>
    <t>06080-Branco-M</t>
  </si>
  <si>
    <t>05951-Branco-P</t>
  </si>
  <si>
    <t>06245-Rosa-P</t>
  </si>
  <si>
    <t>06245-Rosa-M</t>
  </si>
  <si>
    <t>06239-Pistache-G</t>
  </si>
  <si>
    <t>06033-Verde-G</t>
  </si>
  <si>
    <t>C0084-Olaria-G</t>
  </si>
  <si>
    <t>06019</t>
  </si>
  <si>
    <t>06019-Verde-M</t>
  </si>
  <si>
    <t>C0084-Coral-GG</t>
  </si>
  <si>
    <t>C2265-Bege-GG</t>
  </si>
  <si>
    <t>C2265-Azul-M</t>
  </si>
  <si>
    <t>06114-Azul-M</t>
  </si>
  <si>
    <t>06100-Azul-M</t>
  </si>
  <si>
    <t>C2265-Amarelo-P</t>
  </si>
  <si>
    <t>05950</t>
  </si>
  <si>
    <t>05950-Verde-M</t>
  </si>
  <si>
    <t>05949</t>
  </si>
  <si>
    <t>05949-Verde-M</t>
  </si>
  <si>
    <t>06184-Rosa-P</t>
  </si>
  <si>
    <t>06140-Rosa-M</t>
  </si>
  <si>
    <t>06222-Preto-P</t>
  </si>
  <si>
    <t>06100-Preto-G</t>
  </si>
  <si>
    <t>05950-Branco-P</t>
  </si>
  <si>
    <t>05949-Branco-P</t>
  </si>
  <si>
    <t>06184-Bege-M</t>
  </si>
  <si>
    <t>05988</t>
  </si>
  <si>
    <t>05988-Azul-P</t>
  </si>
  <si>
    <t>06118</t>
  </si>
  <si>
    <t>06118-Verde-GG</t>
  </si>
  <si>
    <t>06118-Verde-G</t>
  </si>
  <si>
    <t>06118-Rosa-P</t>
  </si>
  <si>
    <t>05706-Rosa-P</t>
  </si>
  <si>
    <t>05706-Rosa-M</t>
  </si>
  <si>
    <t>C1594-Coral-G</t>
  </si>
  <si>
    <t>06118-Azul-M</t>
  </si>
  <si>
    <t>06179-Verde-G</t>
  </si>
  <si>
    <t>pistache</t>
  </si>
  <si>
    <t>06224-pistache-M</t>
  </si>
  <si>
    <t>06213-Branco-P</t>
  </si>
  <si>
    <t>06202-Branco-G</t>
  </si>
  <si>
    <t>C0084-Preto-G</t>
  </si>
  <si>
    <t>05846-Vermelho-M</t>
  </si>
  <si>
    <t>06116</t>
  </si>
  <si>
    <t>06116-Verde-P</t>
  </si>
  <si>
    <t>05916</t>
  </si>
  <si>
    <t>05916-Verde-P</t>
  </si>
  <si>
    <t>06179-Preto-P</t>
  </si>
  <si>
    <t>06179-Preto-M</t>
  </si>
  <si>
    <t>06132-Preto-P</t>
  </si>
  <si>
    <t>06025-Preto-P</t>
  </si>
  <si>
    <t>05957</t>
  </si>
  <si>
    <t>05957-Preto-P</t>
  </si>
  <si>
    <t>05938</t>
  </si>
  <si>
    <t>05938-Preto-P</t>
  </si>
  <si>
    <t>05938-Preto-G</t>
  </si>
  <si>
    <t>05846-Preto-P</t>
  </si>
  <si>
    <t>05846-Preto-G</t>
  </si>
  <si>
    <t>06033-Verde-P</t>
  </si>
  <si>
    <t>06025-Verde-G</t>
  </si>
  <si>
    <t>05951-Verde-M</t>
  </si>
  <si>
    <t>05951-Verde-G</t>
  </si>
  <si>
    <t>06066</t>
  </si>
  <si>
    <t>06066-Azul-P</t>
  </si>
  <si>
    <t>06058-Azul-G</t>
  </si>
  <si>
    <t>06066-Amarelo-P</t>
  </si>
  <si>
    <t>06126-Verde-M</t>
  </si>
  <si>
    <t>Royal</t>
  </si>
  <si>
    <t>C0032-Royal-G</t>
  </si>
  <si>
    <t>05413</t>
  </si>
  <si>
    <t>05413-Verde-GG</t>
  </si>
  <si>
    <t>05987-Bege-G</t>
  </si>
  <si>
    <t>06136-Azul-G</t>
  </si>
  <si>
    <t>06118-Azul-G</t>
  </si>
  <si>
    <t>06157</t>
  </si>
  <si>
    <t>06157-Preto-M</t>
  </si>
  <si>
    <t>06219-Pistache-G</t>
  </si>
  <si>
    <t>06157-Branco-P</t>
  </si>
  <si>
    <t>06157-Branco-M</t>
  </si>
  <si>
    <t>05761-Verde-M</t>
  </si>
  <si>
    <t>06157-Verde-P</t>
  </si>
  <si>
    <t>06157-Verde-G</t>
  </si>
  <si>
    <t>05982</t>
  </si>
  <si>
    <t>05982-Verde-P</t>
  </si>
  <si>
    <t>05982-Verde-G</t>
  </si>
  <si>
    <t>06157-Marrom-P</t>
  </si>
  <si>
    <t>06290-Rosa-P</t>
  </si>
  <si>
    <t>06187-Tangerina-P</t>
  </si>
  <si>
    <t>05920-Tangerina-M</t>
  </si>
  <si>
    <t>06187-Verde-M</t>
  </si>
  <si>
    <t>06019-Verde-P</t>
  </si>
  <si>
    <t>06019-Verde-G</t>
  </si>
  <si>
    <t>06222-Olaria-P</t>
  </si>
  <si>
    <t>06160-Branco-M</t>
  </si>
  <si>
    <t>05976-Branco-P</t>
  </si>
  <si>
    <t>06160-Azul-P</t>
  </si>
  <si>
    <t>06087</t>
  </si>
  <si>
    <t>06087-Azul-G</t>
  </si>
  <si>
    <t>06022</t>
  </si>
  <si>
    <t>06022-Coral-M</t>
  </si>
  <si>
    <t>05961-Branco-P</t>
  </si>
  <si>
    <t>06117-Verde-P</t>
  </si>
  <si>
    <t>05988-Verde-G</t>
  </si>
  <si>
    <t>06211-Tangerina-P</t>
  </si>
  <si>
    <t>06211-Rosa-G</t>
  </si>
  <si>
    <t>06146-Amarelo-M</t>
  </si>
  <si>
    <t>06224-Coral-M</t>
  </si>
  <si>
    <t>06072</t>
  </si>
  <si>
    <t>06072-Coral-G</t>
  </si>
  <si>
    <t>06222-Branco-P</t>
  </si>
  <si>
    <t>05977-Branco-P</t>
  </si>
  <si>
    <t>05927-Pistache-P</t>
  </si>
  <si>
    <t>05927-Pistache-M</t>
  </si>
  <si>
    <t>05927-Pistache-G</t>
  </si>
  <si>
    <t>05976-Verde-M</t>
  </si>
  <si>
    <t>06143-Branco-M</t>
  </si>
  <si>
    <t>05993-Branco-P</t>
  </si>
  <si>
    <t>06144-Azul-M</t>
  </si>
  <si>
    <t>06290-Verde-M</t>
  </si>
  <si>
    <t>06255-Verde-M</t>
  </si>
  <si>
    <t>06255-Verde-G</t>
  </si>
  <si>
    <t>06239-Pistache-P</t>
  </si>
  <si>
    <t>06152-Pistache-P</t>
  </si>
  <si>
    <t>06152-Pistache-G</t>
  </si>
  <si>
    <t>05761-Verde-P</t>
  </si>
  <si>
    <t>06290-Verde-P</t>
  </si>
  <si>
    <t>06255-Verde-P</t>
  </si>
  <si>
    <t>06211-Tangerina-M</t>
  </si>
  <si>
    <t>06140-Rosa-P</t>
  </si>
  <si>
    <t>06011-Rosa-G</t>
  </si>
  <si>
    <t>C2904-Verde-GG</t>
  </si>
  <si>
    <t>06126-Verde-P</t>
  </si>
  <si>
    <t>06131-Rosa-M</t>
  </si>
  <si>
    <t>06126-Rosa-M</t>
  </si>
  <si>
    <t>C2889-Azul-Marinho-G</t>
  </si>
  <si>
    <t>06131-Azul-M</t>
  </si>
  <si>
    <t>06131-Azul-G</t>
  </si>
  <si>
    <t>06126-Azul-G</t>
  </si>
  <si>
    <t>06239-Pistache-M</t>
  </si>
  <si>
    <t>06224-Pistache-M</t>
  </si>
  <si>
    <t>05944-Tangerina-M</t>
  </si>
  <si>
    <t>05980-Coral-M</t>
  </si>
  <si>
    <t>06211-Tangerina-G</t>
  </si>
  <si>
    <t>06185-Rosa-G</t>
  </si>
  <si>
    <t>06043-Branco-M</t>
  </si>
  <si>
    <t>06043-Branco-G</t>
  </si>
  <si>
    <t>06185-Bege-M</t>
  </si>
  <si>
    <t>06185-Bege-G</t>
  </si>
  <si>
    <t>06043-Bege-P</t>
  </si>
  <si>
    <t>06043-Bege-M</t>
  </si>
  <si>
    <t>06043-Bege-G</t>
  </si>
  <si>
    <t>06115-Verde-P</t>
  </si>
  <si>
    <t>05907</t>
  </si>
  <si>
    <t>05907-Verde-GG</t>
  </si>
  <si>
    <t>05966</t>
  </si>
  <si>
    <t>05966-Preto-GG</t>
  </si>
  <si>
    <t>06026</t>
  </si>
  <si>
    <t>06026-Coral-GG</t>
  </si>
  <si>
    <t>06022-Coral-P</t>
  </si>
  <si>
    <t>06011-Verde-GG</t>
  </si>
  <si>
    <t>05698-Azul-P</t>
  </si>
  <si>
    <t>05931-Verde-G</t>
  </si>
  <si>
    <t>05915-Rosa-G</t>
  </si>
  <si>
    <t>05914-Rosa-G</t>
  </si>
  <si>
    <t>C2904-Preto-GG</t>
  </si>
  <si>
    <t>06025-Preto-G</t>
  </si>
  <si>
    <t>05957-Preto-G</t>
  </si>
  <si>
    <t>05921-Tangerina-G</t>
  </si>
  <si>
    <t>05920-Tangerina-G</t>
  </si>
  <si>
    <t>05944-Verde-G</t>
  </si>
  <si>
    <t>05921-Verde-G</t>
  </si>
  <si>
    <t>06020</t>
  </si>
  <si>
    <t>06020-Azul-G</t>
  </si>
  <si>
    <t>05981</t>
  </si>
  <si>
    <t>05981-Azul-G</t>
  </si>
  <si>
    <t>05942</t>
  </si>
  <si>
    <t>05942-Azul-G</t>
  </si>
  <si>
    <t>06045-Tangerina-G</t>
  </si>
  <si>
    <t>06117-Olaria-M</t>
  </si>
  <si>
    <t>05930-Branco-G</t>
  </si>
  <si>
    <t>05942-Azul-P</t>
  </si>
  <si>
    <t>05942-Azul-M</t>
  </si>
  <si>
    <t>06016</t>
  </si>
  <si>
    <t>06016-Preto-G</t>
  </si>
  <si>
    <t>05992</t>
  </si>
  <si>
    <t>05992-Pistache-G</t>
  </si>
  <si>
    <t>05977-Verde-G</t>
  </si>
  <si>
    <t>05976-Verde-G</t>
  </si>
  <si>
    <t>05992-Branco-G</t>
  </si>
  <si>
    <t>06182-Tangerina-P</t>
  </si>
  <si>
    <t>06146-Tangerina-P</t>
  </si>
  <si>
    <t>06133-Preto-G</t>
  </si>
  <si>
    <t>05977-Tangerina-P</t>
  </si>
  <si>
    <t>05976-Tangerina-P</t>
  </si>
  <si>
    <t>05977-Verde-M</t>
  </si>
  <si>
    <t>06047-Branco-M</t>
  </si>
  <si>
    <t>06047-Branco-G</t>
  </si>
  <si>
    <t>06146-Amarelo-P</t>
  </si>
  <si>
    <t>06063-Branco-P</t>
  </si>
  <si>
    <t>06035</t>
  </si>
  <si>
    <t>06035-Rosa-M</t>
  </si>
  <si>
    <t>05939-Rosa-M</t>
  </si>
  <si>
    <t>05915-Rosa-M</t>
  </si>
  <si>
    <t>05914-Rosa-M</t>
  </si>
  <si>
    <t>06016-Preto-M</t>
  </si>
  <si>
    <t>06045-Branco-G</t>
  </si>
  <si>
    <t>05992-Branco-M</t>
  </si>
  <si>
    <t>05991-Branco-G</t>
  </si>
  <si>
    <t>06110</t>
  </si>
  <si>
    <t>06110-Verde-M</t>
  </si>
  <si>
    <t>06065-Rosa-M</t>
  </si>
  <si>
    <t>06019-Rosa-G</t>
  </si>
  <si>
    <t>06072-Preto-G</t>
  </si>
  <si>
    <t>05961-Tangerina-P</t>
  </si>
  <si>
    <t>06110-Azul-G</t>
  </si>
  <si>
    <t>06065-Azul-G</t>
  </si>
  <si>
    <t>05900</t>
  </si>
  <si>
    <t>05900-Branco-M</t>
  </si>
  <si>
    <t>06149</t>
  </si>
  <si>
    <t>06149-Azul-M</t>
  </si>
  <si>
    <t>06115-Azul-M</t>
  </si>
  <si>
    <t>06115-Azul-G</t>
  </si>
  <si>
    <t>05846-Vermelho-P</t>
  </si>
  <si>
    <t>06185-Verde-P</t>
  </si>
  <si>
    <t>06185-Verde-M</t>
  </si>
  <si>
    <t>06178-Verde-P</t>
  </si>
  <si>
    <t>06178-Verde-M</t>
  </si>
  <si>
    <t>06163-Rosa-G</t>
  </si>
  <si>
    <t>C0032-Branco-G</t>
  </si>
  <si>
    <t>06043-Azul-Marinho-M</t>
  </si>
  <si>
    <t>06190-Verde-P</t>
  </si>
  <si>
    <t>05959</t>
  </si>
  <si>
    <t>05959-Verde-M</t>
  </si>
  <si>
    <t>06202-Verde-G</t>
  </si>
  <si>
    <t>06118-Verde-P</t>
  </si>
  <si>
    <t>05706-Turquesa-G</t>
  </si>
  <si>
    <t>06136-Rosa-M</t>
  </si>
  <si>
    <t>06118-Rosa-M</t>
  </si>
  <si>
    <t>06031-Rosa-P</t>
  </si>
  <si>
    <t>06019-Rosa-P</t>
  </si>
  <si>
    <t>06011-Rosa-M</t>
  </si>
  <si>
    <t>05413-Rosa-M</t>
  </si>
  <si>
    <t>06202-Preto-M</t>
  </si>
  <si>
    <t>06190-Preto-M</t>
  </si>
  <si>
    <t>06154</t>
  </si>
  <si>
    <t>06154-Preto-P</t>
  </si>
  <si>
    <t>06132-Preto-M</t>
  </si>
  <si>
    <t>06035-Preto-P</t>
  </si>
  <si>
    <t>06031-Preto-M</t>
  </si>
  <si>
    <t>05900-Preto-M</t>
  </si>
  <si>
    <t>05900-Preto-G</t>
  </si>
  <si>
    <t>06202-Branco-P</t>
  </si>
  <si>
    <t>06202-Branco-M</t>
  </si>
  <si>
    <t>06152-Branco-P</t>
  </si>
  <si>
    <t>05900-Branco-G</t>
  </si>
  <si>
    <t>05413-Verde-G</t>
  </si>
  <si>
    <t>05413-Verde-P</t>
  </si>
  <si>
    <t>06064</t>
  </si>
  <si>
    <t>06064-Bege-P</t>
  </si>
  <si>
    <t>05413-Bege-M</t>
  </si>
  <si>
    <t>06064-Azul-M</t>
  </si>
  <si>
    <t>05988-Azul-M</t>
  </si>
  <si>
    <t>05413-Azul-G</t>
  </si>
  <si>
    <t>06260-Preto-G</t>
  </si>
  <si>
    <t>06166</t>
  </si>
  <si>
    <t>06166-Preto-P</t>
  </si>
  <si>
    <t>05992-Preto-M</t>
  </si>
  <si>
    <t>06218-Pistache-M</t>
  </si>
  <si>
    <t>06166-Branco-P</t>
  </si>
  <si>
    <t>06146-Branco-G</t>
  </si>
  <si>
    <t>06228-Coral-P</t>
  </si>
  <si>
    <t>05977-Coral-M</t>
  </si>
  <si>
    <t>05976-Coral-M</t>
  </si>
  <si>
    <t>06159-Bege-M</t>
  </si>
  <si>
    <t>06133-Preto-P</t>
  </si>
  <si>
    <t>05485-Preto-P</t>
  </si>
  <si>
    <t>05653-Tangerina-P</t>
  </si>
  <si>
    <t>C0032-Verde-M</t>
  </si>
  <si>
    <t>C0032-Verde-G</t>
  </si>
  <si>
    <t>05485-Bege-M</t>
  </si>
  <si>
    <t>06061</t>
  </si>
  <si>
    <t>06061-Verde-G</t>
  </si>
  <si>
    <t>05991-Pistache-G</t>
  </si>
  <si>
    <t>06061-Coral-G</t>
  </si>
  <si>
    <t>06185-Verde-G</t>
  </si>
  <si>
    <t>06178-Verde-G</t>
  </si>
  <si>
    <t>05950-Verde-G</t>
  </si>
  <si>
    <t>05949-Verde-G</t>
  </si>
  <si>
    <t>05950-Branco-G</t>
  </si>
  <si>
    <t>05949-Branco-G</t>
  </si>
  <si>
    <t>C2904-Rosa-GG</t>
  </si>
  <si>
    <t>05942-Preto-G</t>
  </si>
  <si>
    <t>05942-Bege-P</t>
  </si>
  <si>
    <t>05942-Bege-G</t>
  </si>
  <si>
    <t>06035-Verde-M</t>
  </si>
  <si>
    <t>06020-Verde-M</t>
  </si>
  <si>
    <t>06020-Verde-G</t>
  </si>
  <si>
    <t>05988-Verde-M</t>
  </si>
  <si>
    <t>05981-Verde-P</t>
  </si>
  <si>
    <t>05981-Verde-M</t>
  </si>
  <si>
    <t>05543-Verde-P</t>
  </si>
  <si>
    <t>05543-Verde-G</t>
  </si>
  <si>
    <t>06019-Rosa-M</t>
  </si>
  <si>
    <t>06133-Preto-M</t>
  </si>
  <si>
    <t>05987-Preto-G</t>
  </si>
  <si>
    <t>06044-Azul-Marinho-G</t>
  </si>
  <si>
    <t>06058-Azul-P</t>
  </si>
  <si>
    <t>06020-Azul-M</t>
  </si>
  <si>
    <t>05988-Azul-G</t>
  </si>
  <si>
    <t>06154-Rosa-P</t>
  </si>
  <si>
    <t>05543-Preto-P</t>
  </si>
  <si>
    <t>05819</t>
  </si>
  <si>
    <t>05819-Tangerina-G</t>
  </si>
  <si>
    <t>05818</t>
  </si>
  <si>
    <t>05818-Tangerina-G</t>
  </si>
  <si>
    <t>05977-Verde-P</t>
  </si>
  <si>
    <t>05976-Verde-P</t>
  </si>
  <si>
    <t>06087-Verde-P</t>
  </si>
  <si>
    <t>05846-Branco-M</t>
  </si>
  <si>
    <t>05413-Verde-M</t>
  </si>
  <si>
    <t>06064-Azul-G</t>
  </si>
  <si>
    <t>05981-Azul-P</t>
  </si>
  <si>
    <t>05653-Preto-P</t>
  </si>
  <si>
    <t>05653-Preto-G</t>
  </si>
  <si>
    <t>06116-Verde-M</t>
  </si>
  <si>
    <t>06065-Rosa-P</t>
  </si>
  <si>
    <t>06184-Verde-P</t>
  </si>
  <si>
    <t>06184-Verde-M</t>
  </si>
  <si>
    <t>06184-Verde-G</t>
  </si>
  <si>
    <t>06185-Rosa-P</t>
  </si>
  <si>
    <t>06185-Rosa-M</t>
  </si>
  <si>
    <t>06184-Rosa-M</t>
  </si>
  <si>
    <t>06184-Rosa-G</t>
  </si>
  <si>
    <t>06178-Rosa-P</t>
  </si>
  <si>
    <t>06178-Rosa-M</t>
  </si>
  <si>
    <t>06171</t>
  </si>
  <si>
    <t>06171-Preto-P</t>
  </si>
  <si>
    <t>06157-Preto-P</t>
  </si>
  <si>
    <t>06157-Preto-G</t>
  </si>
  <si>
    <t>06132-Preto-G</t>
  </si>
  <si>
    <t>05930-Preto-G</t>
  </si>
  <si>
    <t>06171-Olaria-P</t>
  </si>
  <si>
    <t>06171-Branco-P</t>
  </si>
  <si>
    <t>06157-Branco-G</t>
  </si>
  <si>
    <t>06132-Coral-M</t>
  </si>
  <si>
    <t>06132-Coral-G</t>
  </si>
  <si>
    <t>06157-Verde-M</t>
  </si>
  <si>
    <t>06157-Marrom-M</t>
  </si>
  <si>
    <t>06157-Marrom-G</t>
  </si>
  <si>
    <t>06184-Bege-G</t>
  </si>
  <si>
    <t>06178-Bege-M</t>
  </si>
  <si>
    <t>06178-Bege-G</t>
  </si>
  <si>
    <t>06132-Azul-P</t>
  </si>
  <si>
    <t>06132-Azul-M</t>
  </si>
  <si>
    <t>06132-Azul-G</t>
  </si>
  <si>
    <t>05930-Azul-M</t>
  </si>
  <si>
    <t>05931-Verde-M</t>
  </si>
  <si>
    <t>06163-Rosa-P</t>
  </si>
  <si>
    <t>06133-Bege-P</t>
  </si>
  <si>
    <t>06146-Tangerina-M</t>
  </si>
  <si>
    <t>06075</t>
  </si>
  <si>
    <t>06075-Preto-G</t>
  </si>
  <si>
    <t>05957-Preto-M</t>
  </si>
  <si>
    <t>06171-Olaria-M</t>
  </si>
  <si>
    <t>06171-Olaria-G</t>
  </si>
  <si>
    <t>06154-Branco-G</t>
  </si>
  <si>
    <t>06146-Verde-P</t>
  </si>
  <si>
    <t>05957-Verde-P</t>
  </si>
  <si>
    <t>06075-Verde-M</t>
  </si>
  <si>
    <t>05942-Bege-M</t>
  </si>
  <si>
    <t>06072-Branco-G</t>
  </si>
  <si>
    <t>06075-Azul-P</t>
  </si>
  <si>
    <t>06182-Tangerina-M</t>
  </si>
  <si>
    <t>06182-Rosa-P</t>
  </si>
  <si>
    <t>06098</t>
  </si>
  <si>
    <t>06098-Rosa-P</t>
  </si>
  <si>
    <t>05913</t>
  </si>
  <si>
    <t>05913-Rosa-M</t>
  </si>
  <si>
    <t>06182-Preto-P</t>
  </si>
  <si>
    <t>05916-Olaria-P</t>
  </si>
  <si>
    <t>06182-Branco-M</t>
  </si>
  <si>
    <t>06154-Branco-M</t>
  </si>
  <si>
    <t>06129-Azul-M</t>
  </si>
  <si>
    <t>06098-Azul-G</t>
  </si>
  <si>
    <t>05916-Amarelo-M</t>
  </si>
  <si>
    <t>05950-Verde-P</t>
  </si>
  <si>
    <t>05761-Preto-M</t>
  </si>
  <si>
    <t>C2889-Branco-M</t>
  </si>
  <si>
    <t>06146-Branco-M</t>
  </si>
  <si>
    <t>05950-Branco-M</t>
  </si>
  <si>
    <t>05842-Coral-P</t>
  </si>
  <si>
    <t>C2889-Bege-M</t>
  </si>
  <si>
    <t>05916-Verde-M</t>
  </si>
  <si>
    <t>05916-Olaria-G</t>
  </si>
  <si>
    <t>05938-Verde-P</t>
  </si>
  <si>
    <t>05938-Verde-M</t>
  </si>
  <si>
    <t>05938-Verde-G</t>
  </si>
  <si>
    <t>06057</t>
  </si>
  <si>
    <t>06057-Verde-M</t>
  </si>
  <si>
    <t>06057-Verde-G</t>
  </si>
  <si>
    <t>05959-Verde-P</t>
  </si>
  <si>
    <t>05959-Verde-G</t>
  </si>
  <si>
    <t>06098-Azul-M</t>
  </si>
  <si>
    <t>05913-Verde-M</t>
  </si>
  <si>
    <t>05913-Rosa-P</t>
  </si>
  <si>
    <t>06182-Preto-G</t>
  </si>
  <si>
    <t>05992-Pistache-P</t>
  </si>
  <si>
    <t>05992-Pistache-M</t>
  </si>
  <si>
    <t>06171-Branco-M</t>
  </si>
  <si>
    <t>06171-Branco-G</t>
  </si>
  <si>
    <t>06179-Verde-P</t>
  </si>
  <si>
    <t>05907-Verde-G</t>
  </si>
  <si>
    <t>06149-Rosa-M</t>
  </si>
  <si>
    <t>06171-Preto-G</t>
  </si>
  <si>
    <t>05966-Verde-G</t>
  </si>
  <si>
    <t>06092-Amarelo-P</t>
  </si>
  <si>
    <t>05976-Coral-P</t>
  </si>
  <si>
    <t>06149-Azul-P</t>
  </si>
  <si>
    <t>05907-Amarelo-P</t>
  </si>
  <si>
    <t>05842-Azul-G</t>
  </si>
  <si>
    <t>06118-Verde-M</t>
  </si>
  <si>
    <t>06118-Rosa-G</t>
  </si>
  <si>
    <t>05954</t>
  </si>
  <si>
    <t>05954-Rosa-M</t>
  </si>
  <si>
    <t>05959-Preto-G</t>
  </si>
  <si>
    <t>05954-Preto-P</t>
  </si>
  <si>
    <t>05954-Preto-M</t>
  </si>
  <si>
    <t>05790</t>
  </si>
  <si>
    <t>05790-Laranja-M</t>
  </si>
  <si>
    <t>05959-Branco-P</t>
  </si>
  <si>
    <t>05954-Branco-P</t>
  </si>
  <si>
    <t>05954-Branco-M</t>
  </si>
  <si>
    <t>05954-Branco-G</t>
  </si>
  <si>
    <t>05413-Branco-G</t>
  </si>
  <si>
    <t>05966-Verde-M</t>
  </si>
  <si>
    <t>05413-Bege-G</t>
  </si>
  <si>
    <t>06118-Azul-P</t>
  </si>
  <si>
    <t>05954-Azul-P</t>
  </si>
  <si>
    <t>05413-Azul-P</t>
  </si>
  <si>
    <t>05413-Azul-M</t>
  </si>
  <si>
    <t>06134-Rosa-G</t>
  </si>
  <si>
    <t>06133-Rosa-G</t>
  </si>
  <si>
    <t>05991-Branco-P</t>
  </si>
  <si>
    <t>05949-Branco-M</t>
  </si>
  <si>
    <t>05991-Preto-P</t>
  </si>
  <si>
    <t>05987-Branco-M</t>
  </si>
  <si>
    <t>05948-Branco-P</t>
  </si>
  <si>
    <t>06058-Azul-Marinho-P</t>
  </si>
  <si>
    <t>06134-Bege-P</t>
  </si>
  <si>
    <t>05791-Azul-P</t>
  </si>
  <si>
    <t>06146-Verde-M</t>
  </si>
  <si>
    <t>06100-Azul-G</t>
  </si>
  <si>
    <t>06011-Rosa-GG</t>
  </si>
  <si>
    <t>06077</t>
  </si>
  <si>
    <t>06077-Coral-G</t>
  </si>
  <si>
    <t>06071</t>
  </si>
  <si>
    <t>06071-Coral-G</t>
  </si>
  <si>
    <t>06020-Azul-P</t>
  </si>
  <si>
    <t>05819-Azul-G</t>
  </si>
  <si>
    <t>05818-Azul-G</t>
  </si>
  <si>
    <t>05485-Rosa-M</t>
  </si>
  <si>
    <t>05485-Rosa-G</t>
  </si>
  <si>
    <t>06159-Branco-G</t>
  </si>
  <si>
    <t>06114-Preto-G</t>
  </si>
  <si>
    <t>05993-Preto-M</t>
  </si>
  <si>
    <t>05543-Pele-P</t>
  </si>
  <si>
    <t>06087-Amarelo-G</t>
  </si>
  <si>
    <t>06100-Branco-P</t>
  </si>
  <si>
    <t>05846-Rosa-P</t>
  </si>
  <si>
    <t>06166-Verde-P</t>
  </si>
  <si>
    <t>06166-Amarelo-M</t>
  </si>
  <si>
    <t>05948-Azul-G</t>
  </si>
  <si>
    <t>05937</t>
  </si>
  <si>
    <t>05937-Preto-M</t>
  </si>
  <si>
    <t>06146-Branco-P</t>
  </si>
  <si>
    <t>06057-Branco-M</t>
  </si>
  <si>
    <t>05937-Verde-P</t>
  </si>
  <si>
    <t>06087-Amarelo-M</t>
  </si>
  <si>
    <t>06072-Branco-P</t>
  </si>
  <si>
    <t>06035-Rosa-G</t>
  </si>
  <si>
    <t>06011-Rosa-P</t>
  </si>
  <si>
    <t>06024</t>
  </si>
  <si>
    <t>06024-Branco-P</t>
  </si>
  <si>
    <t>06025-Verde-M</t>
  </si>
  <si>
    <t>06166-Amarelo-P</t>
  </si>
  <si>
    <t>06035-Verde-G</t>
  </si>
  <si>
    <t>06035-Rosa-P</t>
  </si>
  <si>
    <t>05955</t>
  </si>
  <si>
    <t>05955-Rosa-G</t>
  </si>
  <si>
    <t>05874</t>
  </si>
  <si>
    <t>05874-Rosa-M</t>
  </si>
  <si>
    <t>05867</t>
  </si>
  <si>
    <t>05867-Preto-M</t>
  </si>
  <si>
    <t>06056-Olaria-G</t>
  </si>
  <si>
    <t>05987-Branco-P</t>
  </si>
  <si>
    <t>05330-Branco-M</t>
  </si>
  <si>
    <t>06114-Tangerina-G</t>
  </si>
  <si>
    <t>05899</t>
  </si>
  <si>
    <t>05899-Branco-P</t>
  </si>
  <si>
    <t>06133-Rosa-M</t>
  </si>
  <si>
    <t>05991-pistache-M</t>
  </si>
  <si>
    <t>05991-Branco-M</t>
  </si>
  <si>
    <t>06059</t>
  </si>
  <si>
    <t>06059-Verde-P</t>
  </si>
  <si>
    <t>05888</t>
  </si>
  <si>
    <t>05888-Verde-G</t>
  </si>
  <si>
    <t>05874-Verde-M</t>
  </si>
  <si>
    <t>06133-Tangerina-M</t>
  </si>
  <si>
    <t>05948-Rosa-M</t>
  </si>
  <si>
    <t>05874-Rosa-P</t>
  </si>
  <si>
    <t>05769</t>
  </si>
  <si>
    <t>05769-Preto-G</t>
  </si>
  <si>
    <t>05769-Branco-P</t>
  </si>
  <si>
    <t>06047-Azul-Marinho-M</t>
  </si>
  <si>
    <t>06074</t>
  </si>
  <si>
    <t>06074-Coral-GG</t>
  </si>
  <si>
    <t>06074-Coral-G</t>
  </si>
  <si>
    <t>06073</t>
  </si>
  <si>
    <t>06073-Coral-M</t>
  </si>
  <si>
    <t>05769-Verde-P</t>
  </si>
  <si>
    <t>05769-Verde-M</t>
  </si>
  <si>
    <t>05769-Verde-G</t>
  </si>
  <si>
    <t>06059-Coral-M</t>
  </si>
  <si>
    <t>06074-Azul-P</t>
  </si>
  <si>
    <t>06074-Azul-M</t>
  </si>
  <si>
    <t>06073-Azul-G</t>
  </si>
  <si>
    <t>05818-Azul-P</t>
  </si>
  <si>
    <t>05818-Azul-M</t>
  </si>
  <si>
    <t>05891</t>
  </si>
  <si>
    <t>05891-Verde-P</t>
  </si>
  <si>
    <t>05890</t>
  </si>
  <si>
    <t>05890-Verde-P</t>
  </si>
  <si>
    <t>06061-Coral-P</t>
  </si>
  <si>
    <t>06190-Branco-P</t>
  </si>
  <si>
    <t>05939-Verde-M</t>
  </si>
  <si>
    <t>05968</t>
  </si>
  <si>
    <t>05968-Preto-P</t>
  </si>
  <si>
    <t>05968-Preto-M</t>
  </si>
  <si>
    <t>06056-Olaria-P</t>
  </si>
  <si>
    <t>06026-Amarelo-M</t>
  </si>
  <si>
    <t>06026-Coral-M</t>
  </si>
  <si>
    <t>06026-Coral-G</t>
  </si>
  <si>
    <t>05330-Verde-P</t>
  </si>
  <si>
    <t>05773</t>
  </si>
  <si>
    <t>05773-Preto-P</t>
  </si>
  <si>
    <t>06043-Branco-P</t>
  </si>
  <si>
    <t>05330-Branco-P</t>
  </si>
  <si>
    <t>06043-Azul-Marinho-P</t>
  </si>
  <si>
    <t>05951-Verde-P</t>
  </si>
  <si>
    <t>05958</t>
  </si>
  <si>
    <t>05958-Verde-M</t>
  </si>
  <si>
    <t>06029</t>
  </si>
  <si>
    <t>06029-Preto-G</t>
  </si>
  <si>
    <t>05951-Preto-M</t>
  </si>
  <si>
    <t>06114-Amarelo-G</t>
  </si>
  <si>
    <t>06029-Verde-G</t>
  </si>
  <si>
    <t>05931-Coral-G</t>
  </si>
  <si>
    <t>06024-Bege-M</t>
  </si>
  <si>
    <t>05965</t>
  </si>
  <si>
    <t>05965-Azul-G</t>
  </si>
  <si>
    <t>05330-Verde-M</t>
  </si>
  <si>
    <t>05330-Verde-G</t>
  </si>
  <si>
    <t>05939-Rosa-P</t>
  </si>
  <si>
    <t>05987-Preto-P</t>
  </si>
  <si>
    <t>06094</t>
  </si>
  <si>
    <t>06094-Azul-Marinho-P</t>
  </si>
  <si>
    <t>06094-Azul-Marinho-M</t>
  </si>
  <si>
    <t>06089</t>
  </si>
  <si>
    <t>06089-Azul-Marinho-P</t>
  </si>
  <si>
    <t>06089-Azul-Marinho-M</t>
  </si>
  <si>
    <t>06009</t>
  </si>
  <si>
    <t>06009-Coral-P</t>
  </si>
  <si>
    <t>06094-Amarelo-P</t>
  </si>
  <si>
    <t>06094-Amarelo-M</t>
  </si>
  <si>
    <t>06089-Amarelo-P</t>
  </si>
  <si>
    <t>06089-Amarelo-M</t>
  </si>
  <si>
    <t>06133-Rosa-P</t>
  </si>
  <si>
    <t>06075-Rosa-P</t>
  </si>
  <si>
    <t>05955-Rosa-M</t>
  </si>
  <si>
    <t>05786</t>
  </si>
  <si>
    <t>05786-Rosa-P</t>
  </si>
  <si>
    <t>06024-Preto-P</t>
  </si>
  <si>
    <t>05860</t>
  </si>
  <si>
    <t>05860-Branco-P</t>
  </si>
  <si>
    <t>C2265-Verde-G</t>
  </si>
  <si>
    <t>05780</t>
  </si>
  <si>
    <t>05780-Verde-P</t>
  </si>
  <si>
    <t>C2265-Vinho-GG</t>
  </si>
  <si>
    <t>06023</t>
  </si>
  <si>
    <t>06023-Amarelo-P</t>
  </si>
  <si>
    <t>06074-Coral-M</t>
  </si>
  <si>
    <t>06071-Coral-P</t>
  </si>
  <si>
    <t>05876</t>
  </si>
  <si>
    <t>05876-Coral-M</t>
  </si>
  <si>
    <t>05860-Coral-P</t>
  </si>
  <si>
    <t>06075-Verde-P</t>
  </si>
  <si>
    <t>05786-Verde-P</t>
  </si>
  <si>
    <t>05765</t>
  </si>
  <si>
    <t>05765-Marrom-P</t>
  </si>
  <si>
    <t>C2265-Marrom-P</t>
  </si>
  <si>
    <t>06024-Bege-P</t>
  </si>
  <si>
    <t>05765-Bege-P</t>
  </si>
  <si>
    <t>05876-Branco-P</t>
  </si>
  <si>
    <t>06074-Azul-G</t>
  </si>
  <si>
    <t>06071-Azul-M</t>
  </si>
  <si>
    <t>05934</t>
  </si>
  <si>
    <t>05934-Amarelo-P</t>
  </si>
  <si>
    <t>05939-Verde-P</t>
  </si>
  <si>
    <t>06061-Verde-P</t>
  </si>
  <si>
    <t>C2904-Rosa-P</t>
  </si>
  <si>
    <t>05485-Rosa-P</t>
  </si>
  <si>
    <t>06024-Preto-M</t>
  </si>
  <si>
    <t>05959-Preto-M</t>
  </si>
  <si>
    <t>05923</t>
  </si>
  <si>
    <t>05923-Tangerina-P</t>
  </si>
  <si>
    <t>06095</t>
  </si>
  <si>
    <t>06095-Azul-Marinho-M</t>
  </si>
  <si>
    <t>06074-Coral-P</t>
  </si>
  <si>
    <t>06023-Coral-M</t>
  </si>
  <si>
    <t>05971</t>
  </si>
  <si>
    <t>05971-Coral-P</t>
  </si>
  <si>
    <t>05970</t>
  </si>
  <si>
    <t>05970-Coral-P</t>
  </si>
  <si>
    <t>05791-Marrom-P</t>
  </si>
  <si>
    <t>06077-Azul-P</t>
  </si>
  <si>
    <t>06070</t>
  </si>
  <si>
    <t>06070-Azul-P</t>
  </si>
  <si>
    <t>06044-Azul-P</t>
  </si>
  <si>
    <t>05926</t>
  </si>
  <si>
    <t>05926-Verde-M</t>
  </si>
  <si>
    <t>Jaqueta</t>
  </si>
  <si>
    <t>RC216</t>
  </si>
  <si>
    <t>Regata</t>
  </si>
  <si>
    <t>06045-Branco-M</t>
  </si>
  <si>
    <t>Calca</t>
  </si>
  <si>
    <t>Alcinha</t>
  </si>
  <si>
    <t>Blazer</t>
  </si>
  <si>
    <t>05888-Laranja-G</t>
  </si>
  <si>
    <t>06045-Verde-G</t>
  </si>
  <si>
    <t>Cropped</t>
  </si>
  <si>
    <t>Macacao</t>
  </si>
  <si>
    <t>06056-Preto-P</t>
  </si>
  <si>
    <t>06056-Preto-M</t>
  </si>
  <si>
    <t>06056-Preto-G</t>
  </si>
  <si>
    <t>06114-Amarelo-P</t>
  </si>
  <si>
    <t>06114-Amarelo-M</t>
  </si>
  <si>
    <t>05906</t>
  </si>
  <si>
    <t>05906-Vermelho-P</t>
  </si>
  <si>
    <t>Body</t>
  </si>
  <si>
    <t>05906-Vermelho-G</t>
  </si>
  <si>
    <t>05889</t>
  </si>
  <si>
    <t>05889-Vermelho-P</t>
  </si>
  <si>
    <t>05889-Vermelho-G</t>
  </si>
  <si>
    <t>Camisa</t>
  </si>
  <si>
    <t>05949-Verde-P</t>
  </si>
  <si>
    <t>05815</t>
  </si>
  <si>
    <t>05815-Verde-P</t>
  </si>
  <si>
    <t>05912</t>
  </si>
  <si>
    <t>05912-Preto-M</t>
  </si>
  <si>
    <t>05791-Preto-M</t>
  </si>
  <si>
    <t>05773-Preto-M</t>
  </si>
  <si>
    <t>05675</t>
  </si>
  <si>
    <t>05675-Preto-M</t>
  </si>
  <si>
    <t>05932</t>
  </si>
  <si>
    <t>05932-Verde-M</t>
  </si>
  <si>
    <t>05917</t>
  </si>
  <si>
    <t>05917-Azul-G</t>
  </si>
  <si>
    <t>05909</t>
  </si>
  <si>
    <t>05909-Azul-G</t>
  </si>
  <si>
    <t>05847</t>
  </si>
  <si>
    <t>05847-Azul-M</t>
  </si>
  <si>
    <t>05987-Rosa-P</t>
  </si>
  <si>
    <t>05987-Rosa-M</t>
  </si>
  <si>
    <t>05791-pistache-G</t>
  </si>
  <si>
    <t>05888-Laranja-M</t>
  </si>
  <si>
    <t>05951-Azul-M</t>
  </si>
  <si>
    <t>Top</t>
  </si>
  <si>
    <t>05898</t>
  </si>
  <si>
    <t>05898-Verde-P</t>
  </si>
  <si>
    <t>05992-Preto-P</t>
  </si>
  <si>
    <t>05992-Preto-G</t>
  </si>
  <si>
    <t>05646</t>
  </si>
  <si>
    <t>05646-Preto-P</t>
  </si>
  <si>
    <t>05646-Preto-M</t>
  </si>
  <si>
    <t>05646-Preto-G</t>
  </si>
  <si>
    <t>06024-Branco-M</t>
  </si>
  <si>
    <t>06024-Branco-G</t>
  </si>
  <si>
    <t>05992-Branco-P</t>
  </si>
  <si>
    <t>05983</t>
  </si>
  <si>
    <t>05983-Branco-P</t>
  </si>
  <si>
    <t>05983-Branco-M</t>
  </si>
  <si>
    <t>05646-Branco-P</t>
  </si>
  <si>
    <t>05646-Branco-M</t>
  </si>
  <si>
    <t>05646-Branco-G</t>
  </si>
  <si>
    <t>05983-Verde-P</t>
  </si>
  <si>
    <t>05983-Verde-M</t>
  </si>
  <si>
    <t>05982-Verde-M</t>
  </si>
  <si>
    <t>06024-Bege-G</t>
  </si>
  <si>
    <t>05948-Azul-P</t>
  </si>
  <si>
    <t>05987-Preto-M</t>
  </si>
  <si>
    <t>05779</t>
  </si>
  <si>
    <t>05779-Vermelho-P</t>
  </si>
  <si>
    <t>05890-Marrom-G</t>
  </si>
  <si>
    <t>05945</t>
  </si>
  <si>
    <t>05945-Verde-G</t>
  </si>
  <si>
    <t>05890-Verde-M</t>
  </si>
  <si>
    <t>06021</t>
  </si>
  <si>
    <t>06021-Amarelo-G</t>
  </si>
  <si>
    <t>06009-Amarelo-G</t>
  </si>
  <si>
    <t>06009-Coral-M</t>
  </si>
  <si>
    <t>05998</t>
  </si>
  <si>
    <t>05998-Coral-M</t>
  </si>
  <si>
    <t>06077-Azul-G</t>
  </si>
  <si>
    <t>06094-Amarelo-G</t>
  </si>
  <si>
    <t>06089-Amarelo-G</t>
  </si>
  <si>
    <t>05791-Pistache-G</t>
  </si>
  <si>
    <t>05951-Azul-Marinho-M</t>
  </si>
  <si>
    <t>05887</t>
  </si>
  <si>
    <t>05887-Laranja-P</t>
  </si>
  <si>
    <t>05887-Laranja-M</t>
  </si>
  <si>
    <t>05887-Laranja-G</t>
  </si>
  <si>
    <t>05790-Laranja-P</t>
  </si>
  <si>
    <t>05790-Laranja-G</t>
  </si>
  <si>
    <t>05780-Branco-P</t>
  </si>
  <si>
    <t>Maranhão</t>
  </si>
  <si>
    <t>Cartão de Crédito</t>
  </si>
  <si>
    <t>Correios</t>
  </si>
  <si>
    <t>Lucinda Valverde</t>
  </si>
  <si>
    <t>05780-Branco-M</t>
  </si>
  <si>
    <t>Minas Gerais</t>
  </si>
  <si>
    <t>Depósito</t>
  </si>
  <si>
    <t>Retirada na Loja</t>
  </si>
  <si>
    <t>Úrsula Sampaio</t>
  </si>
  <si>
    <t>Transportadora</t>
  </si>
  <si>
    <t>Ítalo Blanco</t>
  </si>
  <si>
    <t>São Paulo</t>
  </si>
  <si>
    <t>Mônica   Vides</t>
  </si>
  <si>
    <t>Distrito Federal</t>
  </si>
  <si>
    <t>Zózimo Almada</t>
  </si>
  <si>
    <t>Santa Catarina</t>
  </si>
  <si>
    <t>Ximeno Ximenes</t>
  </si>
  <si>
    <t>Mato Grosso</t>
  </si>
  <si>
    <t>Ximena Cabeça de Vaca</t>
  </si>
  <si>
    <t>05934-Preto-G</t>
  </si>
  <si>
    <t>Socorro Lisboa</t>
  </si>
  <si>
    <t>05899-Preto-G</t>
  </si>
  <si>
    <t>Pará</t>
  </si>
  <si>
    <t>Adélia Novais</t>
  </si>
  <si>
    <t>05891-Preto-P</t>
  </si>
  <si>
    <t>Colete</t>
  </si>
  <si>
    <t>Edite Girón</t>
  </si>
  <si>
    <t>Basilio Tabares</t>
  </si>
  <si>
    <t>05936</t>
  </si>
  <si>
    <t>05936-Pistache-P</t>
  </si>
  <si>
    <t>Guilhermina Belo</t>
  </si>
  <si>
    <t>05935</t>
  </si>
  <si>
    <t>05935-Pistache-P</t>
  </si>
  <si>
    <t>Rio de Janeiro</t>
  </si>
  <si>
    <t>Emídio Telles</t>
  </si>
  <si>
    <t>Virgília Silva</t>
  </si>
  <si>
    <t>Andreia Cyrne</t>
  </si>
  <si>
    <t>Adelaide Rodovalho</t>
  </si>
  <si>
    <t>Martinho Garcia de Gondim</t>
  </si>
  <si>
    <t>Berengário Salgado</t>
  </si>
  <si>
    <t>05960</t>
  </si>
  <si>
    <t>05960-Preto-P</t>
  </si>
  <si>
    <t>Cidália Barrocas</t>
  </si>
  <si>
    <t>Oscar   Granjeiro</t>
  </si>
  <si>
    <t>05786-Preto-P</t>
  </si>
  <si>
    <t>Veríssimo Curado</t>
  </si>
  <si>
    <t>Adalberto Bastos</t>
  </si>
  <si>
    <t>05991-Pistache-P</t>
  </si>
  <si>
    <t>Domingas Araújo</t>
  </si>
  <si>
    <t>06076</t>
  </si>
  <si>
    <t>06076-Azul-P</t>
  </si>
  <si>
    <t>Espírito Santo</t>
  </si>
  <si>
    <t>Magali Godoy</t>
  </si>
  <si>
    <t>05991-Amarelo-P</t>
  </si>
  <si>
    <t>05888-Verde-M</t>
  </si>
  <si>
    <t>Verônica   Rosário</t>
  </si>
  <si>
    <t>Macaquinho</t>
  </si>
  <si>
    <t>Rio Grande do Sul</t>
  </si>
  <si>
    <t>Ferdinando Leça</t>
  </si>
  <si>
    <t>05066</t>
  </si>
  <si>
    <t>05066-Laranja-G</t>
  </si>
  <si>
    <t>Mercedes Penha</t>
  </si>
  <si>
    <t>05888-Laranja-P</t>
  </si>
  <si>
    <t>Veridiana Vilela</t>
  </si>
  <si>
    <t>Sergipe</t>
  </si>
  <si>
    <t>Vanessa Lago</t>
  </si>
  <si>
    <t>05708</t>
  </si>
  <si>
    <t>05708-Rosa-M</t>
  </si>
  <si>
    <t>Marisa Ataí</t>
  </si>
  <si>
    <t>Tomásia Gomide</t>
  </si>
  <si>
    <t>05795</t>
  </si>
  <si>
    <t>05795-Branco-M</t>
  </si>
  <si>
    <t>Adelaide Minho</t>
  </si>
  <si>
    <t>05795-Verde-M</t>
  </si>
  <si>
    <t>Clarisse Regueira</t>
  </si>
  <si>
    <t>05860-Bege-M</t>
  </si>
  <si>
    <t>05698-Bege-M</t>
  </si>
  <si>
    <t>Godinho ou Godim Caires</t>
  </si>
  <si>
    <t>05903</t>
  </si>
  <si>
    <t>05903-Azul-G</t>
  </si>
  <si>
    <t>05819-Azul-M</t>
  </si>
  <si>
    <t>05708-Azul-M</t>
  </si>
  <si>
    <t>Timóteo Junquera</t>
  </si>
  <si>
    <t>Paraná</t>
  </si>
  <si>
    <t>Timóteo Bulhão</t>
  </si>
  <si>
    <t>05897</t>
  </si>
  <si>
    <t>05897-Amarelo-G</t>
  </si>
  <si>
    <t>Amazonas</t>
  </si>
  <si>
    <t>Telo Lage</t>
  </si>
  <si>
    <t>Telmo Suárez</t>
  </si>
  <si>
    <t>05936-Preto-M</t>
  </si>
  <si>
    <t>Tadeu Villas Bôas</t>
  </si>
  <si>
    <t>05935-Preto-M</t>
  </si>
  <si>
    <t>Mamede Serralheiro</t>
  </si>
  <si>
    <t>Raimundo Melgaço</t>
  </si>
  <si>
    <t>05819-Tangerina-P</t>
  </si>
  <si>
    <t>Pernambuco</t>
  </si>
  <si>
    <t>Santiago Anjos</t>
  </si>
  <si>
    <t>05818-Tangerina-P</t>
  </si>
  <si>
    <t>Faustino Varela</t>
  </si>
  <si>
    <t>05958-Branco-P</t>
  </si>
  <si>
    <t>Telma Madeira</t>
  </si>
  <si>
    <t>05653-Verde-G</t>
  </si>
  <si>
    <t>Sílvio Abreu</t>
  </si>
  <si>
    <t>06045-Rosa-G</t>
  </si>
  <si>
    <t>Sérgio Holanda</t>
  </si>
  <si>
    <t>Boleto Bancário</t>
  </si>
  <si>
    <t>Soraia Pino</t>
  </si>
  <si>
    <t>Soraia Furquim</t>
  </si>
  <si>
    <t>Sonás Soto</t>
  </si>
  <si>
    <t>05910</t>
  </si>
  <si>
    <t>05910-Preto-G</t>
  </si>
  <si>
    <t>Alexandre Guerra</t>
  </si>
  <si>
    <t>Alice Beltrão</t>
  </si>
  <si>
    <t>05786-Preto-G</t>
  </si>
  <si>
    <t>Sebastiana Gallindo</t>
  </si>
  <si>
    <t>05935-Pistache-G</t>
  </si>
  <si>
    <t>05777</t>
  </si>
  <si>
    <t>05777-Marrom-G</t>
  </si>
  <si>
    <t>Jéssica Lustosa</t>
  </si>
  <si>
    <t>05765-Marrom-G</t>
  </si>
  <si>
    <t>Martim Acatauaçu</t>
  </si>
  <si>
    <t>05974</t>
  </si>
  <si>
    <t>05974-Azul-G</t>
  </si>
  <si>
    <t>05912-Azul-G</t>
  </si>
  <si>
    <t>Goiás</t>
  </si>
  <si>
    <t>Sebastiana Amorim</t>
  </si>
  <si>
    <t>05911</t>
  </si>
  <si>
    <t>05911-Azul-G</t>
  </si>
  <si>
    <t>05935-Amarelo-M</t>
  </si>
  <si>
    <t>Samuel Macieira</t>
  </si>
  <si>
    <t>05824</t>
  </si>
  <si>
    <t>05824-Verde-P</t>
  </si>
  <si>
    <t>Salvina Porciúncula</t>
  </si>
  <si>
    <t>Rômulo   Piragibe</t>
  </si>
  <si>
    <t>06075-Preto-M</t>
  </si>
  <si>
    <t>Bahia</t>
  </si>
  <si>
    <t>Rui Homem</t>
  </si>
  <si>
    <t>05881</t>
  </si>
  <si>
    <t>05881-Branco-M</t>
  </si>
  <si>
    <t>Rudi Gomes</t>
  </si>
  <si>
    <t>06034</t>
  </si>
  <si>
    <t>06034-Amarelo-P</t>
  </si>
  <si>
    <t>Rosário Dias</t>
  </si>
  <si>
    <t>06034-Coral-M</t>
  </si>
  <si>
    <t>Rosalinda Peña</t>
  </si>
  <si>
    <t>05824-Coral-M</t>
  </si>
  <si>
    <t>Eduardo Lameira</t>
  </si>
  <si>
    <t>06134-Bege-M</t>
  </si>
  <si>
    <t>Rogério Souza</t>
  </si>
  <si>
    <t>Rita Rufino</t>
  </si>
  <si>
    <t>06056-Verde-M</t>
  </si>
  <si>
    <t>Reginaldo Camello</t>
  </si>
  <si>
    <t>06045-Verde-P</t>
  </si>
  <si>
    <t>Ramão Cisneros</t>
  </si>
  <si>
    <t>06045-Rosa-P</t>
  </si>
  <si>
    <t>Alagoas</t>
  </si>
  <si>
    <t>Ramiro Vázquez</t>
  </si>
  <si>
    <t>Gabriel Batata</t>
  </si>
  <si>
    <t>Quintiliano Câmara</t>
  </si>
  <si>
    <t>05761-Preto-P</t>
  </si>
  <si>
    <t>Lucília Lacerda</t>
  </si>
  <si>
    <t>05795-Branco-P</t>
  </si>
  <si>
    <t>Rafael Palma</t>
  </si>
  <si>
    <t>Rafael Bandeira</t>
  </si>
  <si>
    <t>Quirina Filipe</t>
  </si>
  <si>
    <t>Querubim Tristão</t>
  </si>
  <si>
    <t>Dorindo Fogassa</t>
  </si>
  <si>
    <t>06045-Verde-M</t>
  </si>
  <si>
    <t>Poliana Bragança</t>
  </si>
  <si>
    <t>Elvira Márquez</t>
  </si>
  <si>
    <t>Paulina Lira</t>
  </si>
  <si>
    <t>Célia Fiães</t>
  </si>
  <si>
    <t>Lívia Pinhal</t>
  </si>
  <si>
    <t>Rondônia</t>
  </si>
  <si>
    <t>Paulina Fontoura</t>
  </si>
  <si>
    <t>Tocantins</t>
  </si>
  <si>
    <t>Pascoal Fortunato</t>
  </si>
  <si>
    <t>Pandora Caldera</t>
  </si>
  <si>
    <t>Palmira Balladares</t>
  </si>
  <si>
    <t>Ovídio Henriques</t>
  </si>
  <si>
    <t>06045-Branco-P</t>
  </si>
  <si>
    <t>Otília Castelhano</t>
  </si>
  <si>
    <t>Nídia Guedella</t>
  </si>
  <si>
    <t>Nicanor Cortês</t>
  </si>
  <si>
    <t>Blasco Hernández</t>
  </si>
  <si>
    <t>Natacha Guedelha</t>
  </si>
  <si>
    <t>Leonardo Jardim</t>
  </si>
  <si>
    <t>06073-Azul-P</t>
  </si>
  <si>
    <t>06121</t>
  </si>
  <si>
    <t>Napoleão Robalinho</t>
  </si>
  <si>
    <t>06073-Azul-M</t>
  </si>
  <si>
    <t>05882</t>
  </si>
  <si>
    <t>05882-Verde-M</t>
  </si>
  <si>
    <t>Cândido Canário</t>
  </si>
  <si>
    <t>RC216-Preto-G</t>
  </si>
  <si>
    <t>05919</t>
  </si>
  <si>
    <t>05919-Preto-M</t>
  </si>
  <si>
    <t>Bernardina Villela</t>
  </si>
  <si>
    <t>05974-Branco-M</t>
  </si>
  <si>
    <t>05958-Branco-M</t>
  </si>
  <si>
    <t>Máximo Toledo</t>
  </si>
  <si>
    <t>Jonas Patrício</t>
  </si>
  <si>
    <t>05779-Azul-M</t>
  </si>
  <si>
    <t>05555</t>
  </si>
  <si>
    <t>05555-Amarelo-M</t>
  </si>
  <si>
    <t>Leopoldina Negromonte</t>
  </si>
  <si>
    <t>Moema Amorín</t>
  </si>
  <si>
    <t>Moaci Villas Bôas</t>
  </si>
  <si>
    <t>05769-Preto-P</t>
  </si>
  <si>
    <t>Catarino Cezimbra</t>
  </si>
  <si>
    <t>05971-Pistache-P</t>
  </si>
  <si>
    <t>05881-Pistache-P</t>
  </si>
  <si>
    <t>Mauro Miguel</t>
  </si>
  <si>
    <t>Paraíba</t>
  </si>
  <si>
    <t>Mateus Uchoa</t>
  </si>
  <si>
    <t>Mateus Amado</t>
  </si>
  <si>
    <t>06071-Azul-P</t>
  </si>
  <si>
    <t>Lurdes Francia</t>
  </si>
  <si>
    <t>05779-Vermelho-M</t>
  </si>
  <si>
    <t>Angélico Cezimbra</t>
  </si>
  <si>
    <t>05779-Vermelho-G</t>
  </si>
  <si>
    <t>Martinho Canela</t>
  </si>
  <si>
    <t>05853</t>
  </si>
  <si>
    <t>05853-Amarelo-P</t>
  </si>
  <si>
    <t>Lara Olaio</t>
  </si>
  <si>
    <t>05413-Bege-P</t>
  </si>
  <si>
    <t>Marcelo Galindo</t>
  </si>
  <si>
    <t>05853-Azul-P</t>
  </si>
  <si>
    <t>Alvito Paranhos</t>
  </si>
  <si>
    <t>05819-Azul-P</t>
  </si>
  <si>
    <t>Aluísio Bandeira</t>
  </si>
  <si>
    <t>05945-Coral-P</t>
  </si>
  <si>
    <t>05945-Coral-M</t>
  </si>
  <si>
    <t>Elba Peña</t>
  </si>
  <si>
    <t>05945-Coral-G</t>
  </si>
  <si>
    <t>05945-Azul-P</t>
  </si>
  <si>
    <t>Lúcio Botica</t>
  </si>
  <si>
    <t>05945-Azul-M</t>
  </si>
  <si>
    <t>05945-Azul-G</t>
  </si>
  <si>
    <t>Guilherme Capanema</t>
  </si>
  <si>
    <t>05883</t>
  </si>
  <si>
    <t>05883-Verde-M</t>
  </si>
  <si>
    <t>Lídia Lemes</t>
  </si>
  <si>
    <t>05881-Rosa-G</t>
  </si>
  <si>
    <t>Léia Marañón</t>
  </si>
  <si>
    <t>Luís Briones</t>
  </si>
  <si>
    <t>05806</t>
  </si>
  <si>
    <t>05806-Rosa-M</t>
  </si>
  <si>
    <t>Collin Queiroz</t>
  </si>
  <si>
    <t>05891-Preto-M</t>
  </si>
  <si>
    <t>05867-Preto-G</t>
  </si>
  <si>
    <t>Luize Santana</t>
  </si>
  <si>
    <t>05909-Pistache-M</t>
  </si>
  <si>
    <t>06038</t>
  </si>
  <si>
    <t>05860-Coral-M</t>
  </si>
  <si>
    <t>05931-Coral-M</t>
  </si>
  <si>
    <t>05805</t>
  </si>
  <si>
    <t>05805-Marrom-M</t>
  </si>
  <si>
    <t>Rio Grande do Norte</t>
  </si>
  <si>
    <t>Luciano Furtado</t>
  </si>
  <si>
    <t>05894</t>
  </si>
  <si>
    <t>05894-Bege-G</t>
  </si>
  <si>
    <t>05910-Azul-G</t>
  </si>
  <si>
    <t>05867-Verde-M</t>
  </si>
  <si>
    <t>Piauí</t>
  </si>
  <si>
    <t>Luciana Piragibe</t>
  </si>
  <si>
    <t>05841</t>
  </si>
  <si>
    <t>05841-Verde-M</t>
  </si>
  <si>
    <t>05837</t>
  </si>
  <si>
    <t>05837-Verde-M</t>
  </si>
  <si>
    <t>Lopo Fernandes</t>
  </si>
  <si>
    <t>05653-Verde-P</t>
  </si>
  <si>
    <t>05865</t>
  </si>
  <si>
    <t>05865-Preto-P</t>
  </si>
  <si>
    <t>Brígida Bairros</t>
  </si>
  <si>
    <t>05865-Preto-G</t>
  </si>
  <si>
    <t>05932-Verde-G</t>
  </si>
  <si>
    <t>06018</t>
  </si>
  <si>
    <t>05749</t>
  </si>
  <si>
    <t>05749-Branco-M</t>
  </si>
  <si>
    <t>05749-Branco-G</t>
  </si>
  <si>
    <t>06094-Azul-G</t>
  </si>
  <si>
    <t>06089-Azul-G</t>
  </si>
  <si>
    <t>05912-Azul-P</t>
  </si>
  <si>
    <t>05911-Azul-P</t>
  </si>
  <si>
    <t>Jónatas Infante</t>
  </si>
  <si>
    <t>05897-Amarelo-M</t>
  </si>
  <si>
    <t>05967</t>
  </si>
  <si>
    <t>05967-Verde-P</t>
  </si>
  <si>
    <t>Josué Thomé</t>
  </si>
  <si>
    <t>05931-Verde-P</t>
  </si>
  <si>
    <t>05885</t>
  </si>
  <si>
    <t>05885-Verde-P</t>
  </si>
  <si>
    <t>05883-Verde-P</t>
  </si>
  <si>
    <t>Judá Passos</t>
  </si>
  <si>
    <t>05880</t>
  </si>
  <si>
    <t>05880-Verde-P</t>
  </si>
  <si>
    <t>05975</t>
  </si>
  <si>
    <t>Josefina Bairros</t>
  </si>
  <si>
    <t>05963</t>
  </si>
  <si>
    <t>05963-Rosa-P</t>
  </si>
  <si>
    <t>Ajuricaba Saloio</t>
  </si>
  <si>
    <t>05947</t>
  </si>
  <si>
    <t>05947-Rosa-P</t>
  </si>
  <si>
    <t>Jordão Espargosa</t>
  </si>
  <si>
    <t>06038-Preto-P</t>
  </si>
  <si>
    <t>05967-Preto-M</t>
  </si>
  <si>
    <t>Jonas Rua</t>
  </si>
  <si>
    <t>05899-Preto-M</t>
  </si>
  <si>
    <t>05885-Preto-M</t>
  </si>
  <si>
    <t>05882-Preto-M</t>
  </si>
  <si>
    <t>Joel Marcondes</t>
  </si>
  <si>
    <t>05917-Pistache-P</t>
  </si>
  <si>
    <t>Ceará</t>
  </si>
  <si>
    <t>Honório Prado</t>
  </si>
  <si>
    <t>05909-Pistache-P</t>
  </si>
  <si>
    <t>Higino Ferrón</t>
  </si>
  <si>
    <t>Hermenegildo Lozada</t>
  </si>
  <si>
    <t>05731</t>
  </si>
  <si>
    <t>05731-Verde-G</t>
  </si>
  <si>
    <t>Henrique Costa</t>
  </si>
  <si>
    <t>06018-Verde-P</t>
  </si>
  <si>
    <t>Cosme Capanema</t>
  </si>
  <si>
    <t>06018-Verde-M</t>
  </si>
  <si>
    <t>05770</t>
  </si>
  <si>
    <t>05770-Verde-P</t>
  </si>
  <si>
    <t>Graciano Ferro</t>
  </si>
  <si>
    <t>05998-Coral-P</t>
  </si>
  <si>
    <t>05932-Coral-G</t>
  </si>
  <si>
    <t>Gastão Quintas</t>
  </si>
  <si>
    <t>05924</t>
  </si>
  <si>
    <t>05924-Coral-M</t>
  </si>
  <si>
    <t>05802</t>
  </si>
  <si>
    <t>05802-Coral-P</t>
  </si>
  <si>
    <t>Gastão Peláez</t>
  </si>
  <si>
    <t>05731-Coral-M</t>
  </si>
  <si>
    <t>05883-Laranja-M</t>
  </si>
  <si>
    <t>Galindo Pavía</t>
  </si>
  <si>
    <t>06038-Verde-P</t>
  </si>
  <si>
    <t>Galindo Acuña</t>
  </si>
  <si>
    <t>06029-Verde-P</t>
  </si>
  <si>
    <t>Florinda Júdice</t>
  </si>
  <si>
    <t>05974-Azul-P</t>
  </si>
  <si>
    <t>05940</t>
  </si>
  <si>
    <t>Filinto Machado</t>
  </si>
  <si>
    <t>05947-Azul-G</t>
  </si>
  <si>
    <t>Filena Nunes</t>
  </si>
  <si>
    <t>05932-Azul-G</t>
  </si>
  <si>
    <t>Evangelista Velásquez</t>
  </si>
  <si>
    <t>05917-Azul-M</t>
  </si>
  <si>
    <t>Fernão Brión</t>
  </si>
  <si>
    <t>Pantalona</t>
  </si>
  <si>
    <t>Fernanda Manso</t>
  </si>
  <si>
    <t>05646-Azul-P</t>
  </si>
  <si>
    <t>Fabiana Castella</t>
  </si>
  <si>
    <t>05828</t>
  </si>
  <si>
    <t>05828-Turquesa-P</t>
  </si>
  <si>
    <t>05965-Tangerina-G</t>
  </si>
  <si>
    <t>Eusébio Covinha</t>
  </si>
  <si>
    <t>Ester Javier</t>
  </si>
  <si>
    <t>05926-Coral-G</t>
  </si>
  <si>
    <t>Celestino Mirandela</t>
  </si>
  <si>
    <t>05965-Azul-M</t>
  </si>
  <si>
    <t>Borrás Modesto</t>
  </si>
  <si>
    <t>Emiliana Villaça</t>
  </si>
  <si>
    <t>Eládio Grilo</t>
  </si>
  <si>
    <t>06018-Preto-M</t>
  </si>
  <si>
    <t>05879</t>
  </si>
  <si>
    <t>05879-Preto-M</t>
  </si>
  <si>
    <t>05873</t>
  </si>
  <si>
    <t>05873-Preto-M</t>
  </si>
  <si>
    <t>Elvira Bahia</t>
  </si>
  <si>
    <t>05555-Branco-M</t>
  </si>
  <si>
    <t>05940-Verde-M</t>
  </si>
  <si>
    <t>Eduardo Garrau</t>
  </si>
  <si>
    <t>05501</t>
  </si>
  <si>
    <t>05501-Coral-M</t>
  </si>
  <si>
    <t>Eduardo Athayde</t>
  </si>
  <si>
    <t>C0008-Bege-M</t>
  </si>
  <si>
    <t>Edgar Junquera</t>
  </si>
  <si>
    <t>05893</t>
  </si>
  <si>
    <t>Dulce Covinha</t>
  </si>
  <si>
    <t>05815-Verde-M</t>
  </si>
  <si>
    <t>Diógenes Robalo</t>
  </si>
  <si>
    <t>05780-Rosa-M</t>
  </si>
  <si>
    <t>Dinis León</t>
  </si>
  <si>
    <t>05965-Tangerina-M</t>
  </si>
  <si>
    <t>06038-Branco-M</t>
  </si>
  <si>
    <t>05974-Branco-G</t>
  </si>
  <si>
    <t>05893-Verde-M</t>
  </si>
  <si>
    <t>05815-Coral-G</t>
  </si>
  <si>
    <t>05877</t>
  </si>
  <si>
    <t>05975-Verde-M</t>
  </si>
  <si>
    <t>Arachane Holanda</t>
  </si>
  <si>
    <t>05926-Bege-G</t>
  </si>
  <si>
    <t>Clementina Guarabira</t>
  </si>
  <si>
    <t>06121-Azul-M</t>
  </si>
  <si>
    <t>06094-Azul-M</t>
  </si>
  <si>
    <t>06089-Azul-M</t>
  </si>
  <si>
    <t>Clarindo Veríssimo</t>
  </si>
  <si>
    <t>06121-Amarelo-G</t>
  </si>
  <si>
    <t>C0008-Rosa-P</t>
  </si>
  <si>
    <t>05900-Preto-P</t>
  </si>
  <si>
    <t>Cauê Espargosa</t>
  </si>
  <si>
    <t>05823</t>
  </si>
  <si>
    <t>Pantacour</t>
  </si>
  <si>
    <t>Antero Quaresma</t>
  </si>
  <si>
    <t>06018-Branco-P</t>
  </si>
  <si>
    <t>Berengário Sotomayor</t>
  </si>
  <si>
    <t>06018-Branco-M</t>
  </si>
  <si>
    <t>06018-Branco-G</t>
  </si>
  <si>
    <t>05900-Branco-P</t>
  </si>
  <si>
    <t>Aurélio Junquera</t>
  </si>
  <si>
    <t>Arnaldo Cayubi</t>
  </si>
  <si>
    <t>06018-Verde-G</t>
  </si>
  <si>
    <t>Aniano Chamusca</t>
  </si>
  <si>
    <t>Adriano Cavadas</t>
  </si>
  <si>
    <t>Amália Rúa</t>
  </si>
  <si>
    <t>Alípio Dorneles</t>
  </si>
  <si>
    <t>05679</t>
  </si>
  <si>
    <t>Alda Raposo</t>
  </si>
  <si>
    <t>Alda Espartero</t>
  </si>
  <si>
    <t>Alcides Rebimbas</t>
  </si>
  <si>
    <t>Alberto Carreiro</t>
  </si>
  <si>
    <t>05926-Verde-G</t>
  </si>
  <si>
    <t>05877-Verde-G</t>
  </si>
  <si>
    <t>Adélio Villaverde</t>
  </si>
  <si>
    <t>05882-Rosa-P</t>
  </si>
  <si>
    <t>Adélio Orriça</t>
  </si>
  <si>
    <t>05879-Rosa-P</t>
  </si>
  <si>
    <t>Adolfo Lameiras</t>
  </si>
  <si>
    <t>05926-Coral-P</t>
  </si>
  <si>
    <t>05823-Marrom-P</t>
  </si>
  <si>
    <t>05679-Bege-G</t>
  </si>
  <si>
    <t>Estado</t>
  </si>
  <si>
    <t>Forma de Pagamento</t>
  </si>
  <si>
    <t>Valor Total</t>
  </si>
  <si>
    <t>Nome</t>
  </si>
  <si>
    <t>Comprado Em</t>
  </si>
  <si>
    <t>NumPedido</t>
  </si>
  <si>
    <t>Tamanho</t>
  </si>
  <si>
    <t>Cor</t>
  </si>
  <si>
    <t>Código</t>
  </si>
  <si>
    <t>Qtd</t>
  </si>
  <si>
    <t>SKU</t>
  </si>
  <si>
    <t>Pedidos</t>
  </si>
  <si>
    <t>Pedido x Item</t>
  </si>
  <si>
    <t>PIX</t>
  </si>
  <si>
    <t>AbreArquivo</t>
  </si>
  <si>
    <t>carlos.crestana/P13-P-32718</t>
  </si>
  <si>
    <t>carlos.crestana/P11-P-31214</t>
  </si>
  <si>
    <t>carlos.crestana/G06-28829</t>
  </si>
  <si>
    <t>Faturamento</t>
  </si>
  <si>
    <t>Qtd. Pedidos</t>
  </si>
  <si>
    <t>Preço Unit</t>
  </si>
  <si>
    <t>Produto</t>
  </si>
  <si>
    <t>- Criar filtro por Mês, possibilitando de selecionar todos os meses, ou um mês específico.</t>
  </si>
  <si>
    <t>Cadu</t>
  </si>
  <si>
    <t>x</t>
  </si>
  <si>
    <t>carlos.crestana/Q05-P-28781</t>
  </si>
  <si>
    <t>Mês</t>
  </si>
  <si>
    <t>carlos.crestana/W501-P-37018</t>
  </si>
  <si>
    <t>caduc/CADUII</t>
  </si>
  <si>
    <t>- Crie um dashboard dinâmico que facilite a gestão desta operação.</t>
  </si>
  <si>
    <t>- O Dashboard deverá conter entre 7 e 10 indicadores, podendo ser gráficos, tabelas ou cards.</t>
  </si>
  <si>
    <t>Ativação de Macros:</t>
  </si>
  <si>
    <t>Para ativar as Macros, clique em Habilitar Edição, na faixa amarela que aparecerá</t>
  </si>
  <si>
    <t>quando o arquivo for aberto.</t>
  </si>
  <si>
    <t>Caso surja essa faixa vermelha, salve os arquivos abertos e feche todas as janelas do Excel.</t>
  </si>
  <si>
    <t>No Windows, vá na pasta do arquivo e clique nele com o botão direto do Mouse, e vá em Propriedades.</t>
  </si>
  <si>
    <t>Em segurança selecione DESBLOQUEAR e clique em OK.</t>
  </si>
  <si>
    <t>Abra o arquivo novamente</t>
  </si>
  <si>
    <t>24.01416-8</t>
  </si>
  <si>
    <t>José Guilherme Duarte Garcia</t>
  </si>
  <si>
    <t>joseg/BOOK-6KNSLV5UH5</t>
  </si>
  <si>
    <t>Acre</t>
  </si>
  <si>
    <t>Amapá</t>
  </si>
  <si>
    <t>Espirito Santo</t>
  </si>
  <si>
    <t>Mato Grosso do Sul</t>
  </si>
  <si>
    <t>Roraima</t>
  </si>
  <si>
    <t>Julho</t>
  </si>
  <si>
    <t>Agosto</t>
  </si>
  <si>
    <t>Setembro</t>
  </si>
  <si>
    <t>Outubro</t>
  </si>
  <si>
    <t>Todos</t>
  </si>
  <si>
    <t>Método de envio</t>
  </si>
  <si>
    <t>Retirada na loja</t>
  </si>
  <si>
    <t>Quantidade Total</t>
  </si>
  <si>
    <t>Quantidade Mês</t>
  </si>
  <si>
    <t>Pix</t>
  </si>
  <si>
    <t>Numero de Pedidos</t>
  </si>
  <si>
    <t>Ticket Médio</t>
  </si>
  <si>
    <t>Cores mais vendidas</t>
  </si>
  <si>
    <t>nomes</t>
  </si>
  <si>
    <t>Clientes com mais 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</si>
</sst>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/>
    <xf numFmtId="22" fontId="0" fillId="0" borderId="0" xfId="0" applyNumberFormat="1"/>
    <xf numFmtId="0" fontId="0" fillId="0" borderId="2" xfId="0" applyBorder="1"/>
    <xf numFmtId="0" fontId="2" fillId="2" borderId="0" xfId="0" applyFont="1" applyFill="1" applyAlignment="1">
      <alignment horizontal="center"/>
    </xf>
    <xf numFmtId="0" fontId="2" fillId="0" borderId="0" xfId="0" applyFont="1"/>
    <xf numFmtId="3" fontId="0" fillId="0" borderId="1" xfId="0" applyNumberFormat="1" applyBorder="1" applyAlignment="1">
      <alignment horizontal="center"/>
    </xf>
    <xf numFmtId="0" fontId="0" fillId="0" borderId="0" xfId="0" quotePrefix="1"/>
    <xf numFmtId="0" fontId="0" fillId="0" borderId="1" xfId="0" applyBorder="1"/>
    <xf numFmtId="49" fontId="0" fillId="0" borderId="0" xfId="0" applyNumberFormat="1"/>
    <xf numFmtId="49" fontId="0" fillId="0" borderId="0" xfId="0" quotePrefix="1" applyNumberFormat="1"/>
    <xf numFmtId="0" fontId="0" fillId="3" borderId="0" xfId="0" applyFill="1"/>
    <xf numFmtId="0" fontId="0" fillId="4" borderId="0" xfId="0" applyFill="1"/>
    <xf numFmtId="0" fontId="3" fillId="5" borderId="0" xfId="0" applyFont="1" applyFill="1"/>
    <xf numFmtId="0" fontId="4" fillId="5" borderId="0" xfId="0" applyFont="1" applyFill="1"/>
    <xf numFmtId="0" fontId="5" fillId="6" borderId="3" xfId="0" applyFont="1" applyFill="1" applyBorder="1"/>
    <xf numFmtId="0" fontId="0" fillId="7" borderId="3" xfId="0" applyFill="1" applyBorder="1"/>
    <xf numFmtId="0" fontId="0" fillId="0" borderId="3" xfId="0" applyBorder="1"/>
    <xf numFmtId="0" fontId="0" fillId="8" borderId="4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9" borderId="10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0" fillId="9" borderId="5" xfId="0" applyNumberFormat="1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1" xfId="0" applyFill="1" applyBorder="1"/>
    <xf numFmtId="0" fontId="0" fillId="8" borderId="14" xfId="0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</cellXfs>
  <cellStyles count="1">
    <cellStyle name="Normal" xfId="0" builtinId="0"/>
  </cellStyles>
  <dxfs count="12">
    <dxf>
      <numFmt numFmtId="4" formatCode="#,##0.00"/>
    </dxf>
    <dxf>
      <alignment horizontal="center" vertical="bottom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4" formatCode="#,##0.00"/>
    </dxf>
    <dxf>
      <numFmt numFmtId="0" formatCode="General"/>
    </dxf>
    <dxf>
      <numFmt numFmtId="164" formatCode="m/d/yyyy\ h:mm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Metodo</a:t>
            </a:r>
            <a:r>
              <a:rPr lang="pt-BR" sz="1200" baseline="0"/>
              <a:t> de Pagamento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17083715762523"/>
          <c:y val="0.25108695652173912"/>
          <c:w val="0.27658365940453761"/>
          <c:h val="0.392027273764692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E3-4EEB-A866-69B2616439C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E3-4EEB-A866-69B2616439C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6E3-4EEB-A866-69B2616439C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6E3-4EEB-A866-69B2616439C5}"/>
              </c:ext>
            </c:extLst>
          </c:dPt>
          <c:cat>
            <c:strRef>
              <c:f>Apoio!$N$2:$Q$2</c:f>
              <c:strCache>
                <c:ptCount val="4"/>
                <c:pt idx="0">
                  <c:v>Pix</c:v>
                </c:pt>
                <c:pt idx="1">
                  <c:v>Cartão de Crédito</c:v>
                </c:pt>
                <c:pt idx="2">
                  <c:v>Depósito</c:v>
                </c:pt>
                <c:pt idx="3">
                  <c:v>Boleto Bancário</c:v>
                </c:pt>
              </c:strCache>
            </c:strRef>
          </c:cat>
          <c:val>
            <c:numRef>
              <c:f>Apoio!$N$3:$Q$3</c:f>
              <c:numCache>
                <c:formatCode>General</c:formatCode>
                <c:ptCount val="4"/>
                <c:pt idx="0">
                  <c:v>96</c:v>
                </c:pt>
                <c:pt idx="1">
                  <c:v>166</c:v>
                </c:pt>
                <c:pt idx="2">
                  <c:v>95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8-4250-B2E3-7F5B2DEDE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Tamanhos mais pedidos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Apoio!$L$8:$L$10</c:f>
              <c:strCache>
                <c:ptCount val="3"/>
                <c:pt idx="0">
                  <c:v>P</c:v>
                </c:pt>
                <c:pt idx="1">
                  <c:v>M</c:v>
                </c:pt>
                <c:pt idx="2">
                  <c:v>G</c:v>
                </c:pt>
              </c:strCache>
            </c:strRef>
          </c:cat>
          <c:val>
            <c:numRef>
              <c:f>Apoio!$M$8:$M$10</c:f>
              <c:numCache>
                <c:formatCode>General</c:formatCode>
                <c:ptCount val="3"/>
                <c:pt idx="0">
                  <c:v>2367</c:v>
                </c:pt>
                <c:pt idx="1">
                  <c:v>2310</c:v>
                </c:pt>
                <c:pt idx="2">
                  <c:v>1627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C-476E-A3EA-3A8892C49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88698384"/>
        <c:axId val="1788688784"/>
      </c:barChart>
      <c:catAx>
        <c:axId val="178869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88784"/>
        <c:crosses val="autoZero"/>
        <c:auto val="1"/>
        <c:lblAlgn val="ctr"/>
        <c:lblOffset val="100"/>
        <c:noMultiLvlLbl val="0"/>
      </c:catAx>
      <c:valAx>
        <c:axId val="178868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69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24983</xdr:colOff>
      <xdr:row>33</xdr:row>
      <xdr:rowOff>55900</xdr:rowOff>
    </xdr:from>
    <xdr:to>
      <xdr:col>6</xdr:col>
      <xdr:colOff>79769</xdr:colOff>
      <xdr:row>58</xdr:row>
      <xdr:rowOff>123824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6803637-2789-595D-A7EC-3ECB54C9D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8933" y="6094750"/>
          <a:ext cx="4045761" cy="4592299"/>
        </a:xfrm>
        <a:prstGeom prst="rect">
          <a:avLst/>
        </a:prstGeom>
      </xdr:spPr>
    </xdr:pic>
    <xdr:clientData fLocksWithSheet="0"/>
  </xdr:twoCellAnchor>
  <xdr:twoCellAnchor editAs="absolute">
    <xdr:from>
      <xdr:col>3</xdr:col>
      <xdr:colOff>25608</xdr:colOff>
      <xdr:row>22</xdr:row>
      <xdr:rowOff>47512</xdr:rowOff>
    </xdr:from>
    <xdr:to>
      <xdr:col>9</xdr:col>
      <xdr:colOff>371892</xdr:colOff>
      <xdr:row>23</xdr:row>
      <xdr:rowOff>114300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A048C5D-3437-998A-30F7-887311534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9558" y="4095637"/>
          <a:ext cx="4851609" cy="247763"/>
        </a:xfrm>
        <a:prstGeom prst="rect">
          <a:avLst/>
        </a:prstGeom>
      </xdr:spPr>
    </xdr:pic>
    <xdr:clientData fLocksWithSheet="0"/>
  </xdr:twoCellAnchor>
  <xdr:twoCellAnchor editAs="absolute">
    <xdr:from>
      <xdr:col>1</xdr:col>
      <xdr:colOff>49967</xdr:colOff>
      <xdr:row>27</xdr:row>
      <xdr:rowOff>5933</xdr:rowOff>
    </xdr:from>
    <xdr:to>
      <xdr:col>11</xdr:col>
      <xdr:colOff>195876</xdr:colOff>
      <xdr:row>28</xdr:row>
      <xdr:rowOff>152399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623D7BD-CBF9-6DDD-F31B-6ABFBB03E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142" y="4958933"/>
          <a:ext cx="6737209" cy="327441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335280</xdr:colOff>
      <xdr:row>9</xdr:row>
      <xdr:rowOff>0</xdr:rowOff>
    </xdr:from>
    <xdr:to>
      <xdr:col>4</xdr:col>
      <xdr:colOff>350520</xdr:colOff>
      <xdr:row>18</xdr:row>
      <xdr:rowOff>106680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8B5830F-8112-40CA-CBAA-21F151975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601980</xdr:colOff>
      <xdr:row>2</xdr:row>
      <xdr:rowOff>167640</xdr:rowOff>
    </xdr:from>
    <xdr:to>
      <xdr:col>16</xdr:col>
      <xdr:colOff>266700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25DDC3-072E-969B-782B-3BB521B47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F5D94A-4491-487A-A7A0-A209B90B38F5}" name="tbPedido" displayName="tbPedido" ref="M3:T366" totalsRowShown="0">
  <autoFilter ref="M3:T366" xr:uid="{DBB3B3C3-1F12-4FD2-BFEF-105A8C2E5961}"/>
  <tableColumns count="8">
    <tableColumn id="13" xr3:uid="{BD02F001-CB04-4405-9FD4-2889554255FD}" name="NumPedido" dataDxfId="11"/>
    <tableColumn id="2" xr3:uid="{E8BA0552-E75D-456C-A7C4-7E60833509D2}" name="Comprado Em" dataDxfId="10"/>
    <tableColumn id="11" xr3:uid="{48134C32-1DAF-4BC1-BC38-1065D8D96BF2}" name="Nome" dataDxfId="9"/>
    <tableColumn id="4" xr3:uid="{C33F48B7-A0D2-44DA-B806-851E68322633}" name="Método de Envio"/>
    <tableColumn id="6" xr3:uid="{C889583C-5F30-4419-B0B0-80F583C786A3}" name="Valor Total" dataDxfId="8"/>
    <tableColumn id="8" xr3:uid="{9DFFCB53-6C63-4CB4-BF03-D06582A75F69}" name="Forma de Pagamento"/>
    <tableColumn id="10" xr3:uid="{135C2C52-1ACA-47C5-96F4-9C7E48246850}" name="Estado" dataDxfId="7"/>
    <tableColumn id="1" xr3:uid="{1D88CD64-0E67-41F6-914B-DFF05D2B2211}" name="Mês" dataDxfId="6">
      <calculatedColumnFormula>MONTH(tbPedido[[#This Row],[Comprado Em]])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2DE847-3914-411F-AC6C-8CAF23A4178B}" name="tbItemPedido" displayName="tbItemPedido" ref="A3:H6492" totalsRowShown="0">
  <autoFilter ref="A3:H6492" xr:uid="{B0F35BF7-BAEA-4DF8-9216-72D172A89866}"/>
  <tableColumns count="8">
    <tableColumn id="12" xr3:uid="{AB0AD150-1E55-43BA-969D-0EC70254F08B}" name="NumPedido" dataDxfId="5"/>
    <tableColumn id="4" xr3:uid="{A9775D01-7DC2-46FC-85EB-285C915A595B}" name="SKU"/>
    <tableColumn id="2" xr3:uid="{01A82CE5-0CF2-43C7-9CF0-96F8A7CACA9B}" name="Produto" dataDxfId="4"/>
    <tableColumn id="5" xr3:uid="{5DD6292C-D1DD-42FC-8523-05CE582B8A11}" name="Qtd" dataDxfId="3"/>
    <tableColumn id="13" xr3:uid="{560868F0-EFD5-471C-A303-DD14E53DFDDC}" name="Código" dataDxfId="2"/>
    <tableColumn id="6" xr3:uid="{13E3F49B-F299-4F6C-AEE7-339CA0627AF1}" name="Cor"/>
    <tableColumn id="7" xr3:uid="{E0A8A761-D407-4894-8D14-D9F4E90D9CA1}" name="Tamanho" dataDxfId="1"/>
    <tableColumn id="1" xr3:uid="{FA973F6C-C34D-492D-A167-C30C46129240}" name="Preço Uni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17CAE-F8F2-43E2-8B31-CC05C780957D}">
  <sheetPr codeName="wsInicio">
    <outlinePr summaryBelow="0" summaryRight="0"/>
  </sheetPr>
  <dimension ref="A1:M86"/>
  <sheetViews>
    <sheetView showGridLines="0" zoomScale="90" zoomScaleNormal="90" workbookViewId="0">
      <selection activeCell="L7" sqref="L7"/>
    </sheetView>
  </sheetViews>
  <sheetFormatPr defaultColWidth="0" defaultRowHeight="14.4" zeroHeight="1" x14ac:dyDescent="0.3"/>
  <cols>
    <col min="1" max="2" width="3.77734375" customWidth="1"/>
    <col min="3" max="3" width="8.88671875" customWidth="1"/>
    <col min="4" max="4" width="21.5546875" bestFit="1" customWidth="1"/>
    <col min="5" max="5" width="15.88671875" bestFit="1" customWidth="1"/>
    <col min="6" max="6" width="20.88671875" bestFit="1" customWidth="1"/>
    <col min="7" max="9" width="2.44140625" customWidth="1"/>
    <col min="10" max="11" width="8.88671875" customWidth="1"/>
    <col min="12" max="12" width="6" customWidth="1"/>
    <col min="13" max="16384" width="8.88671875" hidden="1"/>
  </cols>
  <sheetData>
    <row r="1" spans="3:11" x14ac:dyDescent="0.3"/>
    <row r="2" spans="3:11" ht="18" x14ac:dyDescent="0.35">
      <c r="C2" s="3" t="s">
        <v>11</v>
      </c>
      <c r="D2" s="3"/>
      <c r="E2" s="3"/>
      <c r="F2" s="3"/>
      <c r="G2" s="3"/>
      <c r="H2" s="3"/>
      <c r="I2" s="3"/>
      <c r="J2" s="3" t="s">
        <v>13</v>
      </c>
    </row>
    <row r="3" spans="3:11" x14ac:dyDescent="0.3"/>
    <row r="4" spans="3:11" x14ac:dyDescent="0.3">
      <c r="C4" t="s">
        <v>7</v>
      </c>
      <c r="D4" s="8" t="s">
        <v>3782</v>
      </c>
    </row>
    <row r="5" spans="3:11" x14ac:dyDescent="0.3"/>
    <row r="6" spans="3:11" x14ac:dyDescent="0.3">
      <c r="C6" t="s">
        <v>10</v>
      </c>
      <c r="D6" s="5" t="s">
        <v>3783</v>
      </c>
      <c r="E6" s="5"/>
      <c r="F6" s="5"/>
      <c r="G6" s="5"/>
      <c r="H6" s="5"/>
      <c r="I6" s="5"/>
      <c r="J6" s="5"/>
      <c r="K6" s="5"/>
    </row>
    <row r="7" spans="3:11" x14ac:dyDescent="0.3"/>
    <row r="8" spans="3:11" x14ac:dyDescent="0.3"/>
    <row r="9" spans="3:11" x14ac:dyDescent="0.3">
      <c r="C9" s="9" t="s">
        <v>3773</v>
      </c>
    </row>
    <row r="10" spans="3:11" x14ac:dyDescent="0.3">
      <c r="C10" s="9" t="s">
        <v>3774</v>
      </c>
    </row>
    <row r="11" spans="3:11" x14ac:dyDescent="0.3">
      <c r="C11" s="9" t="s">
        <v>3766</v>
      </c>
    </row>
    <row r="12" spans="3:11" x14ac:dyDescent="0.3">
      <c r="C12" s="9" t="s">
        <v>14</v>
      </c>
    </row>
    <row r="13" spans="3:11" x14ac:dyDescent="0.3"/>
    <row r="14" spans="3:11" x14ac:dyDescent="0.3">
      <c r="D14" s="10" t="s">
        <v>15</v>
      </c>
      <c r="E14" s="10" t="s">
        <v>16</v>
      </c>
      <c r="F14" s="10" t="s">
        <v>17</v>
      </c>
    </row>
    <row r="15" spans="3:11" x14ac:dyDescent="0.3">
      <c r="D15" s="10" t="s">
        <v>18</v>
      </c>
      <c r="E15" s="10" t="s">
        <v>19</v>
      </c>
      <c r="F15" s="10" t="s">
        <v>20</v>
      </c>
    </row>
    <row r="16" spans="3:11" x14ac:dyDescent="0.3">
      <c r="D16" s="10" t="s">
        <v>21</v>
      </c>
      <c r="E16" s="10" t="s">
        <v>3763</v>
      </c>
      <c r="F16" s="10" t="s">
        <v>3762</v>
      </c>
    </row>
    <row r="17" spans="1:13" x14ac:dyDescent="0.3">
      <c r="D17" s="10" t="s">
        <v>22</v>
      </c>
    </row>
    <row r="18" spans="1:13" x14ac:dyDescent="0.3"/>
    <row r="19" spans="1:13" ht="15.6" x14ac:dyDescent="0.3">
      <c r="A19" s="15"/>
      <c r="B19" s="15"/>
      <c r="C19" s="16" t="s">
        <v>3775</v>
      </c>
      <c r="D19" s="15"/>
      <c r="E19" s="15"/>
      <c r="F19" s="15"/>
      <c r="G19" s="15"/>
      <c r="H19" s="15"/>
      <c r="I19" s="15"/>
      <c r="J19" s="15"/>
      <c r="K19" s="15"/>
      <c r="L19" s="15"/>
      <c r="M19" s="14"/>
    </row>
    <row r="20" spans="1:13" x14ac:dyDescent="0.3">
      <c r="A20" s="14"/>
      <c r="B20" s="14"/>
      <c r="C20" s="14" t="s">
        <v>3776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</row>
    <row r="21" spans="1:13" x14ac:dyDescent="0.3">
      <c r="A21" s="14"/>
      <c r="B21" s="14"/>
      <c r="C21" s="14" t="s">
        <v>3777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</row>
    <row r="22" spans="1:13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</row>
    <row r="23" spans="1:13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</row>
    <row r="24" spans="1:13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</row>
    <row r="25" spans="1:13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</row>
    <row r="26" spans="1:13" x14ac:dyDescent="0.3">
      <c r="A26" s="14"/>
      <c r="B26" s="14"/>
      <c r="C26" s="14" t="s">
        <v>3778</v>
      </c>
      <c r="D26" s="14"/>
      <c r="E26" s="14"/>
      <c r="F26" s="14"/>
      <c r="G26" s="14"/>
      <c r="H26" s="14"/>
      <c r="I26" s="14"/>
      <c r="J26" s="14"/>
      <c r="K26" s="14"/>
      <c r="L26" s="14"/>
    </row>
    <row r="27" spans="1:13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</row>
    <row r="28" spans="1:13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</row>
    <row r="29" spans="1:13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</row>
    <row r="30" spans="1:13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</row>
    <row r="31" spans="1:13" x14ac:dyDescent="0.3">
      <c r="A31" s="14"/>
      <c r="B31" s="14"/>
      <c r="C31" s="14" t="s">
        <v>3779</v>
      </c>
      <c r="D31" s="14"/>
      <c r="E31" s="14"/>
      <c r="F31" s="14"/>
      <c r="G31" s="14"/>
      <c r="H31" s="14"/>
      <c r="I31" s="14"/>
      <c r="J31" s="14"/>
      <c r="K31" s="14"/>
      <c r="L31" s="14"/>
    </row>
    <row r="32" spans="1:13" x14ac:dyDescent="0.3">
      <c r="A32" s="14"/>
      <c r="B32" s="14"/>
      <c r="C32" s="14" t="s">
        <v>3780</v>
      </c>
      <c r="D32" s="14"/>
      <c r="E32" s="14"/>
      <c r="F32" s="14"/>
      <c r="G32" s="14"/>
      <c r="H32" s="14"/>
      <c r="I32" s="14"/>
      <c r="J32" s="14"/>
      <c r="K32" s="14"/>
      <c r="L32" s="14"/>
    </row>
    <row r="33" spans="1:12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</row>
    <row r="34" spans="1:12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</row>
    <row r="35" spans="1:12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</row>
    <row r="36" spans="1:12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</row>
    <row r="37" spans="1:12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</row>
    <row r="38" spans="1:12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</row>
    <row r="39" spans="1:12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</row>
    <row r="40" spans="1:12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</row>
    <row r="41" spans="1:12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</row>
    <row r="42" spans="1:12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</row>
    <row r="43" spans="1:12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</row>
    <row r="44" spans="1:12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</row>
    <row r="45" spans="1:12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</row>
    <row r="46" spans="1:12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</row>
    <row r="47" spans="1:12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</row>
    <row r="48" spans="1:12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</row>
    <row r="49" spans="1:12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</row>
    <row r="50" spans="1:12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</row>
    <row r="51" spans="1:12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</row>
    <row r="52" spans="1:12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</row>
    <row r="53" spans="1:12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</row>
    <row r="54" spans="1:12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</row>
    <row r="55" spans="1:12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</row>
    <row r="56" spans="1:12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</row>
    <row r="57" spans="1:12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</row>
    <row r="58" spans="1:12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</row>
    <row r="59" spans="1:12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</row>
    <row r="60" spans="1:12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</row>
    <row r="61" spans="1:12" x14ac:dyDescent="0.3">
      <c r="A61" s="14"/>
      <c r="B61" s="14"/>
      <c r="C61" s="14" t="s">
        <v>3781</v>
      </c>
      <c r="D61" s="14"/>
      <c r="E61" s="14"/>
      <c r="F61" s="14"/>
      <c r="G61" s="14"/>
      <c r="H61" s="14"/>
      <c r="I61" s="14"/>
      <c r="J61" s="14"/>
      <c r="K61" s="14"/>
      <c r="L61" s="14"/>
    </row>
    <row r="62" spans="1:12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</row>
    <row r="63" spans="1:12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</row>
    <row r="64" spans="1:12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</row>
    <row r="65" spans="1:12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</row>
    <row r="66" spans="1:12" hidden="1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</row>
    <row r="67" spans="1:12" hidden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</row>
    <row r="68" spans="1:12" hidden="1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</row>
    <row r="69" spans="1:12" hidden="1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</row>
    <row r="70" spans="1:12" hidden="1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</row>
    <row r="71" spans="1:12" hidden="1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</row>
    <row r="72" spans="1:12" hidden="1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</row>
    <row r="73" spans="1:12" hidden="1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</row>
    <row r="74" spans="1:12" hidden="1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</row>
    <row r="75" spans="1:12" hidden="1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</row>
    <row r="76" spans="1:12" hidden="1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</row>
    <row r="77" spans="1:12" hidden="1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</row>
    <row r="78" spans="1:12" hidden="1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</row>
    <row r="79" spans="1:12" hidden="1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</row>
    <row r="80" spans="1:12" hidden="1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</row>
    <row r="81" spans="1:12" hidden="1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</row>
    <row r="82" spans="1:12" hidden="1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</row>
    <row r="83" spans="1:12" hidden="1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</row>
    <row r="84" spans="1:12" hidden="1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</row>
    <row r="85" spans="1:12" hidden="1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</row>
    <row r="86" spans="1:12" hidden="1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9928A-8EB0-49F1-BFEA-2A91EE436EC4}">
  <sheetPr codeName="wsBase"/>
  <dimension ref="A1:T6492"/>
  <sheetViews>
    <sheetView showGridLines="0" zoomScale="85" zoomScaleNormal="85" workbookViewId="0">
      <pane ySplit="3" topLeftCell="A4" activePane="bottomLeft" state="frozen"/>
      <selection activeCell="D26" sqref="D26"/>
      <selection pane="bottomLeft" activeCell="O4" sqref="O4:O366"/>
    </sheetView>
  </sheetViews>
  <sheetFormatPr defaultRowHeight="14.4" x14ac:dyDescent="0.3"/>
  <cols>
    <col min="1" max="1" width="13.88671875" bestFit="1" customWidth="1"/>
    <col min="2" max="2" width="24.33203125" bestFit="1" customWidth="1"/>
    <col min="3" max="3" width="14" bestFit="1" customWidth="1"/>
    <col min="4" max="4" width="6.5546875" bestFit="1" customWidth="1"/>
    <col min="5" max="5" width="9.44140625" bestFit="1" customWidth="1"/>
    <col min="7" max="7" width="11.44140625" bestFit="1" customWidth="1"/>
    <col min="8" max="8" width="16.6640625" bestFit="1" customWidth="1"/>
    <col min="9" max="12" width="4.44140625" customWidth="1"/>
    <col min="13" max="13" width="13.88671875" bestFit="1" customWidth="1"/>
    <col min="14" max="14" width="20.33203125" customWidth="1"/>
    <col min="15" max="15" width="25.6640625" bestFit="1" customWidth="1"/>
    <col min="16" max="16" width="18.5546875" bestFit="1" customWidth="1"/>
    <col min="17" max="17" width="12.88671875" bestFit="1" customWidth="1"/>
    <col min="18" max="18" width="16.5546875" customWidth="1"/>
    <col min="19" max="19" width="19.33203125" bestFit="1" customWidth="1"/>
    <col min="20" max="20" width="11.44140625" customWidth="1"/>
  </cols>
  <sheetData>
    <row r="1" spans="1:20" x14ac:dyDescent="0.3">
      <c r="A1" s="7" t="s">
        <v>3756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 t="s">
        <v>3755</v>
      </c>
      <c r="N1" s="7"/>
      <c r="O1" s="7"/>
      <c r="P1" s="7"/>
      <c r="Q1" s="7"/>
      <c r="R1" s="7"/>
      <c r="S1" s="7"/>
      <c r="T1" s="7"/>
    </row>
    <row r="3" spans="1:20" x14ac:dyDescent="0.3">
      <c r="A3" t="s">
        <v>3749</v>
      </c>
      <c r="B3" t="s">
        <v>3754</v>
      </c>
      <c r="C3" t="s">
        <v>3765</v>
      </c>
      <c r="D3" t="s">
        <v>3753</v>
      </c>
      <c r="E3" t="s">
        <v>3752</v>
      </c>
      <c r="F3" t="s">
        <v>3751</v>
      </c>
      <c r="G3" t="s">
        <v>3750</v>
      </c>
      <c r="H3" t="s">
        <v>3764</v>
      </c>
      <c r="M3" t="s">
        <v>3749</v>
      </c>
      <c r="N3" t="s">
        <v>3748</v>
      </c>
      <c r="O3" t="s">
        <v>3747</v>
      </c>
      <c r="P3" t="s">
        <v>18</v>
      </c>
      <c r="Q3" t="s">
        <v>3746</v>
      </c>
      <c r="R3" t="s">
        <v>3745</v>
      </c>
      <c r="S3" t="s">
        <v>3744</v>
      </c>
      <c r="T3" s="13" t="s">
        <v>3770</v>
      </c>
    </row>
    <row r="4" spans="1:20" x14ac:dyDescent="0.3">
      <c r="A4" s="2">
        <v>501</v>
      </c>
      <c r="B4" t="s">
        <v>3743</v>
      </c>
      <c r="C4" t="s">
        <v>0</v>
      </c>
      <c r="D4" s="2">
        <v>1</v>
      </c>
      <c r="E4" s="11" t="s">
        <v>3729</v>
      </c>
      <c r="F4" t="s">
        <v>126</v>
      </c>
      <c r="G4" s="2" t="s">
        <v>4</v>
      </c>
      <c r="H4" s="1">
        <v>227.79400000000001</v>
      </c>
      <c r="M4" s="2">
        <v>501</v>
      </c>
      <c r="N4" s="4">
        <v>43647.494328703702</v>
      </c>
      <c r="O4" t="s">
        <v>3355</v>
      </c>
      <c r="P4" t="s">
        <v>3318</v>
      </c>
      <c r="Q4" s="1">
        <v>2002.1280000000002</v>
      </c>
      <c r="R4" t="s">
        <v>3757</v>
      </c>
      <c r="S4" t="s">
        <v>3314</v>
      </c>
      <c r="T4">
        <f>MONTH(tbPedido[[#This Row],[Comprado Em]])</f>
        <v>7</v>
      </c>
    </row>
    <row r="5" spans="1:20" x14ac:dyDescent="0.3">
      <c r="A5" s="2">
        <v>501</v>
      </c>
      <c r="B5" t="s">
        <v>3742</v>
      </c>
      <c r="C5" t="s">
        <v>0</v>
      </c>
      <c r="D5" s="2">
        <v>1</v>
      </c>
      <c r="E5" s="11" t="s">
        <v>3714</v>
      </c>
      <c r="F5" t="s">
        <v>81</v>
      </c>
      <c r="G5" s="2" t="s">
        <v>23</v>
      </c>
      <c r="H5" s="1">
        <v>190.69400000000002</v>
      </c>
      <c r="M5" s="2">
        <v>502</v>
      </c>
      <c r="N5" s="4">
        <v>43647.502650462964</v>
      </c>
      <c r="O5" t="s">
        <v>3421</v>
      </c>
      <c r="P5" t="s">
        <v>3316</v>
      </c>
      <c r="Q5" s="1">
        <v>2654.982</v>
      </c>
      <c r="R5" t="s">
        <v>3757</v>
      </c>
      <c r="S5" t="s">
        <v>3320</v>
      </c>
      <c r="T5">
        <f>MONTH(tbPedido[[#This Row],[Comprado Em]])</f>
        <v>7</v>
      </c>
    </row>
    <row r="6" spans="1:20" x14ac:dyDescent="0.3">
      <c r="A6" s="2">
        <v>501</v>
      </c>
      <c r="B6" t="s">
        <v>3741</v>
      </c>
      <c r="C6" t="s">
        <v>0</v>
      </c>
      <c r="D6" s="2">
        <v>1</v>
      </c>
      <c r="E6" s="11" t="s">
        <v>3213</v>
      </c>
      <c r="F6" t="s">
        <v>62</v>
      </c>
      <c r="G6" s="2" t="s">
        <v>23</v>
      </c>
      <c r="H6" s="1">
        <v>153.59400000000002</v>
      </c>
      <c r="M6" s="2">
        <v>503</v>
      </c>
      <c r="N6" s="4">
        <v>43647.590057870373</v>
      </c>
      <c r="O6" t="s">
        <v>3339</v>
      </c>
      <c r="P6" t="s">
        <v>3316</v>
      </c>
      <c r="Q6" s="1">
        <v>2033.5040000000001</v>
      </c>
      <c r="R6" t="s">
        <v>3757</v>
      </c>
      <c r="S6" t="s">
        <v>3309</v>
      </c>
      <c r="T6">
        <f>MONTH(tbPedido[[#This Row],[Comprado Em]])</f>
        <v>7</v>
      </c>
    </row>
    <row r="7" spans="1:20" x14ac:dyDescent="0.3">
      <c r="A7" s="2">
        <v>501</v>
      </c>
      <c r="B7" t="s">
        <v>3259</v>
      </c>
      <c r="C7" t="s">
        <v>0</v>
      </c>
      <c r="D7" s="2">
        <v>2</v>
      </c>
      <c r="E7" s="11" t="s">
        <v>3089</v>
      </c>
      <c r="F7" t="s">
        <v>254</v>
      </c>
      <c r="G7" s="2" t="s">
        <v>31</v>
      </c>
      <c r="H7" s="1">
        <v>195.99400000000003</v>
      </c>
      <c r="M7" s="2">
        <v>504</v>
      </c>
      <c r="N7" s="4">
        <v>43647.906793981485</v>
      </c>
      <c r="O7" t="s">
        <v>3336</v>
      </c>
      <c r="P7" t="s">
        <v>3318</v>
      </c>
      <c r="Q7" s="1">
        <v>1269.8800000000001</v>
      </c>
      <c r="R7" t="s">
        <v>3310</v>
      </c>
      <c r="S7" t="s">
        <v>3445</v>
      </c>
      <c r="T7">
        <f>MONTH(tbPedido[[#This Row],[Comprado Em]])</f>
        <v>7</v>
      </c>
    </row>
    <row r="8" spans="1:20" x14ac:dyDescent="0.3">
      <c r="A8" s="2">
        <v>501</v>
      </c>
      <c r="B8" t="s">
        <v>3371</v>
      </c>
      <c r="C8" t="s">
        <v>0</v>
      </c>
      <c r="D8" s="2">
        <v>2</v>
      </c>
      <c r="E8" s="11" t="s">
        <v>3089</v>
      </c>
      <c r="F8" t="s">
        <v>254</v>
      </c>
      <c r="G8" s="2" t="s">
        <v>23</v>
      </c>
      <c r="H8" s="1">
        <v>195.99400000000003</v>
      </c>
      <c r="M8" s="2">
        <v>505</v>
      </c>
      <c r="N8" s="4">
        <v>43648.577002314814</v>
      </c>
      <c r="O8" t="s">
        <v>3519</v>
      </c>
      <c r="P8" t="s">
        <v>3311</v>
      </c>
      <c r="Q8" s="1">
        <v>1832.5280000000002</v>
      </c>
      <c r="R8" t="s">
        <v>3757</v>
      </c>
      <c r="S8" t="s">
        <v>3322</v>
      </c>
      <c r="T8">
        <f>MONTH(tbPedido[[#This Row],[Comprado Em]])</f>
        <v>7</v>
      </c>
    </row>
    <row r="9" spans="1:20" x14ac:dyDescent="0.3">
      <c r="A9" s="2">
        <v>501</v>
      </c>
      <c r="B9" t="s">
        <v>3053</v>
      </c>
      <c r="C9" t="s">
        <v>3219</v>
      </c>
      <c r="D9" s="2">
        <v>1</v>
      </c>
      <c r="E9" s="11" t="s">
        <v>2123</v>
      </c>
      <c r="F9" t="s">
        <v>39</v>
      </c>
      <c r="G9" s="2" t="s">
        <v>23</v>
      </c>
      <c r="H9" s="1">
        <v>142.994</v>
      </c>
      <c r="M9" s="2">
        <v>506</v>
      </c>
      <c r="N9" s="4">
        <v>43649.545011574075</v>
      </c>
      <c r="O9" t="s">
        <v>3478</v>
      </c>
      <c r="P9" t="s">
        <v>3316</v>
      </c>
      <c r="Q9" s="1">
        <v>3095.8360000000002</v>
      </c>
      <c r="R9" t="s">
        <v>3757</v>
      </c>
      <c r="S9" t="s">
        <v>3331</v>
      </c>
      <c r="T9">
        <f>MONTH(tbPedido[[#This Row],[Comprado Em]])</f>
        <v>7</v>
      </c>
    </row>
    <row r="10" spans="1:20" x14ac:dyDescent="0.3">
      <c r="A10" s="2">
        <v>501</v>
      </c>
      <c r="B10" t="s">
        <v>3739</v>
      </c>
      <c r="C10" t="s">
        <v>3220</v>
      </c>
      <c r="D10" s="2">
        <v>1</v>
      </c>
      <c r="E10" s="11" t="s">
        <v>3677</v>
      </c>
      <c r="F10" t="s">
        <v>39</v>
      </c>
      <c r="G10" s="2" t="s">
        <v>23</v>
      </c>
      <c r="H10" s="1">
        <v>42.294000000000004</v>
      </c>
      <c r="M10" s="2">
        <v>507</v>
      </c>
      <c r="N10" s="4">
        <v>43649.629988425928</v>
      </c>
      <c r="O10" t="s">
        <v>3543</v>
      </c>
      <c r="P10" t="s">
        <v>3316</v>
      </c>
      <c r="Q10" s="1">
        <v>2011.7740000000003</v>
      </c>
      <c r="R10" t="s">
        <v>3757</v>
      </c>
      <c r="S10" t="s">
        <v>3326</v>
      </c>
      <c r="T10">
        <f>MONTH(tbPedido[[#This Row],[Comprado Em]])</f>
        <v>7</v>
      </c>
    </row>
    <row r="11" spans="1:20" x14ac:dyDescent="0.3">
      <c r="A11" s="2">
        <v>501</v>
      </c>
      <c r="B11" t="s">
        <v>3737</v>
      </c>
      <c r="C11" t="s">
        <v>3219</v>
      </c>
      <c r="D11" s="2">
        <v>1</v>
      </c>
      <c r="E11" s="11" t="s">
        <v>3501</v>
      </c>
      <c r="F11" t="s">
        <v>39</v>
      </c>
      <c r="G11" s="2" t="s">
        <v>23</v>
      </c>
      <c r="H11" s="1">
        <v>142.994</v>
      </c>
      <c r="M11" s="2">
        <v>508</v>
      </c>
      <c r="N11" s="4">
        <v>43649.701689814814</v>
      </c>
      <c r="O11" t="s">
        <v>3503</v>
      </c>
      <c r="P11" t="s">
        <v>3311</v>
      </c>
      <c r="Q11" s="1">
        <v>1381.4980000000003</v>
      </c>
      <c r="R11" t="s">
        <v>3757</v>
      </c>
      <c r="S11" t="s">
        <v>3623</v>
      </c>
      <c r="T11">
        <f>MONTH(tbPedido[[#This Row],[Comprado Em]])</f>
        <v>7</v>
      </c>
    </row>
    <row r="12" spans="1:20" x14ac:dyDescent="0.3">
      <c r="A12" s="2">
        <v>501</v>
      </c>
      <c r="B12" t="s">
        <v>3735</v>
      </c>
      <c r="C12" t="s">
        <v>0</v>
      </c>
      <c r="D12" s="2">
        <v>1</v>
      </c>
      <c r="E12" s="11" t="s">
        <v>3701</v>
      </c>
      <c r="F12" t="s">
        <v>28</v>
      </c>
      <c r="G12" s="2" t="s">
        <v>4</v>
      </c>
      <c r="H12" s="1">
        <v>164.19400000000002</v>
      </c>
      <c r="M12" s="2">
        <v>509</v>
      </c>
      <c r="N12" s="4">
        <v>43650.634155092594</v>
      </c>
      <c r="O12" t="s">
        <v>3543</v>
      </c>
      <c r="P12" t="s">
        <v>3316</v>
      </c>
      <c r="Q12" s="1">
        <v>889.76400000000001</v>
      </c>
      <c r="R12" t="s">
        <v>3757</v>
      </c>
      <c r="S12" t="s">
        <v>3320</v>
      </c>
      <c r="T12">
        <f>MONTH(tbPedido[[#This Row],[Comprado Em]])</f>
        <v>7</v>
      </c>
    </row>
    <row r="13" spans="1:20" x14ac:dyDescent="0.3">
      <c r="A13" s="2">
        <v>501</v>
      </c>
      <c r="B13" t="s">
        <v>3734</v>
      </c>
      <c r="C13" t="s">
        <v>0</v>
      </c>
      <c r="D13" s="2">
        <v>1</v>
      </c>
      <c r="E13" s="11" t="s">
        <v>3213</v>
      </c>
      <c r="F13" t="s">
        <v>28</v>
      </c>
      <c r="G13" s="2" t="s">
        <v>4</v>
      </c>
      <c r="H13" s="1">
        <v>153.59400000000002</v>
      </c>
      <c r="M13" s="2">
        <v>510</v>
      </c>
      <c r="N13" s="4">
        <v>43651.454756944448</v>
      </c>
      <c r="O13" t="s">
        <v>3346</v>
      </c>
      <c r="P13" t="s">
        <v>3311</v>
      </c>
      <c r="Q13" s="1">
        <v>873.22800000000018</v>
      </c>
      <c r="R13" t="s">
        <v>3310</v>
      </c>
      <c r="S13" t="s">
        <v>3309</v>
      </c>
      <c r="T13">
        <f>MONTH(tbPedido[[#This Row],[Comprado Em]])</f>
        <v>7</v>
      </c>
    </row>
    <row r="14" spans="1:20" x14ac:dyDescent="0.3">
      <c r="A14" s="2">
        <v>502</v>
      </c>
      <c r="B14" t="s">
        <v>755</v>
      </c>
      <c r="C14" t="s">
        <v>1</v>
      </c>
      <c r="D14" s="2">
        <v>1</v>
      </c>
      <c r="E14" s="11" t="s">
        <v>53</v>
      </c>
      <c r="F14" t="s">
        <v>65</v>
      </c>
      <c r="G14" s="2" t="s">
        <v>31</v>
      </c>
      <c r="H14" s="1">
        <v>36.994</v>
      </c>
      <c r="M14" s="2">
        <v>511</v>
      </c>
      <c r="N14" s="4">
        <v>43651.670092592591</v>
      </c>
      <c r="O14" t="s">
        <v>3632</v>
      </c>
      <c r="P14" t="s">
        <v>3316</v>
      </c>
      <c r="Q14" s="1">
        <v>1059.152</v>
      </c>
      <c r="R14" t="s">
        <v>3315</v>
      </c>
      <c r="S14" t="s">
        <v>3320</v>
      </c>
      <c r="T14">
        <f>MONTH(tbPedido[[#This Row],[Comprado Em]])</f>
        <v>7</v>
      </c>
    </row>
    <row r="15" spans="1:20" x14ac:dyDescent="0.3">
      <c r="A15" s="2">
        <v>502</v>
      </c>
      <c r="B15" t="s">
        <v>754</v>
      </c>
      <c r="C15" t="s">
        <v>1</v>
      </c>
      <c r="D15" s="2">
        <v>3</v>
      </c>
      <c r="E15" s="11" t="s">
        <v>53</v>
      </c>
      <c r="F15" t="s">
        <v>65</v>
      </c>
      <c r="G15" s="2" t="s">
        <v>23</v>
      </c>
      <c r="H15" s="1">
        <v>36.994</v>
      </c>
      <c r="M15" s="2">
        <v>512</v>
      </c>
      <c r="N15" s="4">
        <v>43651.893773148149</v>
      </c>
      <c r="O15" t="s">
        <v>3611</v>
      </c>
      <c r="P15" t="s">
        <v>3311</v>
      </c>
      <c r="Q15" s="1">
        <v>1101.0220000000004</v>
      </c>
      <c r="R15" t="s">
        <v>3757</v>
      </c>
      <c r="S15" t="s">
        <v>3523</v>
      </c>
      <c r="T15">
        <f>MONTH(tbPedido[[#This Row],[Comprado Em]])</f>
        <v>7</v>
      </c>
    </row>
    <row r="16" spans="1:20" x14ac:dyDescent="0.3">
      <c r="A16" s="2">
        <v>502</v>
      </c>
      <c r="B16" t="s">
        <v>2844</v>
      </c>
      <c r="C16" t="s">
        <v>3217</v>
      </c>
      <c r="D16" s="2">
        <v>1</v>
      </c>
      <c r="E16" s="11" t="s">
        <v>2654</v>
      </c>
      <c r="F16" t="s">
        <v>126</v>
      </c>
      <c r="G16" s="2" t="s">
        <v>31</v>
      </c>
      <c r="H16" s="1">
        <v>26.393999999999998</v>
      </c>
      <c r="M16" s="2">
        <v>513</v>
      </c>
      <c r="N16" s="4">
        <v>43652.3672337963</v>
      </c>
      <c r="O16" t="s">
        <v>3422</v>
      </c>
      <c r="P16" t="s">
        <v>3316</v>
      </c>
      <c r="Q16" s="1">
        <v>1344.9280000000001</v>
      </c>
      <c r="R16" t="s">
        <v>3757</v>
      </c>
      <c r="S16" t="s">
        <v>3320</v>
      </c>
      <c r="T16">
        <f>MONTH(tbPedido[[#This Row],[Comprado Em]])</f>
        <v>7</v>
      </c>
    </row>
    <row r="17" spans="1:20" x14ac:dyDescent="0.3">
      <c r="A17" s="2">
        <v>502</v>
      </c>
      <c r="B17" t="s">
        <v>3535</v>
      </c>
      <c r="C17" t="s">
        <v>3217</v>
      </c>
      <c r="D17" s="2">
        <v>1</v>
      </c>
      <c r="E17" s="11" t="s">
        <v>2654</v>
      </c>
      <c r="F17" t="s">
        <v>126</v>
      </c>
      <c r="G17" s="2" t="s">
        <v>23</v>
      </c>
      <c r="H17" s="1">
        <v>26.393999999999998</v>
      </c>
      <c r="M17" s="2">
        <v>514</v>
      </c>
      <c r="N17" s="4">
        <v>43653.528564814813</v>
      </c>
      <c r="O17" t="s">
        <v>3611</v>
      </c>
      <c r="P17" t="s">
        <v>3316</v>
      </c>
      <c r="Q17" s="1">
        <v>5332.7540000000017</v>
      </c>
      <c r="R17" t="s">
        <v>3315</v>
      </c>
      <c r="S17" t="s">
        <v>3314</v>
      </c>
      <c r="T17">
        <f>MONTH(tbPedido[[#This Row],[Comprado Em]])</f>
        <v>7</v>
      </c>
    </row>
    <row r="18" spans="1:20" x14ac:dyDescent="0.3">
      <c r="A18" s="2">
        <v>502</v>
      </c>
      <c r="B18" t="s">
        <v>2841</v>
      </c>
      <c r="C18" t="s">
        <v>3217</v>
      </c>
      <c r="D18" s="2">
        <v>1</v>
      </c>
      <c r="E18" s="11" t="s">
        <v>2654</v>
      </c>
      <c r="F18" t="s">
        <v>28</v>
      </c>
      <c r="G18" s="2" t="s">
        <v>23</v>
      </c>
      <c r="H18" s="1">
        <v>26.393999999999998</v>
      </c>
      <c r="M18" s="2">
        <v>515</v>
      </c>
      <c r="N18" s="4">
        <v>43654.406574074077</v>
      </c>
      <c r="O18" t="s">
        <v>3515</v>
      </c>
      <c r="P18" t="s">
        <v>3318</v>
      </c>
      <c r="Q18" s="1">
        <v>2584.1740000000004</v>
      </c>
      <c r="R18" t="s">
        <v>3757</v>
      </c>
      <c r="S18" t="s">
        <v>3366</v>
      </c>
      <c r="T18">
        <f>MONTH(tbPedido[[#This Row],[Comprado Em]])</f>
        <v>7</v>
      </c>
    </row>
    <row r="19" spans="1:20" x14ac:dyDescent="0.3">
      <c r="A19" s="2">
        <v>502</v>
      </c>
      <c r="B19" t="s">
        <v>1073</v>
      </c>
      <c r="C19" t="s">
        <v>3219</v>
      </c>
      <c r="D19" s="2">
        <v>1</v>
      </c>
      <c r="E19" s="11" t="s">
        <v>534</v>
      </c>
      <c r="F19" t="s">
        <v>62</v>
      </c>
      <c r="G19" s="2" t="s">
        <v>31</v>
      </c>
      <c r="H19" s="1">
        <v>89.994000000000014</v>
      </c>
      <c r="M19" s="2">
        <v>516</v>
      </c>
      <c r="N19" s="4">
        <v>43654.499409722222</v>
      </c>
      <c r="O19" t="s">
        <v>3467</v>
      </c>
      <c r="P19" t="s">
        <v>3316</v>
      </c>
      <c r="Q19" s="1">
        <v>1657.5219999999999</v>
      </c>
      <c r="R19" t="s">
        <v>3315</v>
      </c>
      <c r="S19" t="s">
        <v>3309</v>
      </c>
      <c r="T19">
        <f>MONTH(tbPedido[[#This Row],[Comprado Em]])</f>
        <v>7</v>
      </c>
    </row>
    <row r="20" spans="1:20" x14ac:dyDescent="0.3">
      <c r="A20" s="2">
        <v>502</v>
      </c>
      <c r="B20" t="s">
        <v>2975</v>
      </c>
      <c r="C20" t="s">
        <v>3219</v>
      </c>
      <c r="D20" s="2">
        <v>1</v>
      </c>
      <c r="E20" s="11" t="s">
        <v>534</v>
      </c>
      <c r="F20" t="s">
        <v>62</v>
      </c>
      <c r="G20" s="2" t="s">
        <v>23</v>
      </c>
      <c r="H20" s="1">
        <v>89.994000000000014</v>
      </c>
      <c r="M20" s="2">
        <v>517</v>
      </c>
      <c r="N20" s="4">
        <v>43654.561921296299</v>
      </c>
      <c r="O20" t="s">
        <v>3716</v>
      </c>
      <c r="P20" t="s">
        <v>3311</v>
      </c>
      <c r="Q20" s="1">
        <v>1297.2280000000001</v>
      </c>
      <c r="R20" t="s">
        <v>3310</v>
      </c>
      <c r="S20" t="s">
        <v>3320</v>
      </c>
      <c r="T20">
        <f>MONTH(tbPedido[[#This Row],[Comprado Em]])</f>
        <v>7</v>
      </c>
    </row>
    <row r="21" spans="1:20" x14ac:dyDescent="0.3">
      <c r="A21" s="2">
        <v>502</v>
      </c>
      <c r="B21" t="s">
        <v>2102</v>
      </c>
      <c r="C21" t="s">
        <v>2</v>
      </c>
      <c r="D21" s="2">
        <v>1</v>
      </c>
      <c r="E21" s="11" t="s">
        <v>2081</v>
      </c>
      <c r="F21" t="s">
        <v>28</v>
      </c>
      <c r="G21" s="2" t="s">
        <v>4</v>
      </c>
      <c r="H21" s="1">
        <v>74.094000000000008</v>
      </c>
      <c r="M21" s="2">
        <v>518</v>
      </c>
      <c r="N21" s="4">
        <v>43654.688738425924</v>
      </c>
      <c r="O21" t="s">
        <v>3621</v>
      </c>
      <c r="P21" t="s">
        <v>3316</v>
      </c>
      <c r="Q21" s="1">
        <v>1472.1280000000004</v>
      </c>
      <c r="R21" t="s">
        <v>3310</v>
      </c>
      <c r="S21" t="s">
        <v>3314</v>
      </c>
      <c r="T21">
        <f>MONTH(tbPedido[[#This Row],[Comprado Em]])</f>
        <v>7</v>
      </c>
    </row>
    <row r="22" spans="1:20" x14ac:dyDescent="0.3">
      <c r="A22" s="2">
        <v>502</v>
      </c>
      <c r="B22" t="s">
        <v>2664</v>
      </c>
      <c r="C22" t="s">
        <v>2</v>
      </c>
      <c r="D22" s="2">
        <v>1</v>
      </c>
      <c r="E22" s="11" t="s">
        <v>2081</v>
      </c>
      <c r="F22" t="s">
        <v>28</v>
      </c>
      <c r="G22" s="2" t="s">
        <v>31</v>
      </c>
      <c r="H22" s="1">
        <v>74.094000000000008</v>
      </c>
      <c r="M22" s="2">
        <v>519</v>
      </c>
      <c r="N22" s="4">
        <v>43654.744872685187</v>
      </c>
      <c r="O22" t="s">
        <v>3617</v>
      </c>
      <c r="P22" t="s">
        <v>3311</v>
      </c>
      <c r="Q22" s="1">
        <v>1159.4280000000001</v>
      </c>
      <c r="R22" t="s">
        <v>3310</v>
      </c>
      <c r="S22" t="s">
        <v>3434</v>
      </c>
      <c r="T22">
        <f>MONTH(tbPedido[[#This Row],[Comprado Em]])</f>
        <v>7</v>
      </c>
    </row>
    <row r="23" spans="1:20" x14ac:dyDescent="0.3">
      <c r="A23" s="2">
        <v>502</v>
      </c>
      <c r="B23" t="s">
        <v>2709</v>
      </c>
      <c r="C23" t="s">
        <v>2</v>
      </c>
      <c r="D23" s="2">
        <v>1</v>
      </c>
      <c r="E23" s="11" t="s">
        <v>2081</v>
      </c>
      <c r="F23" t="s">
        <v>28</v>
      </c>
      <c r="G23" s="2" t="s">
        <v>23</v>
      </c>
      <c r="H23" s="1">
        <v>74.094000000000008</v>
      </c>
      <c r="M23" s="2">
        <v>520</v>
      </c>
      <c r="N23" s="4">
        <v>43655.706122685187</v>
      </c>
      <c r="O23" t="s">
        <v>3529</v>
      </c>
      <c r="P23" t="s">
        <v>3318</v>
      </c>
      <c r="Q23" s="1">
        <v>1117.028</v>
      </c>
      <c r="R23" t="s">
        <v>3310</v>
      </c>
      <c r="S23" t="s">
        <v>3392</v>
      </c>
      <c r="T23">
        <f>MONTH(tbPedido[[#This Row],[Comprado Em]])</f>
        <v>7</v>
      </c>
    </row>
    <row r="24" spans="1:20" x14ac:dyDescent="0.3">
      <c r="A24" s="2">
        <v>502</v>
      </c>
      <c r="B24" t="s">
        <v>873</v>
      </c>
      <c r="C24" t="s">
        <v>1</v>
      </c>
      <c r="D24" s="2">
        <v>1</v>
      </c>
      <c r="E24" s="11" t="s">
        <v>53</v>
      </c>
      <c r="F24" t="s">
        <v>55</v>
      </c>
      <c r="G24" s="2" t="s">
        <v>4</v>
      </c>
      <c r="H24" s="1">
        <v>36.994</v>
      </c>
      <c r="M24" s="2">
        <v>521</v>
      </c>
      <c r="N24" s="4">
        <v>43656.450995370367</v>
      </c>
      <c r="O24" t="s">
        <v>3403</v>
      </c>
      <c r="P24" t="s">
        <v>3311</v>
      </c>
      <c r="Q24" s="1">
        <v>1647.3460000000002</v>
      </c>
      <c r="R24" t="s">
        <v>3315</v>
      </c>
      <c r="S24" t="s">
        <v>3322</v>
      </c>
      <c r="T24">
        <f>MONTH(tbPedido[[#This Row],[Comprado Em]])</f>
        <v>7</v>
      </c>
    </row>
    <row r="25" spans="1:20" x14ac:dyDescent="0.3">
      <c r="A25" s="2">
        <v>502</v>
      </c>
      <c r="B25" t="s">
        <v>1001</v>
      </c>
      <c r="C25" t="s">
        <v>1</v>
      </c>
      <c r="D25" s="2">
        <v>1</v>
      </c>
      <c r="E25" s="11" t="s">
        <v>53</v>
      </c>
      <c r="F25" t="s">
        <v>55</v>
      </c>
      <c r="G25" s="2" t="s">
        <v>31</v>
      </c>
      <c r="H25" s="1">
        <v>36.994</v>
      </c>
      <c r="M25" s="2">
        <v>522</v>
      </c>
      <c r="N25" s="4">
        <v>43656.720069444447</v>
      </c>
      <c r="O25" t="s">
        <v>3329</v>
      </c>
      <c r="P25" t="s">
        <v>3311</v>
      </c>
      <c r="Q25" s="1">
        <v>1604.4160000000004</v>
      </c>
      <c r="R25" t="s">
        <v>3310</v>
      </c>
      <c r="S25" t="s">
        <v>3322</v>
      </c>
      <c r="T25">
        <f>MONTH(tbPedido[[#This Row],[Comprado Em]])</f>
        <v>7</v>
      </c>
    </row>
    <row r="26" spans="1:20" x14ac:dyDescent="0.3">
      <c r="A26" s="2">
        <v>502</v>
      </c>
      <c r="B26" t="s">
        <v>761</v>
      </c>
      <c r="C26" t="s">
        <v>1</v>
      </c>
      <c r="D26" s="2">
        <v>2</v>
      </c>
      <c r="E26" s="11" t="s">
        <v>53</v>
      </c>
      <c r="F26" t="s">
        <v>55</v>
      </c>
      <c r="G26" s="2" t="s">
        <v>23</v>
      </c>
      <c r="H26" s="1">
        <v>36.994</v>
      </c>
      <c r="M26" s="2">
        <v>523</v>
      </c>
      <c r="N26" s="4">
        <v>43656.991331018522</v>
      </c>
      <c r="O26" t="s">
        <v>3348</v>
      </c>
      <c r="P26" t="s">
        <v>3316</v>
      </c>
      <c r="Q26" s="1">
        <v>1678.298</v>
      </c>
      <c r="R26" t="s">
        <v>3757</v>
      </c>
      <c r="S26" t="s">
        <v>3523</v>
      </c>
      <c r="T26">
        <f>MONTH(tbPedido[[#This Row],[Comprado Em]])</f>
        <v>7</v>
      </c>
    </row>
    <row r="27" spans="1:20" x14ac:dyDescent="0.3">
      <c r="A27" s="2">
        <v>502</v>
      </c>
      <c r="B27" t="s">
        <v>2904</v>
      </c>
      <c r="C27" t="s">
        <v>3217</v>
      </c>
      <c r="D27" s="2">
        <v>1</v>
      </c>
      <c r="E27" s="11" t="s">
        <v>2654</v>
      </c>
      <c r="F27" t="s">
        <v>28</v>
      </c>
      <c r="G27" s="2" t="s">
        <v>31</v>
      </c>
      <c r="H27" s="1">
        <v>26.393999999999998</v>
      </c>
      <c r="M27" s="2">
        <v>524</v>
      </c>
      <c r="N27" s="4">
        <v>43657.51</v>
      </c>
      <c r="O27" t="s">
        <v>3481</v>
      </c>
      <c r="P27" t="s">
        <v>3316</v>
      </c>
      <c r="Q27" s="1">
        <v>1132.9280000000001</v>
      </c>
      <c r="R27" t="s">
        <v>3310</v>
      </c>
      <c r="S27" t="s">
        <v>3320</v>
      </c>
      <c r="T27">
        <f>MONTH(tbPedido[[#This Row],[Comprado Em]])</f>
        <v>7</v>
      </c>
    </row>
    <row r="28" spans="1:20" x14ac:dyDescent="0.3">
      <c r="A28" s="2">
        <v>502</v>
      </c>
      <c r="B28" t="s">
        <v>2841</v>
      </c>
      <c r="C28" t="s">
        <v>3217</v>
      </c>
      <c r="D28" s="2">
        <v>1</v>
      </c>
      <c r="E28" s="11" t="s">
        <v>2654</v>
      </c>
      <c r="F28" t="s">
        <v>28</v>
      </c>
      <c r="G28" s="2" t="s">
        <v>23</v>
      </c>
      <c r="H28" s="1">
        <v>26.393999999999998</v>
      </c>
      <c r="M28" s="2">
        <v>525</v>
      </c>
      <c r="N28" s="4">
        <v>43660.467835648145</v>
      </c>
      <c r="O28" t="s">
        <v>3481</v>
      </c>
      <c r="P28" t="s">
        <v>3318</v>
      </c>
      <c r="Q28" s="1">
        <v>2060.11</v>
      </c>
      <c r="R28" t="s">
        <v>3315</v>
      </c>
      <c r="S28" t="s">
        <v>3314</v>
      </c>
      <c r="T28">
        <f>MONTH(tbPedido[[#This Row],[Comprado Em]])</f>
        <v>7</v>
      </c>
    </row>
    <row r="29" spans="1:20" x14ac:dyDescent="0.3">
      <c r="A29" s="2">
        <v>502</v>
      </c>
      <c r="B29" t="s">
        <v>3724</v>
      </c>
      <c r="C29" t="s">
        <v>1</v>
      </c>
      <c r="D29" s="2">
        <v>1</v>
      </c>
      <c r="E29" s="11" t="s">
        <v>3587</v>
      </c>
      <c r="F29" t="s">
        <v>28</v>
      </c>
      <c r="G29" s="2" t="s">
        <v>4</v>
      </c>
      <c r="H29" s="1">
        <v>52.893999999999998</v>
      </c>
      <c r="M29" s="2">
        <v>526</v>
      </c>
      <c r="N29" s="4">
        <v>43661.475763888891</v>
      </c>
      <c r="O29" t="s">
        <v>3391</v>
      </c>
      <c r="P29" t="s">
        <v>3316</v>
      </c>
      <c r="Q29" s="1">
        <v>1773.4860000000001</v>
      </c>
      <c r="R29" t="s">
        <v>3310</v>
      </c>
      <c r="S29" t="s">
        <v>3314</v>
      </c>
      <c r="T29">
        <f>MONTH(tbPedido[[#This Row],[Comprado Em]])</f>
        <v>7</v>
      </c>
    </row>
    <row r="30" spans="1:20" x14ac:dyDescent="0.3">
      <c r="A30" s="2">
        <v>502</v>
      </c>
      <c r="B30" t="s">
        <v>3633</v>
      </c>
      <c r="C30" t="s">
        <v>1</v>
      </c>
      <c r="D30" s="2">
        <v>1</v>
      </c>
      <c r="E30" s="11" t="s">
        <v>3587</v>
      </c>
      <c r="F30" t="s">
        <v>28</v>
      </c>
      <c r="G30" s="2" t="s">
        <v>31</v>
      </c>
      <c r="H30" s="1">
        <v>52.893999999999998</v>
      </c>
      <c r="M30" s="2">
        <v>527</v>
      </c>
      <c r="N30" s="4">
        <v>43661.49009259259</v>
      </c>
      <c r="O30" t="s">
        <v>3355</v>
      </c>
      <c r="P30" t="s">
        <v>3318</v>
      </c>
      <c r="Q30" s="1">
        <v>2291.6139999999996</v>
      </c>
      <c r="R30" t="s">
        <v>3310</v>
      </c>
      <c r="S30" t="s">
        <v>3568</v>
      </c>
      <c r="T30">
        <f>MONTH(tbPedido[[#This Row],[Comprado Em]])</f>
        <v>7</v>
      </c>
    </row>
    <row r="31" spans="1:20" x14ac:dyDescent="0.3">
      <c r="A31" s="2">
        <v>502</v>
      </c>
      <c r="B31" t="s">
        <v>3631</v>
      </c>
      <c r="C31" t="s">
        <v>1</v>
      </c>
      <c r="D31" s="2">
        <v>2</v>
      </c>
      <c r="E31" s="11" t="s">
        <v>3587</v>
      </c>
      <c r="F31" t="s">
        <v>28</v>
      </c>
      <c r="G31" s="2" t="s">
        <v>23</v>
      </c>
      <c r="H31" s="1">
        <v>52.893999999999998</v>
      </c>
      <c r="M31" s="2">
        <v>528</v>
      </c>
      <c r="N31" s="4">
        <v>43661.51866898148</v>
      </c>
      <c r="O31" t="s">
        <v>3422</v>
      </c>
      <c r="P31" t="s">
        <v>3316</v>
      </c>
      <c r="Q31" s="1">
        <v>2652.014000000001</v>
      </c>
      <c r="R31" t="s">
        <v>3310</v>
      </c>
      <c r="S31" t="s">
        <v>3326</v>
      </c>
      <c r="T31">
        <f>MONTH(tbPedido[[#This Row],[Comprado Em]])</f>
        <v>7</v>
      </c>
    </row>
    <row r="32" spans="1:20" x14ac:dyDescent="0.3">
      <c r="A32" s="2">
        <v>502</v>
      </c>
      <c r="B32" t="s">
        <v>1324</v>
      </c>
      <c r="C32" t="s">
        <v>1</v>
      </c>
      <c r="D32" s="2">
        <v>2</v>
      </c>
      <c r="E32" s="11" t="s">
        <v>53</v>
      </c>
      <c r="F32" t="s">
        <v>114</v>
      </c>
      <c r="G32" s="2" t="s">
        <v>31</v>
      </c>
      <c r="H32" s="1">
        <v>36.994</v>
      </c>
      <c r="M32" s="2">
        <v>529</v>
      </c>
      <c r="N32" s="4">
        <v>43661.521435185183</v>
      </c>
      <c r="O32" t="s">
        <v>3381</v>
      </c>
      <c r="P32" t="s">
        <v>3318</v>
      </c>
      <c r="Q32" s="1">
        <v>2060.11</v>
      </c>
      <c r="R32" t="s">
        <v>3315</v>
      </c>
      <c r="S32" t="s">
        <v>3314</v>
      </c>
      <c r="T32">
        <f>MONTH(tbPedido[[#This Row],[Comprado Em]])</f>
        <v>7</v>
      </c>
    </row>
    <row r="33" spans="1:20" x14ac:dyDescent="0.3">
      <c r="A33" s="2">
        <v>502</v>
      </c>
      <c r="B33" t="s">
        <v>1323</v>
      </c>
      <c r="C33" t="s">
        <v>1</v>
      </c>
      <c r="D33" s="2">
        <v>3</v>
      </c>
      <c r="E33" s="11" t="s">
        <v>53</v>
      </c>
      <c r="F33" t="s">
        <v>114</v>
      </c>
      <c r="G33" s="2" t="s">
        <v>23</v>
      </c>
      <c r="H33" s="1">
        <v>36.994</v>
      </c>
      <c r="M33" s="2">
        <v>530</v>
      </c>
      <c r="N33" s="4">
        <v>43661.538657407407</v>
      </c>
      <c r="O33" t="s">
        <v>3336</v>
      </c>
      <c r="P33" t="s">
        <v>3318</v>
      </c>
      <c r="Q33" s="1">
        <v>1784.722</v>
      </c>
      <c r="R33" t="s">
        <v>3315</v>
      </c>
      <c r="S33" t="s">
        <v>3314</v>
      </c>
      <c r="T33">
        <f>MONTH(tbPedido[[#This Row],[Comprado Em]])</f>
        <v>7</v>
      </c>
    </row>
    <row r="34" spans="1:20" x14ac:dyDescent="0.3">
      <c r="A34" s="2">
        <v>502</v>
      </c>
      <c r="B34" t="s">
        <v>2802</v>
      </c>
      <c r="C34" t="s">
        <v>3334</v>
      </c>
      <c r="D34" s="2">
        <v>1</v>
      </c>
      <c r="E34" s="11" t="s">
        <v>2801</v>
      </c>
      <c r="F34" t="s">
        <v>114</v>
      </c>
      <c r="G34" s="2" t="s">
        <v>31</v>
      </c>
      <c r="H34" s="1">
        <v>116.49400000000001</v>
      </c>
      <c r="M34" s="2">
        <v>531</v>
      </c>
      <c r="N34" s="4">
        <v>43661.552037037036</v>
      </c>
      <c r="O34" t="s">
        <v>3515</v>
      </c>
      <c r="P34" t="s">
        <v>3311</v>
      </c>
      <c r="Q34" s="1">
        <v>1937.5740000000008</v>
      </c>
      <c r="R34" t="s">
        <v>3757</v>
      </c>
      <c r="S34" t="s">
        <v>3309</v>
      </c>
      <c r="T34">
        <f>MONTH(tbPedido[[#This Row],[Comprado Em]])</f>
        <v>7</v>
      </c>
    </row>
    <row r="35" spans="1:20" x14ac:dyDescent="0.3">
      <c r="A35" s="2">
        <v>502</v>
      </c>
      <c r="B35" t="s">
        <v>3721</v>
      </c>
      <c r="C35" t="s">
        <v>3334</v>
      </c>
      <c r="D35" s="2">
        <v>2</v>
      </c>
      <c r="E35" s="11" t="s">
        <v>2801</v>
      </c>
      <c r="F35" t="s">
        <v>114</v>
      </c>
      <c r="G35" s="2" t="s">
        <v>23</v>
      </c>
      <c r="H35" s="1">
        <v>116.49400000000001</v>
      </c>
      <c r="M35" s="2">
        <v>532</v>
      </c>
      <c r="N35" s="4">
        <v>43661.815775462965</v>
      </c>
      <c r="O35" t="s">
        <v>3346</v>
      </c>
      <c r="P35" t="s">
        <v>3316</v>
      </c>
      <c r="Q35" s="1">
        <v>1599.328</v>
      </c>
      <c r="R35" t="s">
        <v>3315</v>
      </c>
      <c r="S35" t="s">
        <v>3320</v>
      </c>
      <c r="T35">
        <f>MONTH(tbPedido[[#This Row],[Comprado Em]])</f>
        <v>7</v>
      </c>
    </row>
    <row r="36" spans="1:20" x14ac:dyDescent="0.3">
      <c r="A36" s="2">
        <v>502</v>
      </c>
      <c r="B36" t="s">
        <v>3720</v>
      </c>
      <c r="C36" t="s">
        <v>1</v>
      </c>
      <c r="D36" s="2">
        <v>1</v>
      </c>
      <c r="E36" s="11" t="s">
        <v>3587</v>
      </c>
      <c r="F36" t="s">
        <v>114</v>
      </c>
      <c r="G36" s="2" t="s">
        <v>4</v>
      </c>
      <c r="H36" s="1">
        <v>52.893999999999998</v>
      </c>
      <c r="M36" s="2">
        <v>533</v>
      </c>
      <c r="N36" s="4">
        <v>43661.835115740738</v>
      </c>
      <c r="O36" t="s">
        <v>3346</v>
      </c>
      <c r="P36" t="s">
        <v>3316</v>
      </c>
      <c r="Q36" s="1">
        <v>1307.8280000000002</v>
      </c>
      <c r="R36" t="s">
        <v>3757</v>
      </c>
      <c r="S36" t="s">
        <v>3320</v>
      </c>
      <c r="T36">
        <f>MONTH(tbPedido[[#This Row],[Comprado Em]])</f>
        <v>7</v>
      </c>
    </row>
    <row r="37" spans="1:20" x14ac:dyDescent="0.3">
      <c r="A37" s="2">
        <v>502</v>
      </c>
      <c r="B37" t="s">
        <v>3719</v>
      </c>
      <c r="C37" t="s">
        <v>1</v>
      </c>
      <c r="D37" s="2">
        <v>1</v>
      </c>
      <c r="E37" s="11" t="s">
        <v>3587</v>
      </c>
      <c r="F37" t="s">
        <v>114</v>
      </c>
      <c r="G37" s="2" t="s">
        <v>31</v>
      </c>
      <c r="H37" s="1">
        <v>52.893999999999998</v>
      </c>
      <c r="M37" s="2">
        <v>534</v>
      </c>
      <c r="N37" s="4">
        <v>43662.536504629628</v>
      </c>
      <c r="O37" t="s">
        <v>3335</v>
      </c>
      <c r="P37" t="s">
        <v>3311</v>
      </c>
      <c r="Q37" s="1">
        <v>1154.1280000000002</v>
      </c>
      <c r="R37" t="s">
        <v>3757</v>
      </c>
      <c r="S37" t="s">
        <v>3320</v>
      </c>
      <c r="T37">
        <f>MONTH(tbPedido[[#This Row],[Comprado Em]])</f>
        <v>7</v>
      </c>
    </row>
    <row r="38" spans="1:20" x14ac:dyDescent="0.3">
      <c r="A38" s="2">
        <v>502</v>
      </c>
      <c r="B38" t="s">
        <v>3717</v>
      </c>
      <c r="C38" t="s">
        <v>1</v>
      </c>
      <c r="D38" s="2">
        <v>2</v>
      </c>
      <c r="E38" s="11" t="s">
        <v>3587</v>
      </c>
      <c r="F38" t="s">
        <v>114</v>
      </c>
      <c r="G38" s="2" t="s">
        <v>23</v>
      </c>
      <c r="H38" s="1">
        <v>52.893999999999998</v>
      </c>
      <c r="M38" s="2">
        <v>535</v>
      </c>
      <c r="N38" s="4">
        <v>43662.662870370368</v>
      </c>
      <c r="O38" t="s">
        <v>3482</v>
      </c>
      <c r="P38" t="s">
        <v>3316</v>
      </c>
      <c r="Q38" s="1">
        <v>2736.9200000000005</v>
      </c>
      <c r="R38" t="s">
        <v>3315</v>
      </c>
      <c r="S38" t="s">
        <v>3331</v>
      </c>
      <c r="T38">
        <f>MONTH(tbPedido[[#This Row],[Comprado Em]])</f>
        <v>7</v>
      </c>
    </row>
    <row r="39" spans="1:20" x14ac:dyDescent="0.3">
      <c r="A39" s="2">
        <v>502</v>
      </c>
      <c r="B39" t="s">
        <v>2533</v>
      </c>
      <c r="C39" t="s">
        <v>1</v>
      </c>
      <c r="D39" s="2">
        <v>1</v>
      </c>
      <c r="E39" s="11" t="s">
        <v>243</v>
      </c>
      <c r="F39" t="s">
        <v>114</v>
      </c>
      <c r="G39" s="2" t="s">
        <v>31</v>
      </c>
      <c r="H39" s="1">
        <v>31.693999999999999</v>
      </c>
      <c r="M39" s="2">
        <v>536</v>
      </c>
      <c r="N39" s="4">
        <v>43662.729143518518</v>
      </c>
      <c r="O39" t="s">
        <v>3417</v>
      </c>
      <c r="P39" t="s">
        <v>3316</v>
      </c>
      <c r="Q39" s="1">
        <v>725.57</v>
      </c>
      <c r="R39" t="s">
        <v>3315</v>
      </c>
      <c r="S39" t="s">
        <v>3320</v>
      </c>
      <c r="T39">
        <f>MONTH(tbPedido[[#This Row],[Comprado Em]])</f>
        <v>7</v>
      </c>
    </row>
    <row r="40" spans="1:20" x14ac:dyDescent="0.3">
      <c r="A40" s="2">
        <v>502</v>
      </c>
      <c r="B40" t="s">
        <v>860</v>
      </c>
      <c r="C40" t="s">
        <v>1</v>
      </c>
      <c r="D40" s="2">
        <v>2</v>
      </c>
      <c r="E40" s="11" t="s">
        <v>243</v>
      </c>
      <c r="F40" t="s">
        <v>683</v>
      </c>
      <c r="G40" s="2" t="s">
        <v>31</v>
      </c>
      <c r="H40" s="1">
        <v>31.693999999999999</v>
      </c>
      <c r="M40" s="2">
        <v>537</v>
      </c>
      <c r="N40" s="4">
        <v>43663.471400462964</v>
      </c>
      <c r="O40" t="s">
        <v>3527</v>
      </c>
      <c r="P40" t="s">
        <v>3316</v>
      </c>
      <c r="Q40" s="1">
        <v>3414.7900000000004</v>
      </c>
      <c r="R40" t="s">
        <v>3757</v>
      </c>
      <c r="S40" t="s">
        <v>3309</v>
      </c>
      <c r="T40">
        <f>MONTH(tbPedido[[#This Row],[Comprado Em]])</f>
        <v>7</v>
      </c>
    </row>
    <row r="41" spans="1:20" x14ac:dyDescent="0.3">
      <c r="A41" s="2">
        <v>502</v>
      </c>
      <c r="B41" t="s">
        <v>2341</v>
      </c>
      <c r="C41" t="s">
        <v>1</v>
      </c>
      <c r="D41" s="2">
        <v>3</v>
      </c>
      <c r="E41" s="11" t="s">
        <v>243</v>
      </c>
      <c r="F41" t="s">
        <v>683</v>
      </c>
      <c r="G41" s="2" t="s">
        <v>23</v>
      </c>
      <c r="H41" s="1">
        <v>31.693999999999999</v>
      </c>
      <c r="M41" s="2">
        <v>538</v>
      </c>
      <c r="N41" s="4">
        <v>43663.583090277774</v>
      </c>
      <c r="O41" t="s">
        <v>3336</v>
      </c>
      <c r="P41" t="s">
        <v>3316</v>
      </c>
      <c r="Q41" s="1">
        <v>1185.8220000000003</v>
      </c>
      <c r="R41" t="s">
        <v>3310</v>
      </c>
      <c r="S41" t="s">
        <v>3314</v>
      </c>
      <c r="T41">
        <f>MONTH(tbPedido[[#This Row],[Comprado Em]])</f>
        <v>7</v>
      </c>
    </row>
    <row r="42" spans="1:20" x14ac:dyDescent="0.3">
      <c r="A42" s="2">
        <v>502</v>
      </c>
      <c r="B42" t="s">
        <v>1906</v>
      </c>
      <c r="C42" t="s">
        <v>1</v>
      </c>
      <c r="D42" s="2">
        <v>1</v>
      </c>
      <c r="E42" s="11" t="s">
        <v>53</v>
      </c>
      <c r="F42" t="s">
        <v>36</v>
      </c>
      <c r="G42" s="2" t="s">
        <v>4</v>
      </c>
      <c r="H42" s="1">
        <v>36.994</v>
      </c>
      <c r="M42" s="2">
        <v>539</v>
      </c>
      <c r="N42" s="4">
        <v>43663.934224537035</v>
      </c>
      <c r="O42" t="s">
        <v>3336</v>
      </c>
      <c r="P42" t="s">
        <v>3311</v>
      </c>
      <c r="Q42" s="1">
        <v>1334.1160000000002</v>
      </c>
      <c r="R42" t="s">
        <v>3757</v>
      </c>
      <c r="S42" t="s">
        <v>3483</v>
      </c>
      <c r="T42">
        <f>MONTH(tbPedido[[#This Row],[Comprado Em]])</f>
        <v>7</v>
      </c>
    </row>
    <row r="43" spans="1:20" x14ac:dyDescent="0.3">
      <c r="A43" s="2">
        <v>502</v>
      </c>
      <c r="B43" t="s">
        <v>1136</v>
      </c>
      <c r="C43" t="s">
        <v>1</v>
      </c>
      <c r="D43" s="2">
        <v>1</v>
      </c>
      <c r="E43" s="11" t="s">
        <v>53</v>
      </c>
      <c r="F43" t="s">
        <v>36</v>
      </c>
      <c r="G43" s="2" t="s">
        <v>31</v>
      </c>
      <c r="H43" s="1">
        <v>36.994</v>
      </c>
      <c r="M43" s="2">
        <v>540</v>
      </c>
      <c r="N43" s="4">
        <v>43664.674074074072</v>
      </c>
      <c r="O43" t="s">
        <v>3364</v>
      </c>
      <c r="P43" t="s">
        <v>3318</v>
      </c>
      <c r="Q43" s="1">
        <v>1858.4980000000005</v>
      </c>
      <c r="R43" t="s">
        <v>3310</v>
      </c>
      <c r="S43" t="s">
        <v>3342</v>
      </c>
      <c r="T43">
        <f>MONTH(tbPedido[[#This Row],[Comprado Em]])</f>
        <v>7</v>
      </c>
    </row>
    <row r="44" spans="1:20" x14ac:dyDescent="0.3">
      <c r="A44" s="2">
        <v>502</v>
      </c>
      <c r="B44" t="s">
        <v>1905</v>
      </c>
      <c r="C44" t="s">
        <v>1</v>
      </c>
      <c r="D44" s="2">
        <v>2</v>
      </c>
      <c r="E44" s="11" t="s">
        <v>53</v>
      </c>
      <c r="F44" t="s">
        <v>36</v>
      </c>
      <c r="G44" s="2" t="s">
        <v>23</v>
      </c>
      <c r="H44" s="1">
        <v>36.994</v>
      </c>
      <c r="M44" s="2">
        <v>541</v>
      </c>
      <c r="N44" s="4">
        <v>43664.900081018517</v>
      </c>
      <c r="O44" t="s">
        <v>3494</v>
      </c>
      <c r="P44" t="s">
        <v>3311</v>
      </c>
      <c r="Q44" s="1">
        <v>1647.0280000000002</v>
      </c>
      <c r="R44" t="s">
        <v>3310</v>
      </c>
      <c r="S44" t="s">
        <v>3309</v>
      </c>
      <c r="T44">
        <f>MONTH(tbPedido[[#This Row],[Comprado Em]])</f>
        <v>7</v>
      </c>
    </row>
    <row r="45" spans="1:20" x14ac:dyDescent="0.3">
      <c r="A45" s="2">
        <v>502</v>
      </c>
      <c r="B45" t="s">
        <v>1595</v>
      </c>
      <c r="C45" t="s">
        <v>1</v>
      </c>
      <c r="D45" s="2">
        <v>1</v>
      </c>
      <c r="E45" s="11" t="s">
        <v>53</v>
      </c>
      <c r="F45" t="s">
        <v>47</v>
      </c>
      <c r="G45" s="2" t="s">
        <v>31</v>
      </c>
      <c r="H45" s="1">
        <v>36.994</v>
      </c>
      <c r="M45" s="2">
        <v>542</v>
      </c>
      <c r="N45" s="4">
        <v>43665.334652777776</v>
      </c>
      <c r="O45" t="s">
        <v>3367</v>
      </c>
      <c r="P45" t="s">
        <v>3311</v>
      </c>
      <c r="Q45" s="1">
        <v>1350.1220000000001</v>
      </c>
      <c r="R45" t="s">
        <v>3757</v>
      </c>
      <c r="S45" t="s">
        <v>3405</v>
      </c>
      <c r="T45">
        <f>MONTH(tbPedido[[#This Row],[Comprado Em]])</f>
        <v>7</v>
      </c>
    </row>
    <row r="46" spans="1:20" x14ac:dyDescent="0.3">
      <c r="A46" s="2">
        <v>502</v>
      </c>
      <c r="B46" t="s">
        <v>288</v>
      </c>
      <c r="C46" t="s">
        <v>1</v>
      </c>
      <c r="D46" s="2">
        <v>2</v>
      </c>
      <c r="E46" s="11" t="s">
        <v>53</v>
      </c>
      <c r="F46" t="s">
        <v>47</v>
      </c>
      <c r="G46" s="2" t="s">
        <v>23</v>
      </c>
      <c r="H46" s="1">
        <v>36.994</v>
      </c>
      <c r="M46" s="2">
        <v>543</v>
      </c>
      <c r="N46" s="4">
        <v>43665.366053240738</v>
      </c>
      <c r="O46" t="s">
        <v>3336</v>
      </c>
      <c r="P46" t="s">
        <v>3316</v>
      </c>
      <c r="Q46" s="1">
        <v>3584.4960000000005</v>
      </c>
      <c r="R46" t="s">
        <v>3315</v>
      </c>
      <c r="S46" t="s">
        <v>3623</v>
      </c>
      <c r="T46">
        <f>MONTH(tbPedido[[#This Row],[Comprado Em]])</f>
        <v>7</v>
      </c>
    </row>
    <row r="47" spans="1:20" x14ac:dyDescent="0.3">
      <c r="A47" s="2">
        <v>502</v>
      </c>
      <c r="B47" t="s">
        <v>2550</v>
      </c>
      <c r="C47" t="s">
        <v>2</v>
      </c>
      <c r="D47" s="2">
        <v>1</v>
      </c>
      <c r="E47" s="11" t="s">
        <v>2081</v>
      </c>
      <c r="F47" t="s">
        <v>47</v>
      </c>
      <c r="G47" s="2" t="s">
        <v>4</v>
      </c>
      <c r="H47" s="1">
        <v>74.094000000000008</v>
      </c>
      <c r="M47" s="2">
        <v>544</v>
      </c>
      <c r="N47" s="4">
        <v>43665.586597222224</v>
      </c>
      <c r="O47" t="s">
        <v>3639</v>
      </c>
      <c r="P47" t="s">
        <v>3316</v>
      </c>
      <c r="Q47" s="1">
        <v>921.45800000000008</v>
      </c>
      <c r="R47" t="s">
        <v>3315</v>
      </c>
      <c r="S47" t="s">
        <v>3320</v>
      </c>
      <c r="T47">
        <f>MONTH(tbPedido[[#This Row],[Comprado Em]])</f>
        <v>7</v>
      </c>
    </row>
    <row r="48" spans="1:20" x14ac:dyDescent="0.3">
      <c r="A48" s="2">
        <v>502</v>
      </c>
      <c r="B48" t="s">
        <v>3469</v>
      </c>
      <c r="C48" t="s">
        <v>2</v>
      </c>
      <c r="D48" s="2">
        <v>1</v>
      </c>
      <c r="E48" s="11" t="s">
        <v>2081</v>
      </c>
      <c r="F48" t="s">
        <v>47</v>
      </c>
      <c r="G48" s="2" t="s">
        <v>23</v>
      </c>
      <c r="H48" s="1">
        <v>74.094000000000008</v>
      </c>
      <c r="M48" s="2">
        <v>545</v>
      </c>
      <c r="N48" s="4">
        <v>43665.710127314815</v>
      </c>
      <c r="O48" t="s">
        <v>3332</v>
      </c>
      <c r="P48" t="s">
        <v>3316</v>
      </c>
      <c r="Q48" s="1">
        <v>444.77600000000001</v>
      </c>
      <c r="R48" t="s">
        <v>3757</v>
      </c>
      <c r="S48" t="s">
        <v>3523</v>
      </c>
      <c r="T48">
        <f>MONTH(tbPedido[[#This Row],[Comprado Em]])</f>
        <v>7</v>
      </c>
    </row>
    <row r="49" spans="1:20" x14ac:dyDescent="0.3">
      <c r="A49" s="2">
        <v>502</v>
      </c>
      <c r="B49" t="s">
        <v>535</v>
      </c>
      <c r="C49" t="s">
        <v>3219</v>
      </c>
      <c r="D49" s="2">
        <v>1</v>
      </c>
      <c r="E49" s="11" t="s">
        <v>534</v>
      </c>
      <c r="F49" t="s">
        <v>47</v>
      </c>
      <c r="G49" s="2" t="s">
        <v>4</v>
      </c>
      <c r="H49" s="1">
        <v>89.994000000000014</v>
      </c>
      <c r="M49" s="2">
        <v>546</v>
      </c>
      <c r="N49" s="4">
        <v>43667.613634259258</v>
      </c>
      <c r="O49" t="s">
        <v>3674</v>
      </c>
      <c r="P49" t="s">
        <v>3311</v>
      </c>
      <c r="Q49" s="1">
        <v>1641.4100000000003</v>
      </c>
      <c r="R49" t="s">
        <v>3757</v>
      </c>
      <c r="S49" t="s">
        <v>3320</v>
      </c>
      <c r="T49">
        <f>MONTH(tbPedido[[#This Row],[Comprado Em]])</f>
        <v>7</v>
      </c>
    </row>
    <row r="50" spans="1:20" x14ac:dyDescent="0.3">
      <c r="A50" s="2">
        <v>502</v>
      </c>
      <c r="B50" t="s">
        <v>3712</v>
      </c>
      <c r="C50" t="s">
        <v>3334</v>
      </c>
      <c r="D50" s="2">
        <v>1</v>
      </c>
      <c r="E50" s="11" t="s">
        <v>2801</v>
      </c>
      <c r="F50" t="s">
        <v>47</v>
      </c>
      <c r="G50" s="2" t="s">
        <v>23</v>
      </c>
      <c r="H50" s="1">
        <v>116.49400000000001</v>
      </c>
      <c r="M50" s="2">
        <v>547</v>
      </c>
      <c r="N50" s="4">
        <v>43667.710752314815</v>
      </c>
      <c r="O50" t="s">
        <v>3435</v>
      </c>
      <c r="P50" t="s">
        <v>3316</v>
      </c>
      <c r="Q50" s="1">
        <v>1138.2280000000001</v>
      </c>
      <c r="R50" t="s">
        <v>3315</v>
      </c>
      <c r="S50" t="s">
        <v>3320</v>
      </c>
      <c r="T50">
        <f>MONTH(tbPedido[[#This Row],[Comprado Em]])</f>
        <v>7</v>
      </c>
    </row>
    <row r="51" spans="1:20" x14ac:dyDescent="0.3">
      <c r="A51" s="2">
        <v>502</v>
      </c>
      <c r="B51" t="s">
        <v>2530</v>
      </c>
      <c r="C51" t="s">
        <v>1</v>
      </c>
      <c r="D51" s="2">
        <v>1</v>
      </c>
      <c r="E51" s="11" t="s">
        <v>243</v>
      </c>
      <c r="F51" t="s">
        <v>47</v>
      </c>
      <c r="G51" s="2" t="s">
        <v>31</v>
      </c>
      <c r="H51" s="1">
        <v>31.693999999999999</v>
      </c>
      <c r="M51" s="2">
        <v>548</v>
      </c>
      <c r="N51" s="4">
        <v>43667.931226851855</v>
      </c>
      <c r="O51" t="s">
        <v>3492</v>
      </c>
      <c r="P51" t="s">
        <v>3316</v>
      </c>
      <c r="Q51" s="1">
        <v>2118.3040000000001</v>
      </c>
      <c r="R51" t="s">
        <v>3757</v>
      </c>
      <c r="S51" t="s">
        <v>3309</v>
      </c>
      <c r="T51">
        <f>MONTH(tbPedido[[#This Row],[Comprado Em]])</f>
        <v>7</v>
      </c>
    </row>
    <row r="52" spans="1:20" x14ac:dyDescent="0.3">
      <c r="A52" s="2">
        <v>502</v>
      </c>
      <c r="B52" t="s">
        <v>3711</v>
      </c>
      <c r="C52" t="s">
        <v>1</v>
      </c>
      <c r="D52" s="2">
        <v>1</v>
      </c>
      <c r="E52" s="11" t="s">
        <v>243</v>
      </c>
      <c r="F52" t="s">
        <v>39</v>
      </c>
      <c r="G52" s="2" t="s">
        <v>23</v>
      </c>
      <c r="H52" s="1">
        <v>31.693999999999999</v>
      </c>
      <c r="M52" s="2">
        <v>549</v>
      </c>
      <c r="N52" s="4">
        <v>43668.676921296297</v>
      </c>
      <c r="O52" t="s">
        <v>3332</v>
      </c>
      <c r="P52" t="s">
        <v>3311</v>
      </c>
      <c r="Q52" s="1">
        <v>1541.028</v>
      </c>
      <c r="R52" t="s">
        <v>3315</v>
      </c>
      <c r="S52" t="s">
        <v>3320</v>
      </c>
      <c r="T52">
        <f>MONTH(tbPedido[[#This Row],[Comprado Em]])</f>
        <v>7</v>
      </c>
    </row>
    <row r="53" spans="1:20" x14ac:dyDescent="0.3">
      <c r="A53" s="2">
        <v>503</v>
      </c>
      <c r="B53" t="s">
        <v>3710</v>
      </c>
      <c r="C53" t="s">
        <v>0</v>
      </c>
      <c r="D53" s="2">
        <v>1</v>
      </c>
      <c r="E53" s="11" t="s">
        <v>3498</v>
      </c>
      <c r="F53" t="s">
        <v>55</v>
      </c>
      <c r="G53" s="2" t="s">
        <v>4</v>
      </c>
      <c r="H53" s="1">
        <v>148.29400000000001</v>
      </c>
      <c r="M53" s="2">
        <v>550</v>
      </c>
      <c r="N53" s="4">
        <v>43669.343912037039</v>
      </c>
      <c r="O53" t="s">
        <v>3348</v>
      </c>
      <c r="P53" t="s">
        <v>3316</v>
      </c>
      <c r="Q53" s="1">
        <v>1222.9220000000003</v>
      </c>
      <c r="R53" t="s">
        <v>3757</v>
      </c>
      <c r="S53" t="s">
        <v>3434</v>
      </c>
      <c r="T53">
        <f>MONTH(tbPedido[[#This Row],[Comprado Em]])</f>
        <v>7</v>
      </c>
    </row>
    <row r="54" spans="1:20" x14ac:dyDescent="0.3">
      <c r="A54" s="2">
        <v>503</v>
      </c>
      <c r="B54" t="s">
        <v>3708</v>
      </c>
      <c r="C54" t="s">
        <v>3220</v>
      </c>
      <c r="D54" s="2">
        <v>1</v>
      </c>
      <c r="E54" s="11" t="s">
        <v>3152</v>
      </c>
      <c r="F54" t="s">
        <v>65</v>
      </c>
      <c r="G54" s="2" t="s">
        <v>31</v>
      </c>
      <c r="H54" s="1">
        <v>47.594000000000001</v>
      </c>
      <c r="M54" s="2">
        <v>551</v>
      </c>
      <c r="N54" s="4">
        <v>43670.10738425926</v>
      </c>
      <c r="O54" t="s">
        <v>3355</v>
      </c>
      <c r="P54" t="s">
        <v>3316</v>
      </c>
      <c r="Q54" s="1">
        <v>1207.1280000000002</v>
      </c>
      <c r="R54" t="s">
        <v>3757</v>
      </c>
      <c r="S54" t="s">
        <v>3322</v>
      </c>
      <c r="T54">
        <f>MONTH(tbPedido[[#This Row],[Comprado Em]])</f>
        <v>7</v>
      </c>
    </row>
    <row r="55" spans="1:20" x14ac:dyDescent="0.3">
      <c r="A55" s="2">
        <v>503</v>
      </c>
      <c r="B55" t="s">
        <v>3707</v>
      </c>
      <c r="C55" t="s">
        <v>3</v>
      </c>
      <c r="D55" s="2">
        <v>1</v>
      </c>
      <c r="E55" s="11" t="s">
        <v>3149</v>
      </c>
      <c r="F55" t="s">
        <v>65</v>
      </c>
      <c r="G55" s="2" t="s">
        <v>31</v>
      </c>
      <c r="H55" s="1">
        <v>100.59400000000001</v>
      </c>
      <c r="M55" s="2">
        <v>552</v>
      </c>
      <c r="N55" s="4">
        <v>43671.478460648148</v>
      </c>
      <c r="O55" t="s">
        <v>3660</v>
      </c>
      <c r="P55" t="s">
        <v>3316</v>
      </c>
      <c r="Q55" s="1">
        <v>1896.1280000000002</v>
      </c>
      <c r="R55" t="s">
        <v>3757</v>
      </c>
      <c r="S55" t="s">
        <v>3314</v>
      </c>
      <c r="T55">
        <f>MONTH(tbPedido[[#This Row],[Comprado Em]])</f>
        <v>7</v>
      </c>
    </row>
    <row r="56" spans="1:20" x14ac:dyDescent="0.3">
      <c r="A56" s="2">
        <v>503</v>
      </c>
      <c r="B56" t="s">
        <v>3706</v>
      </c>
      <c r="C56" t="s">
        <v>0</v>
      </c>
      <c r="D56" s="2">
        <v>1</v>
      </c>
      <c r="E56" s="11" t="s">
        <v>3498</v>
      </c>
      <c r="F56" t="s">
        <v>65</v>
      </c>
      <c r="G56" s="2" t="s">
        <v>31</v>
      </c>
      <c r="H56" s="1">
        <v>148.29400000000001</v>
      </c>
      <c r="M56" s="2">
        <v>553</v>
      </c>
      <c r="N56" s="4">
        <v>43671.487847222219</v>
      </c>
      <c r="O56" t="s">
        <v>3370</v>
      </c>
      <c r="P56" t="s">
        <v>3318</v>
      </c>
      <c r="Q56" s="1">
        <v>915.62800000000004</v>
      </c>
      <c r="R56" t="s">
        <v>3310</v>
      </c>
      <c r="S56" t="s">
        <v>3326</v>
      </c>
      <c r="T56">
        <f>MONTH(tbPedido[[#This Row],[Comprado Em]])</f>
        <v>7</v>
      </c>
    </row>
    <row r="57" spans="1:20" x14ac:dyDescent="0.3">
      <c r="A57" s="2">
        <v>503</v>
      </c>
      <c r="B57" t="s">
        <v>3704</v>
      </c>
      <c r="C57" t="s">
        <v>0</v>
      </c>
      <c r="D57" s="2">
        <v>1</v>
      </c>
      <c r="E57" s="11" t="s">
        <v>3213</v>
      </c>
      <c r="F57" t="s">
        <v>126</v>
      </c>
      <c r="G57" s="2" t="s">
        <v>4</v>
      </c>
      <c r="H57" s="1">
        <v>153.59400000000002</v>
      </c>
      <c r="M57" s="2">
        <v>554</v>
      </c>
      <c r="N57" s="4">
        <v>43671.496979166666</v>
      </c>
      <c r="O57" t="s">
        <v>3355</v>
      </c>
      <c r="P57" t="s">
        <v>3316</v>
      </c>
      <c r="Q57" s="1">
        <v>1619.8920000000003</v>
      </c>
      <c r="R57" t="s">
        <v>3310</v>
      </c>
      <c r="S57" t="s">
        <v>3568</v>
      </c>
      <c r="T57">
        <f>MONTH(tbPedido[[#This Row],[Comprado Em]])</f>
        <v>7</v>
      </c>
    </row>
    <row r="58" spans="1:20" x14ac:dyDescent="0.3">
      <c r="A58" s="2">
        <v>503</v>
      </c>
      <c r="B58" t="s">
        <v>3702</v>
      </c>
      <c r="C58" t="s">
        <v>0</v>
      </c>
      <c r="D58" s="2">
        <v>1</v>
      </c>
      <c r="E58" s="11" t="s">
        <v>3607</v>
      </c>
      <c r="F58" t="s">
        <v>28</v>
      </c>
      <c r="G58" s="2" t="s">
        <v>31</v>
      </c>
      <c r="H58" s="1">
        <v>132.39400000000001</v>
      </c>
      <c r="M58" s="2">
        <v>555</v>
      </c>
      <c r="N58" s="4">
        <v>43672.387881944444</v>
      </c>
      <c r="O58" t="s">
        <v>3383</v>
      </c>
      <c r="P58" t="s">
        <v>3318</v>
      </c>
      <c r="Q58" s="1">
        <v>1350.1220000000003</v>
      </c>
      <c r="R58" t="s">
        <v>3310</v>
      </c>
      <c r="S58" t="s">
        <v>3445</v>
      </c>
      <c r="T58">
        <f>MONTH(tbPedido[[#This Row],[Comprado Em]])</f>
        <v>7</v>
      </c>
    </row>
    <row r="59" spans="1:20" x14ac:dyDescent="0.3">
      <c r="A59" s="2">
        <v>503</v>
      </c>
      <c r="B59" t="s">
        <v>3259</v>
      </c>
      <c r="C59" t="s">
        <v>0</v>
      </c>
      <c r="D59" s="2">
        <v>1</v>
      </c>
      <c r="E59" s="11" t="s">
        <v>3089</v>
      </c>
      <c r="F59" t="s">
        <v>254</v>
      </c>
      <c r="G59" s="2" t="s">
        <v>31</v>
      </c>
      <c r="H59" s="1">
        <v>195.99400000000003</v>
      </c>
      <c r="M59" s="2">
        <v>556</v>
      </c>
      <c r="N59" s="4">
        <v>43672.48978009259</v>
      </c>
      <c r="O59" t="s">
        <v>3402</v>
      </c>
      <c r="P59" t="s">
        <v>3318</v>
      </c>
      <c r="Q59" s="1">
        <v>1212.4280000000001</v>
      </c>
      <c r="R59" t="s">
        <v>3315</v>
      </c>
      <c r="S59" t="s">
        <v>3314</v>
      </c>
      <c r="T59">
        <f>MONTH(tbPedido[[#This Row],[Comprado Em]])</f>
        <v>7</v>
      </c>
    </row>
    <row r="60" spans="1:20" x14ac:dyDescent="0.3">
      <c r="A60" s="2">
        <v>503</v>
      </c>
      <c r="B60" t="s">
        <v>3700</v>
      </c>
      <c r="C60" t="s">
        <v>0</v>
      </c>
      <c r="D60" s="2">
        <v>1</v>
      </c>
      <c r="E60" s="11" t="s">
        <v>3240</v>
      </c>
      <c r="F60" t="s">
        <v>62</v>
      </c>
      <c r="G60" s="2" t="s">
        <v>4</v>
      </c>
      <c r="H60" s="1">
        <v>153.59400000000002</v>
      </c>
      <c r="M60" s="2">
        <v>557</v>
      </c>
      <c r="N60" s="4">
        <v>43672.684351851851</v>
      </c>
      <c r="O60" t="s">
        <v>3347</v>
      </c>
      <c r="P60" t="s">
        <v>3316</v>
      </c>
      <c r="Q60" s="1">
        <v>3672.0520000000006</v>
      </c>
      <c r="R60" t="s">
        <v>3310</v>
      </c>
      <c r="S60" t="s">
        <v>3326</v>
      </c>
      <c r="T60">
        <f>MONTH(tbPedido[[#This Row],[Comprado Em]])</f>
        <v>7</v>
      </c>
    </row>
    <row r="61" spans="1:20" x14ac:dyDescent="0.3">
      <c r="A61" s="2">
        <v>503</v>
      </c>
      <c r="B61" t="s">
        <v>3699</v>
      </c>
      <c r="C61" t="s">
        <v>0</v>
      </c>
      <c r="D61" s="2">
        <v>1</v>
      </c>
      <c r="E61" s="11" t="s">
        <v>3690</v>
      </c>
      <c r="F61" t="s">
        <v>28</v>
      </c>
      <c r="G61" s="2" t="s">
        <v>31</v>
      </c>
      <c r="H61" s="1">
        <v>169.49400000000003</v>
      </c>
      <c r="M61" s="2">
        <v>558</v>
      </c>
      <c r="N61" s="4">
        <v>43674.495995370373</v>
      </c>
      <c r="O61" t="s">
        <v>3693</v>
      </c>
      <c r="P61" t="s">
        <v>3318</v>
      </c>
      <c r="Q61" s="1">
        <v>2674.0620000000004</v>
      </c>
      <c r="R61" t="s">
        <v>3315</v>
      </c>
      <c r="S61" t="s">
        <v>3320</v>
      </c>
      <c r="T61">
        <f>MONTH(tbPedido[[#This Row],[Comprado Em]])</f>
        <v>7</v>
      </c>
    </row>
    <row r="62" spans="1:20" x14ac:dyDescent="0.3">
      <c r="A62" s="2">
        <v>503</v>
      </c>
      <c r="B62" t="s">
        <v>3698</v>
      </c>
      <c r="C62" t="s">
        <v>3224</v>
      </c>
      <c r="D62" s="2">
        <v>1</v>
      </c>
      <c r="E62" s="11" t="s">
        <v>3431</v>
      </c>
      <c r="F62" t="s">
        <v>114</v>
      </c>
      <c r="G62" s="2" t="s">
        <v>4</v>
      </c>
      <c r="H62" s="1">
        <v>74.094000000000008</v>
      </c>
      <c r="M62" s="2">
        <v>559</v>
      </c>
      <c r="N62" s="4">
        <v>43675.359722222223</v>
      </c>
      <c r="O62" t="s">
        <v>3452</v>
      </c>
      <c r="P62" t="s">
        <v>3316</v>
      </c>
      <c r="Q62" s="1">
        <v>1672.68</v>
      </c>
      <c r="R62" t="s">
        <v>3757</v>
      </c>
      <c r="S62" t="s">
        <v>3331</v>
      </c>
      <c r="T62">
        <f>MONTH(tbPedido[[#This Row],[Comprado Em]])</f>
        <v>7</v>
      </c>
    </row>
    <row r="63" spans="1:20" x14ac:dyDescent="0.3">
      <c r="A63" s="2">
        <v>503</v>
      </c>
      <c r="B63" t="s">
        <v>3697</v>
      </c>
      <c r="C63" t="s">
        <v>1</v>
      </c>
      <c r="D63" s="2">
        <v>1</v>
      </c>
      <c r="E63" s="11" t="s">
        <v>3563</v>
      </c>
      <c r="F63" t="s">
        <v>114</v>
      </c>
      <c r="G63" s="2" t="s">
        <v>31</v>
      </c>
      <c r="H63" s="1">
        <v>63.494000000000007</v>
      </c>
      <c r="M63" s="2">
        <v>560</v>
      </c>
      <c r="N63" s="4">
        <v>43675.421215277776</v>
      </c>
      <c r="O63" t="s">
        <v>3347</v>
      </c>
      <c r="P63" t="s">
        <v>3318</v>
      </c>
      <c r="Q63" s="1">
        <v>2038.2740000000006</v>
      </c>
      <c r="R63" t="s">
        <v>3757</v>
      </c>
      <c r="S63" t="s">
        <v>3465</v>
      </c>
      <c r="T63">
        <f>MONTH(tbPedido[[#This Row],[Comprado Em]])</f>
        <v>7</v>
      </c>
    </row>
    <row r="64" spans="1:20" x14ac:dyDescent="0.3">
      <c r="A64" s="2">
        <v>503</v>
      </c>
      <c r="B64" t="s">
        <v>3696</v>
      </c>
      <c r="C64" t="s">
        <v>0</v>
      </c>
      <c r="D64" s="2">
        <v>1</v>
      </c>
      <c r="E64" s="11" t="s">
        <v>3143</v>
      </c>
      <c r="F64" t="s">
        <v>36</v>
      </c>
      <c r="G64" s="2" t="s">
        <v>31</v>
      </c>
      <c r="H64" s="1">
        <v>111.19400000000002</v>
      </c>
      <c r="M64" s="2">
        <v>561</v>
      </c>
      <c r="N64" s="4">
        <v>43675.448125000003</v>
      </c>
      <c r="O64" t="s">
        <v>3355</v>
      </c>
      <c r="P64" t="s">
        <v>3316</v>
      </c>
      <c r="Q64" s="1">
        <v>1678.8280000000004</v>
      </c>
      <c r="R64" t="s">
        <v>3757</v>
      </c>
      <c r="S64" t="s">
        <v>3309</v>
      </c>
      <c r="T64">
        <f>MONTH(tbPedido[[#This Row],[Comprado Em]])</f>
        <v>7</v>
      </c>
    </row>
    <row r="65" spans="1:20" x14ac:dyDescent="0.3">
      <c r="A65" s="2">
        <v>503</v>
      </c>
      <c r="B65" t="s">
        <v>1578</v>
      </c>
      <c r="C65" t="s">
        <v>3219</v>
      </c>
      <c r="D65" s="2">
        <v>1</v>
      </c>
      <c r="E65" s="11" t="s">
        <v>102</v>
      </c>
      <c r="F65" t="s">
        <v>39</v>
      </c>
      <c r="G65" s="2" t="s">
        <v>31</v>
      </c>
      <c r="H65" s="1">
        <v>121.79400000000001</v>
      </c>
      <c r="M65" s="2">
        <v>562</v>
      </c>
      <c r="N65" s="4">
        <v>43675.465648148151</v>
      </c>
      <c r="O65" t="s">
        <v>3611</v>
      </c>
      <c r="P65" t="s">
        <v>3316</v>
      </c>
      <c r="Q65" s="1">
        <v>2351.1860000000001</v>
      </c>
      <c r="R65" t="s">
        <v>3310</v>
      </c>
      <c r="S65" t="s">
        <v>3314</v>
      </c>
      <c r="T65">
        <f>MONTH(tbPedido[[#This Row],[Comprado Em]])</f>
        <v>7</v>
      </c>
    </row>
    <row r="66" spans="1:20" x14ac:dyDescent="0.3">
      <c r="A66" s="2">
        <v>503</v>
      </c>
      <c r="B66" t="s">
        <v>3694</v>
      </c>
      <c r="C66" t="s">
        <v>3224</v>
      </c>
      <c r="D66" s="2">
        <v>1</v>
      </c>
      <c r="E66" s="11" t="s">
        <v>3170</v>
      </c>
      <c r="F66" t="s">
        <v>39</v>
      </c>
      <c r="G66" s="2" t="s">
        <v>31</v>
      </c>
      <c r="H66" s="1">
        <v>105.89400000000001</v>
      </c>
      <c r="M66" s="2">
        <v>563</v>
      </c>
      <c r="N66" s="4">
        <v>43675.567326388889</v>
      </c>
      <c r="O66" t="s">
        <v>3461</v>
      </c>
      <c r="P66" t="s">
        <v>3318</v>
      </c>
      <c r="Q66" s="1">
        <v>782.91600000000005</v>
      </c>
      <c r="R66" t="s">
        <v>3757</v>
      </c>
      <c r="S66" t="s">
        <v>3523</v>
      </c>
      <c r="T66">
        <f>MONTH(tbPedido[[#This Row],[Comprado Em]])</f>
        <v>7</v>
      </c>
    </row>
    <row r="67" spans="1:20" x14ac:dyDescent="0.3">
      <c r="A67" s="2">
        <v>503</v>
      </c>
      <c r="B67" t="s">
        <v>3692</v>
      </c>
      <c r="C67" t="s">
        <v>0</v>
      </c>
      <c r="D67" s="2">
        <v>1</v>
      </c>
      <c r="E67" s="11" t="s">
        <v>3240</v>
      </c>
      <c r="F67" t="s">
        <v>28</v>
      </c>
      <c r="G67" s="2" t="s">
        <v>31</v>
      </c>
      <c r="H67" s="1">
        <v>153.59400000000002</v>
      </c>
      <c r="M67" s="2">
        <v>564</v>
      </c>
      <c r="N67" s="4">
        <v>43675.695393518516</v>
      </c>
      <c r="O67" t="s">
        <v>3332</v>
      </c>
      <c r="P67" t="s">
        <v>3316</v>
      </c>
      <c r="Q67" s="1">
        <v>2976.4800000000005</v>
      </c>
      <c r="R67" t="s">
        <v>3757</v>
      </c>
      <c r="S67" t="s">
        <v>3309</v>
      </c>
      <c r="T67">
        <f>MONTH(tbPedido[[#This Row],[Comprado Em]])</f>
        <v>7</v>
      </c>
    </row>
    <row r="68" spans="1:20" x14ac:dyDescent="0.3">
      <c r="A68" s="2">
        <v>503</v>
      </c>
      <c r="B68" t="s">
        <v>3214</v>
      </c>
      <c r="C68" t="s">
        <v>0</v>
      </c>
      <c r="D68" s="2">
        <v>1</v>
      </c>
      <c r="E68" s="11" t="s">
        <v>3213</v>
      </c>
      <c r="F68" t="s">
        <v>28</v>
      </c>
      <c r="G68" s="2" t="s">
        <v>31</v>
      </c>
      <c r="H68" s="1">
        <v>153.59400000000002</v>
      </c>
      <c r="M68" s="2">
        <v>565</v>
      </c>
      <c r="N68" s="4">
        <v>43676.448935185188</v>
      </c>
      <c r="O68" t="s">
        <v>3671</v>
      </c>
      <c r="P68" t="s">
        <v>3316</v>
      </c>
      <c r="Q68" s="1">
        <v>2864.8620000000001</v>
      </c>
      <c r="R68" t="s">
        <v>3310</v>
      </c>
      <c r="S68" t="s">
        <v>3314</v>
      </c>
      <c r="T68">
        <f>MONTH(tbPedido[[#This Row],[Comprado Em]])</f>
        <v>7</v>
      </c>
    </row>
    <row r="69" spans="1:20" x14ac:dyDescent="0.3">
      <c r="A69" s="2">
        <v>504</v>
      </c>
      <c r="B69" t="s">
        <v>3514</v>
      </c>
      <c r="C69" t="s">
        <v>3238</v>
      </c>
      <c r="D69" s="2">
        <v>1</v>
      </c>
      <c r="E69" s="11" t="s">
        <v>3513</v>
      </c>
      <c r="F69" t="s">
        <v>55</v>
      </c>
      <c r="G69" s="2" t="s">
        <v>31</v>
      </c>
      <c r="H69" s="1">
        <v>89.994000000000014</v>
      </c>
      <c r="M69" s="2">
        <v>566</v>
      </c>
      <c r="N69" s="4">
        <v>43676.449270833335</v>
      </c>
      <c r="O69" t="s">
        <v>3718</v>
      </c>
      <c r="P69" t="s">
        <v>3318</v>
      </c>
      <c r="Q69" s="1">
        <v>1328.816</v>
      </c>
      <c r="R69" t="s">
        <v>3310</v>
      </c>
      <c r="S69" t="s">
        <v>3324</v>
      </c>
      <c r="T69">
        <f>MONTH(tbPedido[[#This Row],[Comprado Em]])</f>
        <v>7</v>
      </c>
    </row>
    <row r="70" spans="1:20" x14ac:dyDescent="0.3">
      <c r="A70" s="2">
        <v>504</v>
      </c>
      <c r="B70" t="s">
        <v>278</v>
      </c>
      <c r="C70" t="s">
        <v>3220</v>
      </c>
      <c r="D70" s="2">
        <v>1</v>
      </c>
      <c r="E70" s="11" t="s">
        <v>204</v>
      </c>
      <c r="F70" t="s">
        <v>55</v>
      </c>
      <c r="G70" s="2" t="s">
        <v>31</v>
      </c>
      <c r="H70" s="1">
        <v>42.294000000000004</v>
      </c>
      <c r="M70" s="2">
        <v>567</v>
      </c>
      <c r="N70" s="4">
        <v>43676.536747685182</v>
      </c>
      <c r="O70" t="s">
        <v>3443</v>
      </c>
      <c r="P70" t="s">
        <v>3316</v>
      </c>
      <c r="Q70" s="1">
        <v>1027.0340000000001</v>
      </c>
      <c r="R70" t="s">
        <v>3310</v>
      </c>
      <c r="S70" t="s">
        <v>3326</v>
      </c>
      <c r="T70">
        <f>MONTH(tbPedido[[#This Row],[Comprado Em]])</f>
        <v>7</v>
      </c>
    </row>
    <row r="71" spans="1:20" x14ac:dyDescent="0.3">
      <c r="A71" s="2">
        <v>504</v>
      </c>
      <c r="B71" t="s">
        <v>757</v>
      </c>
      <c r="C71" t="s">
        <v>1</v>
      </c>
      <c r="D71" s="2">
        <v>1</v>
      </c>
      <c r="E71" s="11" t="s">
        <v>53</v>
      </c>
      <c r="F71" t="s">
        <v>65</v>
      </c>
      <c r="G71" s="2" t="s">
        <v>4</v>
      </c>
      <c r="H71" s="1">
        <v>36.994</v>
      </c>
      <c r="M71" s="2">
        <v>568</v>
      </c>
      <c r="N71" s="4">
        <v>43676.646574074075</v>
      </c>
      <c r="O71" t="s">
        <v>3479</v>
      </c>
      <c r="P71" t="s">
        <v>3316</v>
      </c>
      <c r="Q71" s="1">
        <v>8799.59</v>
      </c>
      <c r="R71" t="s">
        <v>3757</v>
      </c>
      <c r="S71" t="s">
        <v>3320</v>
      </c>
      <c r="T71">
        <f>MONTH(tbPedido[[#This Row],[Comprado Em]])</f>
        <v>7</v>
      </c>
    </row>
    <row r="72" spans="1:20" x14ac:dyDescent="0.3">
      <c r="A72" s="2">
        <v>504</v>
      </c>
      <c r="B72" t="s">
        <v>3589</v>
      </c>
      <c r="C72" t="s">
        <v>3224</v>
      </c>
      <c r="D72" s="2">
        <v>1</v>
      </c>
      <c r="E72" s="11" t="s">
        <v>3588</v>
      </c>
      <c r="F72" t="s">
        <v>114</v>
      </c>
      <c r="G72" s="2" t="s">
        <v>31</v>
      </c>
      <c r="H72" s="1">
        <v>100.59400000000001</v>
      </c>
      <c r="M72" s="2">
        <v>569</v>
      </c>
      <c r="N72" s="4">
        <v>43676.653067129628</v>
      </c>
      <c r="O72" t="s">
        <v>3507</v>
      </c>
      <c r="P72" t="s">
        <v>3316</v>
      </c>
      <c r="Q72" s="1">
        <v>761.92800000000011</v>
      </c>
      <c r="R72" t="s">
        <v>3757</v>
      </c>
      <c r="S72" t="s">
        <v>3320</v>
      </c>
      <c r="T72">
        <f>MONTH(tbPedido[[#This Row],[Comprado Em]])</f>
        <v>7</v>
      </c>
    </row>
    <row r="73" spans="1:20" x14ac:dyDescent="0.3">
      <c r="A73" s="2">
        <v>504</v>
      </c>
      <c r="B73" t="s">
        <v>3688</v>
      </c>
      <c r="C73" t="s">
        <v>1</v>
      </c>
      <c r="D73" s="2">
        <v>1</v>
      </c>
      <c r="E73" s="11" t="s">
        <v>243</v>
      </c>
      <c r="F73" t="s">
        <v>126</v>
      </c>
      <c r="G73" s="2" t="s">
        <v>31</v>
      </c>
      <c r="H73" s="1">
        <v>31.693999999999999</v>
      </c>
      <c r="M73" s="2">
        <v>570</v>
      </c>
      <c r="N73" s="4">
        <v>43676.848599537036</v>
      </c>
      <c r="O73" t="s">
        <v>3346</v>
      </c>
      <c r="P73" t="s">
        <v>3311</v>
      </c>
      <c r="Q73" s="1">
        <v>1095.828</v>
      </c>
      <c r="R73" t="s">
        <v>3310</v>
      </c>
      <c r="S73" t="s">
        <v>3322</v>
      </c>
      <c r="T73">
        <f>MONTH(tbPedido[[#This Row],[Comprado Em]])</f>
        <v>7</v>
      </c>
    </row>
    <row r="74" spans="1:20" x14ac:dyDescent="0.3">
      <c r="A74" s="2">
        <v>504</v>
      </c>
      <c r="B74" t="s">
        <v>714</v>
      </c>
      <c r="C74" t="s">
        <v>3220</v>
      </c>
      <c r="D74" s="2">
        <v>1</v>
      </c>
      <c r="E74" s="11" t="s">
        <v>204</v>
      </c>
      <c r="F74" t="s">
        <v>276</v>
      </c>
      <c r="G74" s="2" t="s">
        <v>31</v>
      </c>
      <c r="H74" s="1">
        <v>42.294000000000004</v>
      </c>
      <c r="M74" s="2">
        <v>571</v>
      </c>
      <c r="N74" s="4">
        <v>43677.452835648146</v>
      </c>
      <c r="O74" t="s">
        <v>3470</v>
      </c>
      <c r="P74" t="s">
        <v>3311</v>
      </c>
      <c r="Q74" s="1">
        <v>1053.2160000000001</v>
      </c>
      <c r="R74" t="s">
        <v>3757</v>
      </c>
      <c r="S74" t="s">
        <v>3320</v>
      </c>
      <c r="T74">
        <f>MONTH(tbPedido[[#This Row],[Comprado Em]])</f>
        <v>7</v>
      </c>
    </row>
    <row r="75" spans="1:20" x14ac:dyDescent="0.3">
      <c r="A75" s="2">
        <v>504</v>
      </c>
      <c r="B75" t="s">
        <v>3686</v>
      </c>
      <c r="C75" t="s">
        <v>3224</v>
      </c>
      <c r="D75" s="2">
        <v>1</v>
      </c>
      <c r="E75" s="11" t="s">
        <v>3685</v>
      </c>
      <c r="F75" t="s">
        <v>62</v>
      </c>
      <c r="G75" s="2" t="s">
        <v>31</v>
      </c>
      <c r="H75" s="1">
        <v>105.89400000000001</v>
      </c>
      <c r="M75" s="2">
        <v>572</v>
      </c>
      <c r="N75" s="4">
        <v>43677.550162037034</v>
      </c>
      <c r="O75" t="s">
        <v>3323</v>
      </c>
      <c r="P75" t="s">
        <v>3311</v>
      </c>
      <c r="Q75" s="1">
        <v>1313.1280000000002</v>
      </c>
      <c r="R75" t="s">
        <v>3310</v>
      </c>
      <c r="S75" t="s">
        <v>3322</v>
      </c>
      <c r="T75">
        <f>MONTH(tbPedido[[#This Row],[Comprado Em]])</f>
        <v>7</v>
      </c>
    </row>
    <row r="76" spans="1:20" x14ac:dyDescent="0.3">
      <c r="A76" s="2">
        <v>504</v>
      </c>
      <c r="B76" t="s">
        <v>689</v>
      </c>
      <c r="C76" t="s">
        <v>3220</v>
      </c>
      <c r="D76" s="2">
        <v>1</v>
      </c>
      <c r="E76" s="11" t="s">
        <v>204</v>
      </c>
      <c r="F76" t="s">
        <v>241</v>
      </c>
      <c r="G76" s="2" t="s">
        <v>31</v>
      </c>
      <c r="H76" s="1">
        <v>42.294000000000004</v>
      </c>
      <c r="M76" s="2">
        <v>573</v>
      </c>
      <c r="N76" s="4">
        <v>43677.603148148148</v>
      </c>
      <c r="O76" t="s">
        <v>3493</v>
      </c>
      <c r="P76" t="s">
        <v>3316</v>
      </c>
      <c r="Q76" s="1">
        <v>4446.1699999999992</v>
      </c>
      <c r="R76" t="s">
        <v>3310</v>
      </c>
      <c r="S76" t="s">
        <v>3445</v>
      </c>
      <c r="T76">
        <f>MONTH(tbPedido[[#This Row],[Comprado Em]])</f>
        <v>7</v>
      </c>
    </row>
    <row r="77" spans="1:20" x14ac:dyDescent="0.3">
      <c r="A77" s="2">
        <v>504</v>
      </c>
      <c r="B77" t="s">
        <v>3683</v>
      </c>
      <c r="C77" t="s">
        <v>3220</v>
      </c>
      <c r="D77" s="2">
        <v>1</v>
      </c>
      <c r="E77" s="11" t="s">
        <v>3653</v>
      </c>
      <c r="F77" t="s">
        <v>28</v>
      </c>
      <c r="G77" s="2" t="s">
        <v>31</v>
      </c>
      <c r="H77" s="1">
        <v>47.594000000000001</v>
      </c>
      <c r="M77" s="2">
        <v>574</v>
      </c>
      <c r="N77" s="4">
        <v>43677.657337962963</v>
      </c>
      <c r="O77" t="s">
        <v>3728</v>
      </c>
      <c r="P77" t="s">
        <v>3318</v>
      </c>
      <c r="Q77" s="1">
        <v>1729.7080000000001</v>
      </c>
      <c r="R77" t="s">
        <v>3310</v>
      </c>
      <c r="S77" t="s">
        <v>3320</v>
      </c>
      <c r="T77">
        <f>MONTH(tbPedido[[#This Row],[Comprado Em]])</f>
        <v>7</v>
      </c>
    </row>
    <row r="78" spans="1:20" x14ac:dyDescent="0.3">
      <c r="A78" s="2">
        <v>504</v>
      </c>
      <c r="B78" t="s">
        <v>3682</v>
      </c>
      <c r="C78" t="s">
        <v>3238</v>
      </c>
      <c r="D78" s="2">
        <v>1</v>
      </c>
      <c r="E78" s="11" t="s">
        <v>3513</v>
      </c>
      <c r="F78" t="s">
        <v>114</v>
      </c>
      <c r="G78" s="2" t="s">
        <v>31</v>
      </c>
      <c r="H78" s="1">
        <v>89.994000000000014</v>
      </c>
      <c r="M78" s="2">
        <v>575</v>
      </c>
      <c r="N78" s="4">
        <v>43678.121516203704</v>
      </c>
      <c r="O78" t="s">
        <v>3355</v>
      </c>
      <c r="P78" t="s">
        <v>3316</v>
      </c>
      <c r="Q78" s="1">
        <v>1191.1220000000003</v>
      </c>
      <c r="R78" t="s">
        <v>3757</v>
      </c>
      <c r="S78" t="s">
        <v>3322</v>
      </c>
      <c r="T78">
        <f>MONTH(tbPedido[[#This Row],[Comprado Em]])</f>
        <v>8</v>
      </c>
    </row>
    <row r="79" spans="1:20" x14ac:dyDescent="0.3">
      <c r="A79" s="2">
        <v>504</v>
      </c>
      <c r="B79" t="s">
        <v>2263</v>
      </c>
      <c r="C79" t="s">
        <v>3220</v>
      </c>
      <c r="D79" s="2">
        <v>1</v>
      </c>
      <c r="E79" s="11" t="s">
        <v>204</v>
      </c>
      <c r="F79" t="s">
        <v>114</v>
      </c>
      <c r="G79" s="2" t="s">
        <v>31</v>
      </c>
      <c r="H79" s="1">
        <v>42.294000000000004</v>
      </c>
      <c r="M79" s="2">
        <v>576</v>
      </c>
      <c r="N79" s="4">
        <v>43678.668842592589</v>
      </c>
      <c r="O79" t="s">
        <v>3529</v>
      </c>
      <c r="P79" t="s">
        <v>3318</v>
      </c>
      <c r="Q79" s="1">
        <v>1387.222</v>
      </c>
      <c r="R79" t="s">
        <v>3310</v>
      </c>
      <c r="S79" t="s">
        <v>3314</v>
      </c>
      <c r="T79">
        <f>MONTH(tbPedido[[#This Row],[Comprado Em]])</f>
        <v>8</v>
      </c>
    </row>
    <row r="80" spans="1:20" x14ac:dyDescent="0.3">
      <c r="A80" s="2">
        <v>504</v>
      </c>
      <c r="B80" t="s">
        <v>2642</v>
      </c>
      <c r="C80" t="s">
        <v>3219</v>
      </c>
      <c r="D80" s="2">
        <v>1</v>
      </c>
      <c r="E80" s="11" t="s">
        <v>2123</v>
      </c>
      <c r="F80" t="s">
        <v>47</v>
      </c>
      <c r="G80" s="2" t="s">
        <v>4</v>
      </c>
      <c r="H80" s="1">
        <v>142.994</v>
      </c>
      <c r="M80" s="2">
        <v>577</v>
      </c>
      <c r="N80" s="4">
        <v>43679.043298611112</v>
      </c>
      <c r="O80" t="s">
        <v>3608</v>
      </c>
      <c r="P80" t="s">
        <v>3318</v>
      </c>
      <c r="Q80" s="1">
        <v>2303.1679999999997</v>
      </c>
      <c r="R80" t="s">
        <v>3310</v>
      </c>
      <c r="S80" t="s">
        <v>3405</v>
      </c>
      <c r="T80">
        <f>MONTH(tbPedido[[#This Row],[Comprado Em]])</f>
        <v>8</v>
      </c>
    </row>
    <row r="81" spans="1:20" x14ac:dyDescent="0.3">
      <c r="A81" s="2">
        <v>504</v>
      </c>
      <c r="B81" t="s">
        <v>3680</v>
      </c>
      <c r="C81" t="s">
        <v>1</v>
      </c>
      <c r="D81" s="2">
        <v>1</v>
      </c>
      <c r="E81" s="11" t="s">
        <v>3679</v>
      </c>
      <c r="F81" t="s">
        <v>47</v>
      </c>
      <c r="G81" s="2" t="s">
        <v>31</v>
      </c>
      <c r="H81" s="1">
        <v>68.794000000000011</v>
      </c>
      <c r="M81" s="2">
        <v>578</v>
      </c>
      <c r="N81" s="4">
        <v>43679.838935185187</v>
      </c>
      <c r="O81" t="s">
        <v>3454</v>
      </c>
      <c r="P81" t="s">
        <v>3316</v>
      </c>
      <c r="Q81" s="1">
        <v>1927.2920000000006</v>
      </c>
      <c r="R81" t="s">
        <v>3757</v>
      </c>
      <c r="S81" t="s">
        <v>3320</v>
      </c>
      <c r="T81">
        <f>MONTH(tbPedido[[#This Row],[Comprado Em]])</f>
        <v>8</v>
      </c>
    </row>
    <row r="82" spans="1:20" x14ac:dyDescent="0.3">
      <c r="A82" s="2">
        <v>504</v>
      </c>
      <c r="B82" t="s">
        <v>3678</v>
      </c>
      <c r="C82" t="s">
        <v>3220</v>
      </c>
      <c r="D82" s="2">
        <v>1</v>
      </c>
      <c r="E82" s="11" t="s">
        <v>3677</v>
      </c>
      <c r="F82" t="s">
        <v>47</v>
      </c>
      <c r="G82" s="2" t="s">
        <v>31</v>
      </c>
      <c r="H82" s="1">
        <v>42.294000000000004</v>
      </c>
      <c r="M82" s="2">
        <v>579</v>
      </c>
      <c r="N82" s="4">
        <v>43680.427175925928</v>
      </c>
      <c r="O82" t="s">
        <v>3355</v>
      </c>
      <c r="P82" t="s">
        <v>3318</v>
      </c>
      <c r="Q82" s="1">
        <v>5844.097999999999</v>
      </c>
      <c r="R82" t="s">
        <v>3315</v>
      </c>
      <c r="S82" t="s">
        <v>3366</v>
      </c>
      <c r="T82">
        <f>MONTH(tbPedido[[#This Row],[Comprado Em]])</f>
        <v>8</v>
      </c>
    </row>
    <row r="83" spans="1:20" x14ac:dyDescent="0.3">
      <c r="A83" s="2">
        <v>504</v>
      </c>
      <c r="B83" t="s">
        <v>3676</v>
      </c>
      <c r="C83" t="s">
        <v>1</v>
      </c>
      <c r="D83" s="2">
        <v>1</v>
      </c>
      <c r="E83" s="11" t="s">
        <v>3587</v>
      </c>
      <c r="F83" t="s">
        <v>47</v>
      </c>
      <c r="G83" s="2" t="s">
        <v>31</v>
      </c>
      <c r="H83" s="1">
        <v>52.893999999999998</v>
      </c>
      <c r="M83" s="2">
        <v>580</v>
      </c>
      <c r="N83" s="4">
        <v>43680.530532407407</v>
      </c>
      <c r="O83" t="s">
        <v>3361</v>
      </c>
      <c r="P83" t="s">
        <v>3318</v>
      </c>
      <c r="Q83" s="1">
        <v>1270.6220000000001</v>
      </c>
      <c r="R83" t="s">
        <v>3315</v>
      </c>
      <c r="S83" t="s">
        <v>3314</v>
      </c>
      <c r="T83">
        <f>MONTH(tbPedido[[#This Row],[Comprado Em]])</f>
        <v>8</v>
      </c>
    </row>
    <row r="84" spans="1:20" x14ac:dyDescent="0.3">
      <c r="A84" s="2">
        <v>504</v>
      </c>
      <c r="B84" t="s">
        <v>2530</v>
      </c>
      <c r="C84" t="s">
        <v>1</v>
      </c>
      <c r="D84" s="2">
        <v>1</v>
      </c>
      <c r="E84" s="11" t="s">
        <v>243</v>
      </c>
      <c r="F84" t="s">
        <v>47</v>
      </c>
      <c r="G84" s="2" t="s">
        <v>31</v>
      </c>
      <c r="H84" s="1">
        <v>31.693999999999999</v>
      </c>
      <c r="M84" s="2">
        <v>581</v>
      </c>
      <c r="N84" s="4">
        <v>43680.647615740738</v>
      </c>
      <c r="O84" t="s">
        <v>3480</v>
      </c>
      <c r="P84" t="s">
        <v>3318</v>
      </c>
      <c r="Q84" s="1">
        <v>1795.2160000000003</v>
      </c>
      <c r="R84" t="s">
        <v>3757</v>
      </c>
      <c r="S84" t="s">
        <v>3465</v>
      </c>
      <c r="T84">
        <f>MONTH(tbPedido[[#This Row],[Comprado Em]])</f>
        <v>8</v>
      </c>
    </row>
    <row r="85" spans="1:20" x14ac:dyDescent="0.3">
      <c r="A85" s="2">
        <v>504</v>
      </c>
      <c r="B85" t="s">
        <v>1528</v>
      </c>
      <c r="C85" t="s">
        <v>3221</v>
      </c>
      <c r="D85" s="2">
        <v>1</v>
      </c>
      <c r="E85" s="11" t="s">
        <v>642</v>
      </c>
      <c r="F85" t="s">
        <v>47</v>
      </c>
      <c r="G85" s="2" t="s">
        <v>31</v>
      </c>
      <c r="H85" s="1">
        <v>95.294000000000011</v>
      </c>
      <c r="M85" s="2">
        <v>582</v>
      </c>
      <c r="N85" s="4">
        <v>43681.000474537039</v>
      </c>
      <c r="O85" t="s">
        <v>3383</v>
      </c>
      <c r="P85" t="s">
        <v>3311</v>
      </c>
      <c r="Q85" s="1">
        <v>1698.9680000000001</v>
      </c>
      <c r="R85" t="s">
        <v>3757</v>
      </c>
      <c r="S85" t="s">
        <v>3322</v>
      </c>
      <c r="T85">
        <f>MONTH(tbPedido[[#This Row],[Comprado Em]])</f>
        <v>8</v>
      </c>
    </row>
    <row r="86" spans="1:20" x14ac:dyDescent="0.3">
      <c r="A86" s="2">
        <v>504</v>
      </c>
      <c r="B86" t="s">
        <v>266</v>
      </c>
      <c r="C86" t="s">
        <v>3220</v>
      </c>
      <c r="D86" s="2">
        <v>1</v>
      </c>
      <c r="E86" s="11" t="s">
        <v>204</v>
      </c>
      <c r="F86" t="s">
        <v>47</v>
      </c>
      <c r="G86" s="2" t="s">
        <v>31</v>
      </c>
      <c r="H86" s="1">
        <v>42.294000000000004</v>
      </c>
      <c r="M86" s="2">
        <v>583</v>
      </c>
      <c r="N86" s="4">
        <v>43681.969050925924</v>
      </c>
      <c r="O86" t="s">
        <v>3361</v>
      </c>
      <c r="P86" t="s">
        <v>3318</v>
      </c>
      <c r="Q86" s="1">
        <v>2239.9920000000002</v>
      </c>
      <c r="R86" t="s">
        <v>3757</v>
      </c>
      <c r="S86" t="s">
        <v>3342</v>
      </c>
      <c r="T86">
        <f>MONTH(tbPedido[[#This Row],[Comprado Em]])</f>
        <v>8</v>
      </c>
    </row>
    <row r="87" spans="1:20" x14ac:dyDescent="0.3">
      <c r="A87" s="2">
        <v>504</v>
      </c>
      <c r="B87" t="s">
        <v>1382</v>
      </c>
      <c r="C87" t="s">
        <v>3219</v>
      </c>
      <c r="D87" s="2">
        <v>1</v>
      </c>
      <c r="E87" s="11" t="s">
        <v>673</v>
      </c>
      <c r="F87" t="s">
        <v>47</v>
      </c>
      <c r="G87" s="2" t="s">
        <v>4</v>
      </c>
      <c r="H87" s="1">
        <v>89.994000000000014</v>
      </c>
      <c r="M87" s="2">
        <v>584</v>
      </c>
      <c r="N87" s="4">
        <v>43682.451423611114</v>
      </c>
      <c r="O87" t="s">
        <v>3656</v>
      </c>
      <c r="P87" t="s">
        <v>3316</v>
      </c>
      <c r="Q87" s="1">
        <v>1355.528</v>
      </c>
      <c r="R87" t="s">
        <v>3315</v>
      </c>
      <c r="S87" t="s">
        <v>3320</v>
      </c>
      <c r="T87">
        <f>MONTH(tbPedido[[#This Row],[Comprado Em]])</f>
        <v>8</v>
      </c>
    </row>
    <row r="88" spans="1:20" x14ac:dyDescent="0.3">
      <c r="A88" s="2">
        <v>504</v>
      </c>
      <c r="B88" t="s">
        <v>2527</v>
      </c>
      <c r="C88" t="s">
        <v>1</v>
      </c>
      <c r="D88" s="2">
        <v>1</v>
      </c>
      <c r="E88" s="11" t="s">
        <v>243</v>
      </c>
      <c r="F88" t="s">
        <v>39</v>
      </c>
      <c r="G88" s="2" t="s">
        <v>31</v>
      </c>
      <c r="H88" s="1">
        <v>31.693999999999999</v>
      </c>
      <c r="M88" s="2">
        <v>585</v>
      </c>
      <c r="N88" s="4">
        <v>43682.577708333331</v>
      </c>
      <c r="O88" t="s">
        <v>3336</v>
      </c>
      <c r="P88" t="s">
        <v>3318</v>
      </c>
      <c r="Q88" s="1">
        <v>1954.0040000000001</v>
      </c>
      <c r="R88" t="s">
        <v>3757</v>
      </c>
      <c r="S88" t="s">
        <v>3342</v>
      </c>
      <c r="T88">
        <f>MONTH(tbPedido[[#This Row],[Comprado Em]])</f>
        <v>8</v>
      </c>
    </row>
    <row r="89" spans="1:20" x14ac:dyDescent="0.3">
      <c r="A89" s="2">
        <v>505</v>
      </c>
      <c r="B89" t="s">
        <v>3672</v>
      </c>
      <c r="C89" t="s">
        <v>0</v>
      </c>
      <c r="D89" s="2">
        <v>1</v>
      </c>
      <c r="E89" s="11" t="s">
        <v>3143</v>
      </c>
      <c r="F89" t="s">
        <v>65</v>
      </c>
      <c r="G89" s="2" t="s">
        <v>31</v>
      </c>
      <c r="H89" s="1">
        <v>111.19400000000002</v>
      </c>
      <c r="M89" s="2">
        <v>586</v>
      </c>
      <c r="N89" s="4">
        <v>43682.609884259262</v>
      </c>
      <c r="O89" t="s">
        <v>3675</v>
      </c>
      <c r="P89" t="s">
        <v>3311</v>
      </c>
      <c r="Q89" s="1">
        <v>2314.192</v>
      </c>
      <c r="R89" t="s">
        <v>3310</v>
      </c>
      <c r="S89" t="s">
        <v>3320</v>
      </c>
      <c r="T89">
        <f>MONTH(tbPedido[[#This Row],[Comprado Em]])</f>
        <v>8</v>
      </c>
    </row>
    <row r="90" spans="1:20" x14ac:dyDescent="0.3">
      <c r="A90" s="2">
        <v>505</v>
      </c>
      <c r="B90" t="s">
        <v>3670</v>
      </c>
      <c r="C90" t="s">
        <v>0</v>
      </c>
      <c r="D90" s="2">
        <v>1</v>
      </c>
      <c r="E90" s="11" t="s">
        <v>3213</v>
      </c>
      <c r="F90" t="s">
        <v>62</v>
      </c>
      <c r="G90" s="2" t="s">
        <v>4</v>
      </c>
      <c r="H90" s="1">
        <v>153.59400000000002</v>
      </c>
      <c r="M90" s="2">
        <v>587</v>
      </c>
      <c r="N90" s="4">
        <v>43682.628530092596</v>
      </c>
      <c r="O90" t="s">
        <v>3481</v>
      </c>
      <c r="P90" t="s">
        <v>3316</v>
      </c>
      <c r="Q90" s="1">
        <v>1344.8220000000003</v>
      </c>
      <c r="R90" t="s">
        <v>3310</v>
      </c>
      <c r="S90" t="s">
        <v>3623</v>
      </c>
      <c r="T90">
        <f>MONTH(tbPedido[[#This Row],[Comprado Em]])</f>
        <v>8</v>
      </c>
    </row>
    <row r="91" spans="1:20" x14ac:dyDescent="0.3">
      <c r="A91" s="2">
        <v>505</v>
      </c>
      <c r="B91" t="s">
        <v>3222</v>
      </c>
      <c r="C91" t="s">
        <v>0</v>
      </c>
      <c r="D91" s="2">
        <v>1</v>
      </c>
      <c r="E91" s="11" t="s">
        <v>3089</v>
      </c>
      <c r="F91" t="s">
        <v>254</v>
      </c>
      <c r="G91" s="2" t="s">
        <v>4</v>
      </c>
      <c r="H91" s="1">
        <v>195.99400000000003</v>
      </c>
      <c r="M91" s="2">
        <v>588</v>
      </c>
      <c r="N91" s="4">
        <v>43682.804930555554</v>
      </c>
      <c r="O91" t="s">
        <v>3355</v>
      </c>
      <c r="P91" t="s">
        <v>3311</v>
      </c>
      <c r="Q91" s="1">
        <v>1598.7980000000002</v>
      </c>
      <c r="R91" t="s">
        <v>3310</v>
      </c>
      <c r="S91" t="s">
        <v>3623</v>
      </c>
      <c r="T91">
        <f>MONTH(tbPedido[[#This Row],[Comprado Em]])</f>
        <v>8</v>
      </c>
    </row>
    <row r="92" spans="1:20" x14ac:dyDescent="0.3">
      <c r="A92" s="2">
        <v>505</v>
      </c>
      <c r="B92" t="s">
        <v>3371</v>
      </c>
      <c r="C92" t="s">
        <v>0</v>
      </c>
      <c r="D92" s="2">
        <v>1</v>
      </c>
      <c r="E92" s="11" t="s">
        <v>3089</v>
      </c>
      <c r="F92" t="s">
        <v>254</v>
      </c>
      <c r="G92" s="2" t="s">
        <v>23</v>
      </c>
      <c r="H92" s="1">
        <v>195.99400000000003</v>
      </c>
      <c r="M92" s="2">
        <v>589</v>
      </c>
      <c r="N92" s="4">
        <v>43682.826608796298</v>
      </c>
      <c r="O92" t="s">
        <v>3347</v>
      </c>
      <c r="P92" t="s">
        <v>3316</v>
      </c>
      <c r="Q92" s="1">
        <v>1270.6220000000001</v>
      </c>
      <c r="R92" t="s">
        <v>3310</v>
      </c>
      <c r="S92" t="s">
        <v>3320</v>
      </c>
      <c r="T92">
        <f>MONTH(tbPedido[[#This Row],[Comprado Em]])</f>
        <v>8</v>
      </c>
    </row>
    <row r="93" spans="1:20" x14ac:dyDescent="0.3">
      <c r="A93" s="2">
        <v>505</v>
      </c>
      <c r="B93" t="s">
        <v>3369</v>
      </c>
      <c r="C93" t="s">
        <v>3224</v>
      </c>
      <c r="D93" s="2">
        <v>2</v>
      </c>
      <c r="E93" s="11" t="s">
        <v>3368</v>
      </c>
      <c r="F93" t="s">
        <v>254</v>
      </c>
      <c r="G93" s="2" t="s">
        <v>4</v>
      </c>
      <c r="H93" s="1">
        <v>79.394000000000005</v>
      </c>
      <c r="M93" s="2">
        <v>590</v>
      </c>
      <c r="N93" s="4">
        <v>43683.419432870367</v>
      </c>
      <c r="O93" t="s">
        <v>3346</v>
      </c>
      <c r="P93" t="s">
        <v>3318</v>
      </c>
      <c r="Q93" s="1">
        <v>857.3280000000002</v>
      </c>
      <c r="R93" t="s">
        <v>3315</v>
      </c>
      <c r="S93" t="s">
        <v>3320</v>
      </c>
      <c r="T93">
        <f>MONTH(tbPedido[[#This Row],[Comprado Em]])</f>
        <v>8</v>
      </c>
    </row>
    <row r="94" spans="1:20" x14ac:dyDescent="0.3">
      <c r="A94" s="2">
        <v>505</v>
      </c>
      <c r="B94" t="s">
        <v>3667</v>
      </c>
      <c r="C94" t="s">
        <v>0</v>
      </c>
      <c r="D94" s="2">
        <v>1</v>
      </c>
      <c r="E94" s="11" t="s">
        <v>3143</v>
      </c>
      <c r="F94" t="s">
        <v>36</v>
      </c>
      <c r="G94" s="2" t="s">
        <v>4</v>
      </c>
      <c r="H94" s="1">
        <v>111.19400000000002</v>
      </c>
      <c r="M94" s="2">
        <v>591</v>
      </c>
      <c r="N94" s="4">
        <v>43683.602453703701</v>
      </c>
      <c r="O94" t="s">
        <v>3336</v>
      </c>
      <c r="P94" t="s">
        <v>3316</v>
      </c>
      <c r="Q94" s="1">
        <v>889.87000000000012</v>
      </c>
      <c r="R94" t="s">
        <v>3310</v>
      </c>
      <c r="S94" t="s">
        <v>3320</v>
      </c>
      <c r="T94">
        <f>MONTH(tbPedido[[#This Row],[Comprado Em]])</f>
        <v>8</v>
      </c>
    </row>
    <row r="95" spans="1:20" x14ac:dyDescent="0.3">
      <c r="A95" s="2">
        <v>505</v>
      </c>
      <c r="B95" t="s">
        <v>3666</v>
      </c>
      <c r="C95" t="s">
        <v>0</v>
      </c>
      <c r="D95" s="2">
        <v>2</v>
      </c>
      <c r="E95" s="11" t="s">
        <v>3665</v>
      </c>
      <c r="F95" t="s">
        <v>1186</v>
      </c>
      <c r="G95" s="2" t="s">
        <v>23</v>
      </c>
      <c r="H95" s="1">
        <v>180.09400000000002</v>
      </c>
      <c r="M95" s="2">
        <v>592</v>
      </c>
      <c r="N95" s="4">
        <v>43683.611770833333</v>
      </c>
      <c r="O95" t="s">
        <v>3383</v>
      </c>
      <c r="P95" t="s">
        <v>3318</v>
      </c>
      <c r="Q95" s="1">
        <v>1832.4220000000003</v>
      </c>
      <c r="R95" t="s">
        <v>3315</v>
      </c>
      <c r="S95" t="s">
        <v>3314</v>
      </c>
      <c r="T95">
        <f>MONTH(tbPedido[[#This Row],[Comprado Em]])</f>
        <v>8</v>
      </c>
    </row>
    <row r="96" spans="1:20" x14ac:dyDescent="0.3">
      <c r="A96" s="2">
        <v>505</v>
      </c>
      <c r="B96" t="s">
        <v>3090</v>
      </c>
      <c r="C96" t="s">
        <v>0</v>
      </c>
      <c r="D96" s="2">
        <v>1</v>
      </c>
      <c r="E96" s="11" t="s">
        <v>3089</v>
      </c>
      <c r="F96" t="s">
        <v>28</v>
      </c>
      <c r="G96" s="2" t="s">
        <v>4</v>
      </c>
      <c r="H96" s="1">
        <v>195.99400000000003</v>
      </c>
      <c r="M96" s="2">
        <v>593</v>
      </c>
      <c r="N96" s="4">
        <v>43683.624780092592</v>
      </c>
      <c r="O96" t="s">
        <v>3491</v>
      </c>
      <c r="P96" t="s">
        <v>3316</v>
      </c>
      <c r="Q96" s="1">
        <v>1313.1280000000002</v>
      </c>
      <c r="R96" t="s">
        <v>3310</v>
      </c>
      <c r="S96" t="s">
        <v>3314</v>
      </c>
      <c r="T96">
        <f>MONTH(tbPedido[[#This Row],[Comprado Em]])</f>
        <v>8</v>
      </c>
    </row>
    <row r="97" spans="1:20" x14ac:dyDescent="0.3">
      <c r="A97" s="2">
        <v>505</v>
      </c>
      <c r="B97" t="s">
        <v>3363</v>
      </c>
      <c r="C97" t="s">
        <v>0</v>
      </c>
      <c r="D97" s="2">
        <v>1</v>
      </c>
      <c r="E97" s="11" t="s">
        <v>3089</v>
      </c>
      <c r="F97" t="s">
        <v>28</v>
      </c>
      <c r="G97" s="2" t="s">
        <v>31</v>
      </c>
      <c r="H97" s="1">
        <v>195.99400000000003</v>
      </c>
      <c r="M97" s="2">
        <v>594</v>
      </c>
      <c r="N97" s="4">
        <v>43683.703182870369</v>
      </c>
      <c r="O97" t="s">
        <v>3336</v>
      </c>
      <c r="P97" t="s">
        <v>3316</v>
      </c>
      <c r="Q97" s="1">
        <v>1594.0280000000005</v>
      </c>
      <c r="R97" t="s">
        <v>3315</v>
      </c>
      <c r="S97" t="s">
        <v>3322</v>
      </c>
      <c r="T97">
        <f>MONTH(tbPedido[[#This Row],[Comprado Em]])</f>
        <v>8</v>
      </c>
    </row>
    <row r="98" spans="1:20" x14ac:dyDescent="0.3">
      <c r="A98" s="2">
        <v>505</v>
      </c>
      <c r="B98" t="s">
        <v>3214</v>
      </c>
      <c r="C98" t="s">
        <v>0</v>
      </c>
      <c r="D98" s="2">
        <v>1</v>
      </c>
      <c r="E98" s="11" t="s">
        <v>3213</v>
      </c>
      <c r="F98" t="s">
        <v>28</v>
      </c>
      <c r="G98" s="2" t="s">
        <v>31</v>
      </c>
      <c r="H98" s="1">
        <v>153.59400000000002</v>
      </c>
      <c r="M98" s="2">
        <v>595</v>
      </c>
      <c r="N98" s="4">
        <v>43683.766284722224</v>
      </c>
      <c r="O98" t="s">
        <v>3377</v>
      </c>
      <c r="P98" t="s">
        <v>3318</v>
      </c>
      <c r="Q98" s="1">
        <v>1578.0219999999999</v>
      </c>
      <c r="R98" t="s">
        <v>3315</v>
      </c>
      <c r="S98" t="s">
        <v>3314</v>
      </c>
      <c r="T98">
        <f>MONTH(tbPedido[[#This Row],[Comprado Em]])</f>
        <v>8</v>
      </c>
    </row>
    <row r="99" spans="1:20" x14ac:dyDescent="0.3">
      <c r="A99" s="2">
        <v>506</v>
      </c>
      <c r="B99" t="s">
        <v>3159</v>
      </c>
      <c r="C99" t="s">
        <v>3220</v>
      </c>
      <c r="D99" s="2">
        <v>1</v>
      </c>
      <c r="E99" s="11" t="s">
        <v>3152</v>
      </c>
      <c r="F99" t="s">
        <v>55</v>
      </c>
      <c r="G99" s="2" t="s">
        <v>23</v>
      </c>
      <c r="H99" s="1">
        <v>47.594000000000001</v>
      </c>
      <c r="M99" s="2">
        <v>596</v>
      </c>
      <c r="N99" s="4">
        <v>43684.321342592593</v>
      </c>
      <c r="O99" t="s">
        <v>3554</v>
      </c>
      <c r="P99" t="s">
        <v>3316</v>
      </c>
      <c r="Q99" s="1">
        <v>381.38800000000003</v>
      </c>
      <c r="R99" t="s">
        <v>3310</v>
      </c>
      <c r="S99" t="s">
        <v>3320</v>
      </c>
      <c r="T99">
        <f>MONTH(tbPedido[[#This Row],[Comprado Em]])</f>
        <v>8</v>
      </c>
    </row>
    <row r="100" spans="1:20" x14ac:dyDescent="0.3">
      <c r="A100" s="2">
        <v>506</v>
      </c>
      <c r="B100" t="s">
        <v>3157</v>
      </c>
      <c r="C100" t="s">
        <v>3</v>
      </c>
      <c r="D100" s="2">
        <v>1</v>
      </c>
      <c r="E100" s="11" t="s">
        <v>3149</v>
      </c>
      <c r="F100" t="s">
        <v>55</v>
      </c>
      <c r="G100" s="2" t="s">
        <v>23</v>
      </c>
      <c r="H100" s="1">
        <v>100.59400000000001</v>
      </c>
      <c r="M100" s="2">
        <v>597</v>
      </c>
      <c r="N100" s="4">
        <v>43684.407037037039</v>
      </c>
      <c r="O100" t="s">
        <v>3402</v>
      </c>
      <c r="P100" t="s">
        <v>3311</v>
      </c>
      <c r="Q100" s="1">
        <v>1895.3860000000006</v>
      </c>
      <c r="R100" t="s">
        <v>3757</v>
      </c>
      <c r="S100" t="s">
        <v>3320</v>
      </c>
      <c r="T100">
        <f>MONTH(tbPedido[[#This Row],[Comprado Em]])</f>
        <v>8</v>
      </c>
    </row>
    <row r="101" spans="1:20" x14ac:dyDescent="0.3">
      <c r="A101" s="2">
        <v>506</v>
      </c>
      <c r="B101" t="s">
        <v>3663</v>
      </c>
      <c r="C101" t="s">
        <v>3220</v>
      </c>
      <c r="D101" s="2">
        <v>1</v>
      </c>
      <c r="E101" s="11" t="s">
        <v>3266</v>
      </c>
      <c r="F101" t="s">
        <v>65</v>
      </c>
      <c r="G101" s="2" t="s">
        <v>23</v>
      </c>
      <c r="H101" s="1">
        <v>47.594000000000001</v>
      </c>
      <c r="M101" s="2">
        <v>598</v>
      </c>
      <c r="N101" s="4">
        <v>43684.485960648148</v>
      </c>
      <c r="O101" t="s">
        <v>3630</v>
      </c>
      <c r="P101" t="s">
        <v>3316</v>
      </c>
      <c r="Q101" s="1">
        <v>3770.1020000000008</v>
      </c>
      <c r="R101" t="s">
        <v>3310</v>
      </c>
      <c r="S101" t="s">
        <v>3366</v>
      </c>
      <c r="T101">
        <f>MONTH(tbPedido[[#This Row],[Comprado Em]])</f>
        <v>8</v>
      </c>
    </row>
    <row r="102" spans="1:20" x14ac:dyDescent="0.3">
      <c r="A102" s="2">
        <v>506</v>
      </c>
      <c r="B102" t="s">
        <v>2745</v>
      </c>
      <c r="C102" t="s">
        <v>1</v>
      </c>
      <c r="D102" s="2">
        <v>1</v>
      </c>
      <c r="E102" s="11" t="s">
        <v>285</v>
      </c>
      <c r="F102" t="s">
        <v>65</v>
      </c>
      <c r="G102" s="2" t="s">
        <v>23</v>
      </c>
      <c r="H102" s="1">
        <v>68.794000000000011</v>
      </c>
      <c r="M102" s="2">
        <v>599</v>
      </c>
      <c r="N102" s="4">
        <v>43684.515289351853</v>
      </c>
      <c r="O102" t="s">
        <v>3569</v>
      </c>
      <c r="P102" t="s">
        <v>3318</v>
      </c>
      <c r="Q102" s="1">
        <v>2880.1259999999997</v>
      </c>
      <c r="R102" t="s">
        <v>3415</v>
      </c>
      <c r="S102" t="s">
        <v>3314</v>
      </c>
      <c r="T102">
        <f>MONTH(tbPedido[[#This Row],[Comprado Em]])</f>
        <v>8</v>
      </c>
    </row>
    <row r="103" spans="1:20" x14ac:dyDescent="0.3">
      <c r="A103" s="2">
        <v>506</v>
      </c>
      <c r="B103" t="s">
        <v>3593</v>
      </c>
      <c r="C103" t="s">
        <v>3</v>
      </c>
      <c r="D103" s="2">
        <v>1</v>
      </c>
      <c r="E103" s="11" t="s">
        <v>3242</v>
      </c>
      <c r="F103" t="s">
        <v>65</v>
      </c>
      <c r="G103" s="2" t="s">
        <v>23</v>
      </c>
      <c r="H103" s="1">
        <v>95.294000000000011</v>
      </c>
      <c r="M103" s="2">
        <v>600</v>
      </c>
      <c r="N103" s="4">
        <v>43684.762118055558</v>
      </c>
      <c r="O103" t="s">
        <v>3348</v>
      </c>
      <c r="P103" t="s">
        <v>3311</v>
      </c>
      <c r="Q103" s="1">
        <v>1874.7160000000003</v>
      </c>
      <c r="R103" t="s">
        <v>3757</v>
      </c>
      <c r="S103" t="s">
        <v>3331</v>
      </c>
      <c r="T103">
        <f>MONTH(tbPedido[[#This Row],[Comprado Em]])</f>
        <v>8</v>
      </c>
    </row>
    <row r="104" spans="1:20" x14ac:dyDescent="0.3">
      <c r="A104" s="2">
        <v>506</v>
      </c>
      <c r="B104" t="s">
        <v>3659</v>
      </c>
      <c r="C104" t="s">
        <v>3220</v>
      </c>
      <c r="D104" s="2">
        <v>1</v>
      </c>
      <c r="E104" s="11" t="s">
        <v>3250</v>
      </c>
      <c r="F104" t="s">
        <v>65</v>
      </c>
      <c r="G104" s="2" t="s">
        <v>31</v>
      </c>
      <c r="H104" s="1">
        <v>42.294000000000004</v>
      </c>
      <c r="M104" s="2">
        <v>601</v>
      </c>
      <c r="N104" s="4">
        <v>43685.375</v>
      </c>
      <c r="O104" t="s">
        <v>3339</v>
      </c>
      <c r="P104" t="s">
        <v>3316</v>
      </c>
      <c r="Q104" s="1">
        <v>614.16399999999999</v>
      </c>
      <c r="R104" t="s">
        <v>3310</v>
      </c>
      <c r="S104" t="s">
        <v>3320</v>
      </c>
      <c r="T104">
        <f>MONTH(tbPedido[[#This Row],[Comprado Em]])</f>
        <v>8</v>
      </c>
    </row>
    <row r="105" spans="1:20" x14ac:dyDescent="0.3">
      <c r="A105" s="2">
        <v>506</v>
      </c>
      <c r="B105" t="s">
        <v>3657</v>
      </c>
      <c r="C105" t="s">
        <v>1</v>
      </c>
      <c r="D105" s="2">
        <v>1</v>
      </c>
      <c r="E105" s="11" t="s">
        <v>3248</v>
      </c>
      <c r="F105" t="s">
        <v>65</v>
      </c>
      <c r="G105" s="2" t="s">
        <v>4</v>
      </c>
      <c r="H105" s="1">
        <v>63.494000000000007</v>
      </c>
      <c r="M105" s="2">
        <v>602</v>
      </c>
      <c r="N105" s="4">
        <v>43685.793506944443</v>
      </c>
      <c r="O105" t="s">
        <v>3481</v>
      </c>
      <c r="P105" t="s">
        <v>3318</v>
      </c>
      <c r="Q105" s="1">
        <v>1604.4159999999999</v>
      </c>
      <c r="R105" t="s">
        <v>3757</v>
      </c>
      <c r="S105" t="s">
        <v>3485</v>
      </c>
      <c r="T105">
        <f>MONTH(tbPedido[[#This Row],[Comprado Em]])</f>
        <v>8</v>
      </c>
    </row>
    <row r="106" spans="1:20" x14ac:dyDescent="0.3">
      <c r="A106" s="2">
        <v>506</v>
      </c>
      <c r="B106" t="s">
        <v>3655</v>
      </c>
      <c r="C106" t="s">
        <v>1</v>
      </c>
      <c r="D106" s="2">
        <v>1</v>
      </c>
      <c r="E106" s="11" t="s">
        <v>3612</v>
      </c>
      <c r="F106" t="s">
        <v>65</v>
      </c>
      <c r="G106" s="2" t="s">
        <v>4</v>
      </c>
      <c r="H106" s="1">
        <v>74.094000000000008</v>
      </c>
      <c r="M106" s="2">
        <v>603</v>
      </c>
      <c r="N106" s="4">
        <v>43686.007824074077</v>
      </c>
      <c r="O106" t="s">
        <v>3317</v>
      </c>
      <c r="P106" t="s">
        <v>3311</v>
      </c>
      <c r="Q106" s="1">
        <v>1164.7280000000003</v>
      </c>
      <c r="R106" t="s">
        <v>3415</v>
      </c>
      <c r="S106" t="s">
        <v>3314</v>
      </c>
      <c r="T106">
        <f>MONTH(tbPedido[[#This Row],[Comprado Em]])</f>
        <v>8</v>
      </c>
    </row>
    <row r="107" spans="1:20" x14ac:dyDescent="0.3">
      <c r="A107" s="2">
        <v>506</v>
      </c>
      <c r="B107" t="s">
        <v>3652</v>
      </c>
      <c r="C107" t="s">
        <v>3224</v>
      </c>
      <c r="D107" s="2">
        <v>1</v>
      </c>
      <c r="E107" s="11" t="s">
        <v>3431</v>
      </c>
      <c r="F107" t="s">
        <v>65</v>
      </c>
      <c r="G107" s="2" t="s">
        <v>23</v>
      </c>
      <c r="H107" s="1">
        <v>74.094000000000008</v>
      </c>
      <c r="M107" s="2">
        <v>604</v>
      </c>
      <c r="N107" s="4">
        <v>43686.024340277778</v>
      </c>
      <c r="O107" t="s">
        <v>3348</v>
      </c>
      <c r="P107" t="s">
        <v>3318</v>
      </c>
      <c r="Q107" s="1">
        <v>1572.51</v>
      </c>
      <c r="R107" t="s">
        <v>3310</v>
      </c>
      <c r="S107" t="s">
        <v>3366</v>
      </c>
      <c r="T107">
        <f>MONTH(tbPedido[[#This Row],[Comprado Em]])</f>
        <v>8</v>
      </c>
    </row>
    <row r="108" spans="1:20" x14ac:dyDescent="0.3">
      <c r="A108" s="2">
        <v>506</v>
      </c>
      <c r="B108" t="s">
        <v>3104</v>
      </c>
      <c r="C108" t="s">
        <v>3224</v>
      </c>
      <c r="D108" s="2">
        <v>1</v>
      </c>
      <c r="E108" s="11" t="s">
        <v>3095</v>
      </c>
      <c r="F108" t="s">
        <v>28</v>
      </c>
      <c r="G108" s="2" t="s">
        <v>23</v>
      </c>
      <c r="H108" s="1">
        <v>58.19400000000001</v>
      </c>
      <c r="M108" s="2">
        <v>605</v>
      </c>
      <c r="N108" s="4">
        <v>43686.446944444448</v>
      </c>
      <c r="O108" t="s">
        <v>3361</v>
      </c>
      <c r="P108" t="s">
        <v>3318</v>
      </c>
      <c r="Q108" s="1">
        <v>1254.6160000000002</v>
      </c>
      <c r="R108" t="s">
        <v>3757</v>
      </c>
      <c r="S108" t="s">
        <v>3342</v>
      </c>
      <c r="T108">
        <f>MONTH(tbPedido[[#This Row],[Comprado Em]])</f>
        <v>8</v>
      </c>
    </row>
    <row r="109" spans="1:20" x14ac:dyDescent="0.3">
      <c r="A109" s="2">
        <v>506</v>
      </c>
      <c r="B109" t="s">
        <v>3650</v>
      </c>
      <c r="C109" t="s">
        <v>3224</v>
      </c>
      <c r="D109" s="2">
        <v>1</v>
      </c>
      <c r="E109" s="11" t="s">
        <v>3136</v>
      </c>
      <c r="F109" t="s">
        <v>28</v>
      </c>
      <c r="G109" s="2" t="s">
        <v>23</v>
      </c>
      <c r="H109" s="1">
        <v>74.094000000000008</v>
      </c>
      <c r="M109" s="2">
        <v>606</v>
      </c>
      <c r="N109" s="4">
        <v>43686.553796296299</v>
      </c>
      <c r="O109" t="s">
        <v>3346</v>
      </c>
      <c r="P109" t="s">
        <v>3318</v>
      </c>
      <c r="Q109" s="1">
        <v>3785.4720000000011</v>
      </c>
      <c r="R109" t="s">
        <v>3310</v>
      </c>
      <c r="S109" t="s">
        <v>3392</v>
      </c>
      <c r="T109">
        <f>MONTH(tbPedido[[#This Row],[Comprado Em]])</f>
        <v>8</v>
      </c>
    </row>
    <row r="110" spans="1:20" x14ac:dyDescent="0.3">
      <c r="A110" s="2">
        <v>506</v>
      </c>
      <c r="B110" t="s">
        <v>3648</v>
      </c>
      <c r="C110" t="s">
        <v>1</v>
      </c>
      <c r="D110" s="2">
        <v>1</v>
      </c>
      <c r="E110" s="11" t="s">
        <v>3563</v>
      </c>
      <c r="F110" t="s">
        <v>28</v>
      </c>
      <c r="G110" s="2" t="s">
        <v>23</v>
      </c>
      <c r="H110" s="1">
        <v>63.494000000000007</v>
      </c>
      <c r="M110" s="2">
        <v>607</v>
      </c>
      <c r="N110" s="4">
        <v>43686.581284722219</v>
      </c>
      <c r="O110" t="s">
        <v>3527</v>
      </c>
      <c r="P110" t="s">
        <v>3318</v>
      </c>
      <c r="Q110" s="1">
        <v>698.32800000000009</v>
      </c>
      <c r="R110" t="s">
        <v>3757</v>
      </c>
      <c r="S110" t="s">
        <v>3360</v>
      </c>
      <c r="T110">
        <f>MONTH(tbPedido[[#This Row],[Comprado Em]])</f>
        <v>8</v>
      </c>
    </row>
    <row r="111" spans="1:20" x14ac:dyDescent="0.3">
      <c r="A111" s="2">
        <v>506</v>
      </c>
      <c r="B111" t="s">
        <v>3646</v>
      </c>
      <c r="C111" t="s">
        <v>3224</v>
      </c>
      <c r="D111" s="2">
        <v>1</v>
      </c>
      <c r="E111" s="11" t="s">
        <v>3550</v>
      </c>
      <c r="F111" t="s">
        <v>254</v>
      </c>
      <c r="G111" s="2" t="s">
        <v>31</v>
      </c>
      <c r="H111" s="1">
        <v>52.893999999999998</v>
      </c>
      <c r="M111" s="2">
        <v>608</v>
      </c>
      <c r="N111" s="4">
        <v>43686.682939814818</v>
      </c>
      <c r="O111" t="s">
        <v>3664</v>
      </c>
      <c r="P111" t="s">
        <v>3318</v>
      </c>
      <c r="Q111" s="1">
        <v>619.46400000000006</v>
      </c>
      <c r="R111" t="s">
        <v>3757</v>
      </c>
      <c r="S111" t="s">
        <v>3322</v>
      </c>
      <c r="T111">
        <f>MONTH(tbPedido[[#This Row],[Comprado Em]])</f>
        <v>8</v>
      </c>
    </row>
    <row r="112" spans="1:20" x14ac:dyDescent="0.3">
      <c r="A112" s="2">
        <v>506</v>
      </c>
      <c r="B112" t="s">
        <v>3645</v>
      </c>
      <c r="C112" t="s">
        <v>3224</v>
      </c>
      <c r="D112" s="2">
        <v>1</v>
      </c>
      <c r="E112" s="11" t="s">
        <v>3628</v>
      </c>
      <c r="F112" t="s">
        <v>62</v>
      </c>
      <c r="G112" s="2" t="s">
        <v>31</v>
      </c>
      <c r="H112" s="1">
        <v>100.59400000000001</v>
      </c>
      <c r="M112" s="2">
        <v>609</v>
      </c>
      <c r="N112" s="4">
        <v>43686.859490740739</v>
      </c>
      <c r="O112" t="s">
        <v>3348</v>
      </c>
      <c r="P112" t="s">
        <v>3318</v>
      </c>
      <c r="Q112" s="1">
        <v>1612.6840000000004</v>
      </c>
      <c r="R112" t="s">
        <v>3310</v>
      </c>
      <c r="S112" t="s">
        <v>3314</v>
      </c>
      <c r="T112">
        <f>MONTH(tbPedido[[#This Row],[Comprado Em]])</f>
        <v>8</v>
      </c>
    </row>
    <row r="113" spans="1:20" x14ac:dyDescent="0.3">
      <c r="A113" s="2">
        <v>506</v>
      </c>
      <c r="B113" t="s">
        <v>3643</v>
      </c>
      <c r="C113" t="s">
        <v>3224</v>
      </c>
      <c r="D113" s="2">
        <v>1</v>
      </c>
      <c r="E113" s="11" t="s">
        <v>3642</v>
      </c>
      <c r="F113" t="s">
        <v>62</v>
      </c>
      <c r="G113" s="2" t="s">
        <v>23</v>
      </c>
      <c r="H113" s="1">
        <v>68.794000000000011</v>
      </c>
      <c r="M113" s="2">
        <v>610</v>
      </c>
      <c r="N113" s="4">
        <v>43687.984166666669</v>
      </c>
      <c r="O113" t="s">
        <v>3525</v>
      </c>
      <c r="P113" t="s">
        <v>3316</v>
      </c>
      <c r="Q113" s="1">
        <v>3071.4560000000001</v>
      </c>
      <c r="R113" t="s">
        <v>3757</v>
      </c>
      <c r="S113" t="s">
        <v>3309</v>
      </c>
      <c r="T113">
        <f>MONTH(tbPedido[[#This Row],[Comprado Em]])</f>
        <v>8</v>
      </c>
    </row>
    <row r="114" spans="1:20" x14ac:dyDescent="0.3">
      <c r="A114" s="2">
        <v>506</v>
      </c>
      <c r="B114" t="s">
        <v>3641</v>
      </c>
      <c r="C114" t="s">
        <v>1</v>
      </c>
      <c r="D114" s="2">
        <v>1</v>
      </c>
      <c r="E114" s="11" t="s">
        <v>3640</v>
      </c>
      <c r="F114" t="s">
        <v>62</v>
      </c>
      <c r="G114" s="2" t="s">
        <v>31</v>
      </c>
      <c r="H114" s="1">
        <v>74.094000000000008</v>
      </c>
      <c r="M114" s="2">
        <v>611</v>
      </c>
      <c r="N114" s="4">
        <v>43688.751284722224</v>
      </c>
      <c r="O114" t="s">
        <v>3400</v>
      </c>
      <c r="P114" t="s">
        <v>3318</v>
      </c>
      <c r="Q114" s="1">
        <v>3017.2899999999991</v>
      </c>
      <c r="R114" t="s">
        <v>3757</v>
      </c>
      <c r="S114" t="s">
        <v>3342</v>
      </c>
      <c r="T114">
        <f>MONTH(tbPedido[[#This Row],[Comprado Em]])</f>
        <v>8</v>
      </c>
    </row>
    <row r="115" spans="1:20" x14ac:dyDescent="0.3">
      <c r="A115" s="2">
        <v>506</v>
      </c>
      <c r="B115" t="s">
        <v>3638</v>
      </c>
      <c r="C115" t="s">
        <v>1</v>
      </c>
      <c r="D115" s="2">
        <v>1</v>
      </c>
      <c r="E115" s="11" t="s">
        <v>3248</v>
      </c>
      <c r="F115" t="s">
        <v>62</v>
      </c>
      <c r="G115" s="2" t="s">
        <v>4</v>
      </c>
      <c r="H115" s="1">
        <v>63.494000000000007</v>
      </c>
      <c r="M115" s="2">
        <v>612</v>
      </c>
      <c r="N115" s="4">
        <v>43688.770428240743</v>
      </c>
      <c r="O115" t="s">
        <v>3552</v>
      </c>
      <c r="P115" t="s">
        <v>3311</v>
      </c>
      <c r="Q115" s="1">
        <v>4321.4080000000004</v>
      </c>
      <c r="R115" t="s">
        <v>3310</v>
      </c>
      <c r="S115" t="s">
        <v>3366</v>
      </c>
      <c r="T115">
        <f>MONTH(tbPedido[[#This Row],[Comprado Em]])</f>
        <v>8</v>
      </c>
    </row>
    <row r="116" spans="1:20" x14ac:dyDescent="0.3">
      <c r="A116" s="2">
        <v>506</v>
      </c>
      <c r="B116" t="s">
        <v>3637</v>
      </c>
      <c r="C116" t="s">
        <v>3220</v>
      </c>
      <c r="D116" s="2">
        <v>1</v>
      </c>
      <c r="E116" s="11" t="s">
        <v>3295</v>
      </c>
      <c r="F116" t="s">
        <v>62</v>
      </c>
      <c r="G116" s="2" t="s">
        <v>23</v>
      </c>
      <c r="H116" s="1">
        <v>42.294000000000004</v>
      </c>
      <c r="M116" s="2">
        <v>613</v>
      </c>
      <c r="N116" s="4">
        <v>43689.478425925925</v>
      </c>
      <c r="O116" t="s">
        <v>3312</v>
      </c>
      <c r="P116" t="s">
        <v>3311</v>
      </c>
      <c r="Q116" s="1">
        <v>3330.3080000000004</v>
      </c>
      <c r="R116" t="s">
        <v>3757</v>
      </c>
      <c r="S116" t="s">
        <v>3483</v>
      </c>
      <c r="T116">
        <f>MONTH(tbPedido[[#This Row],[Comprado Em]])</f>
        <v>8</v>
      </c>
    </row>
    <row r="117" spans="1:20" x14ac:dyDescent="0.3">
      <c r="A117" s="2">
        <v>506</v>
      </c>
      <c r="B117" t="s">
        <v>873</v>
      </c>
      <c r="C117" t="s">
        <v>1</v>
      </c>
      <c r="D117" s="2">
        <v>1</v>
      </c>
      <c r="E117" s="11" t="s">
        <v>53</v>
      </c>
      <c r="F117" t="s">
        <v>55</v>
      </c>
      <c r="G117" s="2" t="s">
        <v>4</v>
      </c>
      <c r="H117" s="1">
        <v>36.994</v>
      </c>
      <c r="M117" s="2">
        <v>614</v>
      </c>
      <c r="N117" s="4">
        <v>43690.43577546296</v>
      </c>
      <c r="O117" t="s">
        <v>3468</v>
      </c>
      <c r="P117" t="s">
        <v>3316</v>
      </c>
      <c r="Q117" s="1">
        <v>1440.222</v>
      </c>
      <c r="R117" t="s">
        <v>3310</v>
      </c>
      <c r="S117" t="s">
        <v>3314</v>
      </c>
      <c r="T117">
        <f>MONTH(tbPedido[[#This Row],[Comprado Em]])</f>
        <v>8</v>
      </c>
    </row>
    <row r="118" spans="1:20" x14ac:dyDescent="0.3">
      <c r="A118" s="2">
        <v>506</v>
      </c>
      <c r="B118" t="s">
        <v>3635</v>
      </c>
      <c r="C118" t="s">
        <v>3224</v>
      </c>
      <c r="D118" s="2">
        <v>1</v>
      </c>
      <c r="E118" s="11" t="s">
        <v>3634</v>
      </c>
      <c r="F118" t="s">
        <v>28</v>
      </c>
      <c r="G118" s="2" t="s">
        <v>23</v>
      </c>
      <c r="H118" s="1">
        <v>63.494000000000007</v>
      </c>
      <c r="M118" s="2">
        <v>615</v>
      </c>
      <c r="N118" s="4">
        <v>43690.541712962964</v>
      </c>
      <c r="O118" t="s">
        <v>3584</v>
      </c>
      <c r="P118" t="s">
        <v>3316</v>
      </c>
      <c r="Q118" s="1">
        <v>3021.9539999999997</v>
      </c>
      <c r="R118" t="s">
        <v>3757</v>
      </c>
      <c r="S118" t="s">
        <v>3314</v>
      </c>
      <c r="T118">
        <f>MONTH(tbPedido[[#This Row],[Comprado Em]])</f>
        <v>8</v>
      </c>
    </row>
    <row r="119" spans="1:20" x14ac:dyDescent="0.3">
      <c r="A119" s="2">
        <v>506</v>
      </c>
      <c r="B119" t="s">
        <v>3633</v>
      </c>
      <c r="C119" t="s">
        <v>1</v>
      </c>
      <c r="D119" s="2">
        <v>1</v>
      </c>
      <c r="E119" s="11" t="s">
        <v>3587</v>
      </c>
      <c r="F119" t="s">
        <v>28</v>
      </c>
      <c r="G119" s="2" t="s">
        <v>31</v>
      </c>
      <c r="H119" s="1">
        <v>52.893999999999998</v>
      </c>
      <c r="M119" s="2">
        <v>616</v>
      </c>
      <c r="N119" s="4">
        <v>43690.548171296294</v>
      </c>
      <c r="O119" t="s">
        <v>3381</v>
      </c>
      <c r="P119" t="s">
        <v>3316</v>
      </c>
      <c r="Q119" s="1">
        <v>1662.3980000000001</v>
      </c>
      <c r="R119" t="s">
        <v>3310</v>
      </c>
      <c r="S119" t="s">
        <v>3326</v>
      </c>
      <c r="T119">
        <f>MONTH(tbPedido[[#This Row],[Comprado Em]])</f>
        <v>8</v>
      </c>
    </row>
    <row r="120" spans="1:20" x14ac:dyDescent="0.3">
      <c r="A120" s="2">
        <v>506</v>
      </c>
      <c r="B120" t="s">
        <v>3631</v>
      </c>
      <c r="C120" t="s">
        <v>1</v>
      </c>
      <c r="D120" s="2">
        <v>1</v>
      </c>
      <c r="E120" s="11" t="s">
        <v>3587</v>
      </c>
      <c r="F120" t="s">
        <v>28</v>
      </c>
      <c r="G120" s="2" t="s">
        <v>23</v>
      </c>
      <c r="H120" s="1">
        <v>52.893999999999998</v>
      </c>
      <c r="M120" s="2">
        <v>617</v>
      </c>
      <c r="N120" s="4">
        <v>43690.632488425923</v>
      </c>
      <c r="O120" t="s">
        <v>3687</v>
      </c>
      <c r="P120" t="s">
        <v>3318</v>
      </c>
      <c r="Q120" s="1">
        <v>1641.7280000000001</v>
      </c>
      <c r="R120" t="s">
        <v>3310</v>
      </c>
      <c r="S120" t="s">
        <v>3326</v>
      </c>
      <c r="T120">
        <f>MONTH(tbPedido[[#This Row],[Comprado Em]])</f>
        <v>8</v>
      </c>
    </row>
    <row r="121" spans="1:20" x14ac:dyDescent="0.3">
      <c r="A121" s="2">
        <v>506</v>
      </c>
      <c r="B121" t="s">
        <v>3276</v>
      </c>
      <c r="C121" t="s">
        <v>3220</v>
      </c>
      <c r="D121" s="2">
        <v>1</v>
      </c>
      <c r="E121" s="11" t="s">
        <v>3266</v>
      </c>
      <c r="F121" t="s">
        <v>114</v>
      </c>
      <c r="G121" s="2" t="s">
        <v>23</v>
      </c>
      <c r="H121" s="1">
        <v>47.594000000000001</v>
      </c>
      <c r="M121" s="2">
        <v>618</v>
      </c>
      <c r="N121" s="4">
        <v>43690.654085648152</v>
      </c>
      <c r="O121" t="s">
        <v>3327</v>
      </c>
      <c r="P121" t="s">
        <v>3316</v>
      </c>
      <c r="Q121" s="1">
        <v>1985.5920000000006</v>
      </c>
      <c r="R121" t="s">
        <v>3310</v>
      </c>
      <c r="S121" t="s">
        <v>3445</v>
      </c>
      <c r="T121">
        <f>MONTH(tbPedido[[#This Row],[Comprado Em]])</f>
        <v>8</v>
      </c>
    </row>
    <row r="122" spans="1:20" x14ac:dyDescent="0.3">
      <c r="A122" s="2">
        <v>506</v>
      </c>
      <c r="B122" t="s">
        <v>3629</v>
      </c>
      <c r="C122" t="s">
        <v>3224</v>
      </c>
      <c r="D122" s="2">
        <v>1</v>
      </c>
      <c r="E122" s="11" t="s">
        <v>3628</v>
      </c>
      <c r="F122" t="s">
        <v>28</v>
      </c>
      <c r="G122" s="2" t="s">
        <v>4</v>
      </c>
      <c r="H122" s="1">
        <v>100.59400000000001</v>
      </c>
      <c r="M122" s="2">
        <v>619</v>
      </c>
      <c r="N122" s="4">
        <v>43690.695347222223</v>
      </c>
      <c r="O122" t="s">
        <v>3531</v>
      </c>
      <c r="P122" t="s">
        <v>3316</v>
      </c>
      <c r="Q122" s="1">
        <v>846.41</v>
      </c>
      <c r="R122" t="s">
        <v>3310</v>
      </c>
      <c r="S122" t="s">
        <v>3392</v>
      </c>
      <c r="T122">
        <f>MONTH(tbPedido[[#This Row],[Comprado Em]])</f>
        <v>8</v>
      </c>
    </row>
    <row r="123" spans="1:20" x14ac:dyDescent="0.3">
      <c r="A123" s="2">
        <v>506</v>
      </c>
      <c r="B123" t="s">
        <v>1905</v>
      </c>
      <c r="C123" t="s">
        <v>1</v>
      </c>
      <c r="D123" s="2">
        <v>1</v>
      </c>
      <c r="E123" s="11" t="s">
        <v>53</v>
      </c>
      <c r="F123" t="s">
        <v>36</v>
      </c>
      <c r="G123" s="2" t="s">
        <v>23</v>
      </c>
      <c r="H123" s="1">
        <v>36.994</v>
      </c>
      <c r="M123" s="2">
        <v>620</v>
      </c>
      <c r="N123" s="4">
        <v>43690.733576388891</v>
      </c>
      <c r="O123" t="s">
        <v>3580</v>
      </c>
      <c r="P123" t="s">
        <v>3316</v>
      </c>
      <c r="Q123" s="1">
        <v>2175.9680000000003</v>
      </c>
      <c r="R123" t="s">
        <v>3310</v>
      </c>
      <c r="S123" t="s">
        <v>3434</v>
      </c>
      <c r="T123">
        <f>MONTH(tbPedido[[#This Row],[Comprado Em]])</f>
        <v>8</v>
      </c>
    </row>
    <row r="124" spans="1:20" x14ac:dyDescent="0.3">
      <c r="A124" s="2">
        <v>506</v>
      </c>
      <c r="B124" t="s">
        <v>3625</v>
      </c>
      <c r="C124" t="s">
        <v>3</v>
      </c>
      <c r="D124" s="2">
        <v>1</v>
      </c>
      <c r="E124" s="11" t="s">
        <v>3252</v>
      </c>
      <c r="F124" t="s">
        <v>78</v>
      </c>
      <c r="G124" s="2" t="s">
        <v>23</v>
      </c>
      <c r="H124" s="1">
        <v>95.294000000000011</v>
      </c>
      <c r="M124" s="2">
        <v>621</v>
      </c>
      <c r="N124" s="4">
        <v>43690.912164351852</v>
      </c>
      <c r="O124" t="s">
        <v>3703</v>
      </c>
      <c r="P124" t="s">
        <v>3316</v>
      </c>
      <c r="Q124" s="1">
        <v>2605.3739999999998</v>
      </c>
      <c r="R124" t="s">
        <v>3310</v>
      </c>
      <c r="S124" t="s">
        <v>3623</v>
      </c>
      <c r="T124">
        <f>MONTH(tbPedido[[#This Row],[Comprado Em]])</f>
        <v>8</v>
      </c>
    </row>
    <row r="125" spans="1:20" x14ac:dyDescent="0.3">
      <c r="A125" s="2">
        <v>506</v>
      </c>
      <c r="B125" t="s">
        <v>3622</v>
      </c>
      <c r="C125" t="s">
        <v>3220</v>
      </c>
      <c r="D125" s="2">
        <v>1</v>
      </c>
      <c r="E125" s="11" t="s">
        <v>3250</v>
      </c>
      <c r="F125" t="s">
        <v>78</v>
      </c>
      <c r="G125" s="2" t="s">
        <v>23</v>
      </c>
      <c r="H125" s="1">
        <v>42.294000000000004</v>
      </c>
      <c r="M125" s="2">
        <v>622</v>
      </c>
      <c r="N125" s="4">
        <v>43691.705520833333</v>
      </c>
      <c r="O125" t="s">
        <v>3357</v>
      </c>
      <c r="P125" t="s">
        <v>3318</v>
      </c>
      <c r="Q125" s="1">
        <v>2107.9160000000002</v>
      </c>
      <c r="R125" t="s">
        <v>3757</v>
      </c>
      <c r="S125" t="s">
        <v>3324</v>
      </c>
      <c r="T125">
        <f>MONTH(tbPedido[[#This Row],[Comprado Em]])</f>
        <v>8</v>
      </c>
    </row>
    <row r="126" spans="1:20" x14ac:dyDescent="0.3">
      <c r="A126" s="2">
        <v>506</v>
      </c>
      <c r="B126" t="s">
        <v>3620</v>
      </c>
      <c r="C126" t="s">
        <v>3219</v>
      </c>
      <c r="D126" s="2">
        <v>1</v>
      </c>
      <c r="E126" s="11" t="s">
        <v>3501</v>
      </c>
      <c r="F126" t="s">
        <v>47</v>
      </c>
      <c r="G126" s="2" t="s">
        <v>31</v>
      </c>
      <c r="H126" s="1">
        <v>142.994</v>
      </c>
      <c r="M126" s="2">
        <v>623</v>
      </c>
      <c r="N126" s="4">
        <v>43692.715381944443</v>
      </c>
      <c r="O126" t="s">
        <v>3351</v>
      </c>
      <c r="P126" t="s">
        <v>3311</v>
      </c>
      <c r="Q126" s="1">
        <v>1238.9280000000003</v>
      </c>
      <c r="R126" t="s">
        <v>3310</v>
      </c>
      <c r="S126" t="s">
        <v>3320</v>
      </c>
      <c r="T126">
        <f>MONTH(tbPedido[[#This Row],[Comprado Em]])</f>
        <v>8</v>
      </c>
    </row>
    <row r="127" spans="1:20" x14ac:dyDescent="0.3">
      <c r="A127" s="2">
        <v>506</v>
      </c>
      <c r="B127" t="s">
        <v>3619</v>
      </c>
      <c r="C127" t="s">
        <v>3224</v>
      </c>
      <c r="D127" s="2">
        <v>1</v>
      </c>
      <c r="E127" s="11" t="s">
        <v>3601</v>
      </c>
      <c r="F127" t="s">
        <v>47</v>
      </c>
      <c r="G127" s="2" t="s">
        <v>31</v>
      </c>
      <c r="H127" s="1">
        <v>100.59400000000001</v>
      </c>
      <c r="M127" s="2">
        <v>624</v>
      </c>
      <c r="N127" s="4">
        <v>43693.413981481484</v>
      </c>
      <c r="O127" t="s">
        <v>3402</v>
      </c>
      <c r="P127" t="s">
        <v>3311</v>
      </c>
      <c r="Q127" s="1">
        <v>1921.886</v>
      </c>
      <c r="R127" t="s">
        <v>3757</v>
      </c>
      <c r="S127" t="s">
        <v>3445</v>
      </c>
      <c r="T127">
        <f>MONTH(tbPedido[[#This Row],[Comprado Em]])</f>
        <v>8</v>
      </c>
    </row>
    <row r="128" spans="1:20" x14ac:dyDescent="0.3">
      <c r="A128" s="2">
        <v>506</v>
      </c>
      <c r="B128" t="s">
        <v>3618</v>
      </c>
      <c r="C128" t="s">
        <v>3</v>
      </c>
      <c r="D128" s="2">
        <v>1</v>
      </c>
      <c r="E128" s="11" t="s">
        <v>3082</v>
      </c>
      <c r="F128" t="s">
        <v>47</v>
      </c>
      <c r="G128" s="2" t="s">
        <v>31</v>
      </c>
      <c r="H128" s="1">
        <v>84.694000000000017</v>
      </c>
      <c r="M128" s="2">
        <v>625</v>
      </c>
      <c r="N128" s="4">
        <v>43693.525960648149</v>
      </c>
      <c r="O128" t="s">
        <v>3346</v>
      </c>
      <c r="P128" t="s">
        <v>3316</v>
      </c>
      <c r="Q128" s="1">
        <v>1673.1039999999998</v>
      </c>
      <c r="R128" t="s">
        <v>3310</v>
      </c>
      <c r="S128" t="s">
        <v>3445</v>
      </c>
      <c r="T128">
        <f>MONTH(tbPedido[[#This Row],[Comprado Em]])</f>
        <v>8</v>
      </c>
    </row>
    <row r="129" spans="1:20" x14ac:dyDescent="0.3">
      <c r="A129" s="2">
        <v>506</v>
      </c>
      <c r="B129" t="s">
        <v>3616</v>
      </c>
      <c r="C129" t="s">
        <v>3220</v>
      </c>
      <c r="D129" s="2">
        <v>1</v>
      </c>
      <c r="E129" s="11" t="s">
        <v>3597</v>
      </c>
      <c r="F129" t="s">
        <v>47</v>
      </c>
      <c r="G129" s="2" t="s">
        <v>31</v>
      </c>
      <c r="H129" s="1">
        <v>68.794000000000011</v>
      </c>
      <c r="M129" s="2">
        <v>626</v>
      </c>
      <c r="N129" s="4">
        <v>43693.586921296293</v>
      </c>
      <c r="O129" t="s">
        <v>3595</v>
      </c>
      <c r="P129" t="s">
        <v>3311</v>
      </c>
      <c r="Q129" s="1">
        <v>1031.4860000000001</v>
      </c>
      <c r="R129" t="s">
        <v>3415</v>
      </c>
      <c r="S129" t="s">
        <v>3309</v>
      </c>
      <c r="T129">
        <f>MONTH(tbPedido[[#This Row],[Comprado Em]])</f>
        <v>8</v>
      </c>
    </row>
    <row r="130" spans="1:20" x14ac:dyDescent="0.3">
      <c r="A130" s="2">
        <v>506</v>
      </c>
      <c r="B130" t="s">
        <v>3615</v>
      </c>
      <c r="C130" t="s">
        <v>1</v>
      </c>
      <c r="D130" s="2">
        <v>1</v>
      </c>
      <c r="E130" s="11" t="s">
        <v>3563</v>
      </c>
      <c r="F130" t="s">
        <v>47</v>
      </c>
      <c r="G130" s="2" t="s">
        <v>23</v>
      </c>
      <c r="H130" s="1">
        <v>63.494000000000007</v>
      </c>
      <c r="M130" s="2">
        <v>627</v>
      </c>
      <c r="N130" s="4">
        <v>43693.634074074071</v>
      </c>
      <c r="O130" t="s">
        <v>3345</v>
      </c>
      <c r="P130" t="s">
        <v>3311</v>
      </c>
      <c r="Q130" s="1">
        <v>1005.1980000000001</v>
      </c>
      <c r="R130" t="s">
        <v>3757</v>
      </c>
      <c r="S130" t="s">
        <v>3309</v>
      </c>
      <c r="T130">
        <f>MONTH(tbPedido[[#This Row],[Comprado Em]])</f>
        <v>8</v>
      </c>
    </row>
    <row r="131" spans="1:20" x14ac:dyDescent="0.3">
      <c r="A131" s="2">
        <v>506</v>
      </c>
      <c r="B131" t="s">
        <v>3613</v>
      </c>
      <c r="C131" t="s">
        <v>1</v>
      </c>
      <c r="D131" s="2">
        <v>1</v>
      </c>
      <c r="E131" s="11" t="s">
        <v>3612</v>
      </c>
      <c r="F131" t="s">
        <v>39</v>
      </c>
      <c r="G131" s="2" t="s">
        <v>23</v>
      </c>
      <c r="H131" s="1">
        <v>74.094000000000008</v>
      </c>
      <c r="M131" s="2">
        <v>628</v>
      </c>
      <c r="N131" s="4">
        <v>43693.645162037035</v>
      </c>
      <c r="O131" t="s">
        <v>3540</v>
      </c>
      <c r="P131" t="s">
        <v>3316</v>
      </c>
      <c r="Q131" s="1">
        <v>603.56400000000008</v>
      </c>
      <c r="R131" t="s">
        <v>3757</v>
      </c>
      <c r="S131" t="s">
        <v>3320</v>
      </c>
      <c r="T131">
        <f>MONTH(tbPedido[[#This Row],[Comprado Em]])</f>
        <v>8</v>
      </c>
    </row>
    <row r="132" spans="1:20" x14ac:dyDescent="0.3">
      <c r="A132" s="2">
        <v>506</v>
      </c>
      <c r="B132" t="s">
        <v>3610</v>
      </c>
      <c r="C132" t="s">
        <v>3</v>
      </c>
      <c r="D132" s="2">
        <v>1</v>
      </c>
      <c r="E132" s="11" t="s">
        <v>3609</v>
      </c>
      <c r="F132" t="s">
        <v>39</v>
      </c>
      <c r="G132" s="2" t="s">
        <v>23</v>
      </c>
      <c r="H132" s="1">
        <v>68.794000000000011</v>
      </c>
      <c r="M132" s="2">
        <v>629</v>
      </c>
      <c r="N132" s="4">
        <v>43695.918078703704</v>
      </c>
      <c r="O132" t="s">
        <v>3410</v>
      </c>
      <c r="P132" t="s">
        <v>3316</v>
      </c>
      <c r="Q132" s="1">
        <v>3228.1239999999998</v>
      </c>
      <c r="R132" t="s">
        <v>3310</v>
      </c>
      <c r="S132" t="s">
        <v>3434</v>
      </c>
      <c r="T132">
        <f>MONTH(tbPedido[[#This Row],[Comprado Em]])</f>
        <v>8</v>
      </c>
    </row>
    <row r="133" spans="1:20" x14ac:dyDescent="0.3">
      <c r="A133" s="2">
        <v>506</v>
      </c>
      <c r="B133" t="s">
        <v>3287</v>
      </c>
      <c r="C133" t="s">
        <v>1</v>
      </c>
      <c r="D133" s="2">
        <v>1</v>
      </c>
      <c r="E133" s="11" t="s">
        <v>3115</v>
      </c>
      <c r="F133" t="s">
        <v>81</v>
      </c>
      <c r="G133" s="2" t="s">
        <v>4</v>
      </c>
      <c r="H133" s="1">
        <v>79.394000000000005</v>
      </c>
      <c r="M133" s="2">
        <v>630</v>
      </c>
      <c r="N133" s="4">
        <v>43696.547349537039</v>
      </c>
      <c r="O133" t="s">
        <v>3519</v>
      </c>
      <c r="P133" t="s">
        <v>3316</v>
      </c>
      <c r="Q133" s="1">
        <v>5154.9920000000002</v>
      </c>
      <c r="R133" t="s">
        <v>3310</v>
      </c>
      <c r="S133" t="s">
        <v>3320</v>
      </c>
      <c r="T133">
        <f>MONTH(tbPedido[[#This Row],[Comprado Em]])</f>
        <v>8</v>
      </c>
    </row>
    <row r="134" spans="1:20" x14ac:dyDescent="0.3">
      <c r="A134" s="2">
        <v>506</v>
      </c>
      <c r="B134" t="s">
        <v>2820</v>
      </c>
      <c r="C134" t="s">
        <v>1</v>
      </c>
      <c r="D134" s="2">
        <v>1</v>
      </c>
      <c r="E134" s="11" t="s">
        <v>53</v>
      </c>
      <c r="F134" t="s">
        <v>1186</v>
      </c>
      <c r="G134" s="2" t="s">
        <v>4</v>
      </c>
      <c r="H134" s="1">
        <v>36.994</v>
      </c>
      <c r="M134" s="2">
        <v>631</v>
      </c>
      <c r="N134" s="4">
        <v>43696.590775462966</v>
      </c>
      <c r="O134" t="s">
        <v>3738</v>
      </c>
      <c r="P134" t="s">
        <v>3318</v>
      </c>
      <c r="Q134" s="1">
        <v>1301.9980000000005</v>
      </c>
      <c r="R134" t="s">
        <v>3757</v>
      </c>
      <c r="S134" t="s">
        <v>3434</v>
      </c>
      <c r="T134">
        <f>MONTH(tbPedido[[#This Row],[Comprado Em]])</f>
        <v>8</v>
      </c>
    </row>
    <row r="135" spans="1:20" x14ac:dyDescent="0.3">
      <c r="A135" s="2">
        <v>506</v>
      </c>
      <c r="B135" t="s">
        <v>3606</v>
      </c>
      <c r="C135" t="s">
        <v>3</v>
      </c>
      <c r="D135" s="2">
        <v>1</v>
      </c>
      <c r="E135" s="11" t="s">
        <v>3605</v>
      </c>
      <c r="F135" t="s">
        <v>28</v>
      </c>
      <c r="G135" s="2" t="s">
        <v>23</v>
      </c>
      <c r="H135" s="1">
        <v>95.294000000000011</v>
      </c>
      <c r="M135" s="2">
        <v>632</v>
      </c>
      <c r="N135" s="4">
        <v>43696.603506944448</v>
      </c>
      <c r="O135" t="s">
        <v>3524</v>
      </c>
      <c r="P135" t="s">
        <v>3318</v>
      </c>
      <c r="Q135" s="1">
        <v>946.89800000000002</v>
      </c>
      <c r="R135" t="s">
        <v>3310</v>
      </c>
      <c r="S135" t="s">
        <v>3320</v>
      </c>
      <c r="T135">
        <f>MONTH(tbPedido[[#This Row],[Comprado Em]])</f>
        <v>8</v>
      </c>
    </row>
    <row r="136" spans="1:20" x14ac:dyDescent="0.3">
      <c r="A136" s="2">
        <v>506</v>
      </c>
      <c r="B136" t="s">
        <v>3603</v>
      </c>
      <c r="C136" t="s">
        <v>3224</v>
      </c>
      <c r="D136" s="2">
        <v>1</v>
      </c>
      <c r="E136" s="11" t="s">
        <v>3550</v>
      </c>
      <c r="F136" t="s">
        <v>28</v>
      </c>
      <c r="G136" s="2" t="s">
        <v>23</v>
      </c>
      <c r="H136" s="1">
        <v>52.893999999999998</v>
      </c>
      <c r="M136" s="2">
        <v>633</v>
      </c>
      <c r="N136" s="4">
        <v>43696.709953703707</v>
      </c>
      <c r="O136" t="s">
        <v>3507</v>
      </c>
      <c r="P136" t="s">
        <v>3316</v>
      </c>
      <c r="Q136" s="1">
        <v>2207.6620000000003</v>
      </c>
      <c r="R136" t="s">
        <v>3757</v>
      </c>
      <c r="S136" t="s">
        <v>3331</v>
      </c>
      <c r="T136">
        <f>MONTH(tbPedido[[#This Row],[Comprado Em]])</f>
        <v>8</v>
      </c>
    </row>
    <row r="137" spans="1:20" x14ac:dyDescent="0.3">
      <c r="A137" s="2">
        <v>506</v>
      </c>
      <c r="B137" t="s">
        <v>3602</v>
      </c>
      <c r="C137" t="s">
        <v>3224</v>
      </c>
      <c r="D137" s="2">
        <v>2</v>
      </c>
      <c r="E137" s="11" t="s">
        <v>3601</v>
      </c>
      <c r="F137" t="s">
        <v>28</v>
      </c>
      <c r="G137" s="2" t="s">
        <v>23</v>
      </c>
      <c r="H137" s="1">
        <v>100.59400000000001</v>
      </c>
      <c r="M137" s="2">
        <v>634</v>
      </c>
      <c r="N137" s="4">
        <v>43698.406365740739</v>
      </c>
      <c r="O137" t="s">
        <v>3355</v>
      </c>
      <c r="P137" t="s">
        <v>3316</v>
      </c>
      <c r="Q137" s="1">
        <v>1567.5280000000002</v>
      </c>
      <c r="R137" t="s">
        <v>3315</v>
      </c>
      <c r="S137" t="s">
        <v>3320</v>
      </c>
      <c r="T137">
        <f>MONTH(tbPedido[[#This Row],[Comprado Em]])</f>
        <v>8</v>
      </c>
    </row>
    <row r="138" spans="1:20" x14ac:dyDescent="0.3">
      <c r="A138" s="2">
        <v>506</v>
      </c>
      <c r="B138" t="s">
        <v>3600</v>
      </c>
      <c r="C138" t="s">
        <v>3224</v>
      </c>
      <c r="D138" s="2">
        <v>1</v>
      </c>
      <c r="E138" s="11" t="s">
        <v>2563</v>
      </c>
      <c r="F138" t="s">
        <v>28</v>
      </c>
      <c r="G138" s="2" t="s">
        <v>23</v>
      </c>
      <c r="H138" s="1">
        <v>74.094000000000008</v>
      </c>
      <c r="M138" s="2">
        <v>635</v>
      </c>
      <c r="N138" s="4">
        <v>43698.59003472222</v>
      </c>
      <c r="O138" t="s">
        <v>3516</v>
      </c>
      <c r="P138" t="s">
        <v>3316</v>
      </c>
      <c r="Q138" s="1">
        <v>2599.8620000000001</v>
      </c>
      <c r="R138" t="s">
        <v>3315</v>
      </c>
      <c r="S138" t="s">
        <v>3309</v>
      </c>
      <c r="T138">
        <f>MONTH(tbPedido[[#This Row],[Comprado Em]])</f>
        <v>8</v>
      </c>
    </row>
    <row r="139" spans="1:20" x14ac:dyDescent="0.3">
      <c r="A139" s="2">
        <v>506</v>
      </c>
      <c r="B139" t="s">
        <v>3239</v>
      </c>
      <c r="C139" t="s">
        <v>3</v>
      </c>
      <c r="D139" s="2">
        <v>1</v>
      </c>
      <c r="E139" s="11" t="s">
        <v>2602</v>
      </c>
      <c r="F139" t="s">
        <v>28</v>
      </c>
      <c r="G139" s="2" t="s">
        <v>23</v>
      </c>
      <c r="H139" s="1">
        <v>100.59400000000001</v>
      </c>
      <c r="M139" s="2">
        <v>636</v>
      </c>
      <c r="N139" s="4">
        <v>43699.453750000001</v>
      </c>
      <c r="O139" t="s">
        <v>3517</v>
      </c>
      <c r="P139" t="s">
        <v>3318</v>
      </c>
      <c r="Q139" s="1">
        <v>1301.9980000000005</v>
      </c>
      <c r="R139" t="s">
        <v>3757</v>
      </c>
      <c r="S139" t="s">
        <v>3434</v>
      </c>
      <c r="T139">
        <f>MONTH(tbPedido[[#This Row],[Comprado Em]])</f>
        <v>8</v>
      </c>
    </row>
    <row r="140" spans="1:20" x14ac:dyDescent="0.3">
      <c r="A140" s="2">
        <v>506</v>
      </c>
      <c r="B140" t="s">
        <v>2970</v>
      </c>
      <c r="C140" t="s">
        <v>3224</v>
      </c>
      <c r="D140" s="2">
        <v>1</v>
      </c>
      <c r="E140" s="11" t="s">
        <v>2600</v>
      </c>
      <c r="F140" t="s">
        <v>28</v>
      </c>
      <c r="G140" s="2" t="s">
        <v>23</v>
      </c>
      <c r="H140" s="1">
        <v>42.294000000000004</v>
      </c>
      <c r="M140" s="2">
        <v>637</v>
      </c>
      <c r="N140" s="4">
        <v>43699.476886574077</v>
      </c>
      <c r="O140" t="s">
        <v>3627</v>
      </c>
      <c r="P140" t="s">
        <v>3318</v>
      </c>
      <c r="Q140" s="1">
        <v>1758.116</v>
      </c>
      <c r="R140" t="s">
        <v>3310</v>
      </c>
      <c r="S140" t="s">
        <v>3324</v>
      </c>
      <c r="T140">
        <f>MONTH(tbPedido[[#This Row],[Comprado Em]])</f>
        <v>8</v>
      </c>
    </row>
    <row r="141" spans="1:20" x14ac:dyDescent="0.3">
      <c r="A141" s="2">
        <v>506</v>
      </c>
      <c r="B141" t="s">
        <v>3598</v>
      </c>
      <c r="C141" t="s">
        <v>3220</v>
      </c>
      <c r="D141" s="2">
        <v>1</v>
      </c>
      <c r="E141" s="11" t="s">
        <v>3597</v>
      </c>
      <c r="F141" t="s">
        <v>28</v>
      </c>
      <c r="G141" s="2" t="s">
        <v>23</v>
      </c>
      <c r="H141" s="1">
        <v>68.794000000000011</v>
      </c>
      <c r="M141" s="2">
        <v>638</v>
      </c>
      <c r="N141" s="4">
        <v>43699.572662037041</v>
      </c>
      <c r="O141" t="s">
        <v>3731</v>
      </c>
      <c r="P141" t="s">
        <v>3318</v>
      </c>
      <c r="Q141" s="1">
        <v>1477.4280000000001</v>
      </c>
      <c r="R141" t="s">
        <v>3315</v>
      </c>
      <c r="S141" t="s">
        <v>3314</v>
      </c>
      <c r="T141">
        <f>MONTH(tbPedido[[#This Row],[Comprado Em]])</f>
        <v>8</v>
      </c>
    </row>
    <row r="142" spans="1:20" x14ac:dyDescent="0.3">
      <c r="A142" s="2">
        <v>507</v>
      </c>
      <c r="B142" t="s">
        <v>3596</v>
      </c>
      <c r="C142" t="s">
        <v>3219</v>
      </c>
      <c r="D142" s="2">
        <v>1</v>
      </c>
      <c r="E142" s="11" t="s">
        <v>3394</v>
      </c>
      <c r="F142" t="s">
        <v>55</v>
      </c>
      <c r="G142" s="2" t="s">
        <v>31</v>
      </c>
      <c r="H142" s="1">
        <v>100.59400000000001</v>
      </c>
      <c r="M142" s="2">
        <v>639</v>
      </c>
      <c r="N142" s="4">
        <v>43699.593842592592</v>
      </c>
      <c r="O142" t="s">
        <v>3335</v>
      </c>
      <c r="P142" t="s">
        <v>3318</v>
      </c>
      <c r="Q142" s="1">
        <v>889.02200000000028</v>
      </c>
      <c r="R142" t="s">
        <v>3757</v>
      </c>
      <c r="S142" t="s">
        <v>3320</v>
      </c>
      <c r="T142">
        <f>MONTH(tbPedido[[#This Row],[Comprado Em]])</f>
        <v>8</v>
      </c>
    </row>
    <row r="143" spans="1:20" x14ac:dyDescent="0.3">
      <c r="A143" s="2">
        <v>507</v>
      </c>
      <c r="B143" t="s">
        <v>3594</v>
      </c>
      <c r="C143" t="s">
        <v>3224</v>
      </c>
      <c r="D143" s="2">
        <v>1</v>
      </c>
      <c r="E143" s="11" t="s">
        <v>3436</v>
      </c>
      <c r="F143" t="s">
        <v>65</v>
      </c>
      <c r="G143" s="2" t="s">
        <v>23</v>
      </c>
      <c r="H143" s="1">
        <v>58.19400000000001</v>
      </c>
      <c r="M143" s="2">
        <v>640</v>
      </c>
      <c r="N143" s="4">
        <v>43700.405856481484</v>
      </c>
      <c r="O143" t="s">
        <v>3511</v>
      </c>
      <c r="P143" t="s">
        <v>3318</v>
      </c>
      <c r="Q143" s="1">
        <v>2497.4659999999999</v>
      </c>
      <c r="R143" t="s">
        <v>3315</v>
      </c>
      <c r="S143" t="s">
        <v>3405</v>
      </c>
      <c r="T143">
        <f>MONTH(tbPedido[[#This Row],[Comprado Em]])</f>
        <v>8</v>
      </c>
    </row>
    <row r="144" spans="1:20" x14ac:dyDescent="0.3">
      <c r="A144" s="2">
        <v>507</v>
      </c>
      <c r="B144" t="s">
        <v>3593</v>
      </c>
      <c r="C144" t="s">
        <v>3</v>
      </c>
      <c r="D144" s="2">
        <v>1</v>
      </c>
      <c r="E144" s="11" t="s">
        <v>3242</v>
      </c>
      <c r="F144" t="s">
        <v>65</v>
      </c>
      <c r="G144" s="2" t="s">
        <v>23</v>
      </c>
      <c r="H144" s="1">
        <v>95.294000000000011</v>
      </c>
      <c r="M144" s="2">
        <v>641</v>
      </c>
      <c r="N144" s="4">
        <v>43701.601944444446</v>
      </c>
      <c r="O144" t="s">
        <v>3709</v>
      </c>
      <c r="P144" t="s">
        <v>3318</v>
      </c>
      <c r="Q144" s="1">
        <v>3272.114</v>
      </c>
      <c r="R144" t="s">
        <v>3315</v>
      </c>
      <c r="S144" t="s">
        <v>3465</v>
      </c>
      <c r="T144">
        <f>MONTH(tbPedido[[#This Row],[Comprado Em]])</f>
        <v>8</v>
      </c>
    </row>
    <row r="145" spans="1:20" x14ac:dyDescent="0.3">
      <c r="A145" s="2">
        <v>507</v>
      </c>
      <c r="B145" t="s">
        <v>3592</v>
      </c>
      <c r="C145" t="s">
        <v>3220</v>
      </c>
      <c r="D145" s="2">
        <v>1</v>
      </c>
      <c r="E145" s="11" t="s">
        <v>3152</v>
      </c>
      <c r="F145" t="s">
        <v>65</v>
      </c>
      <c r="G145" s="2" t="s">
        <v>4</v>
      </c>
      <c r="H145" s="1">
        <v>47.594000000000001</v>
      </c>
      <c r="M145" s="2">
        <v>642</v>
      </c>
      <c r="N145" s="4">
        <v>43702.443645833337</v>
      </c>
      <c r="O145" t="s">
        <v>3348</v>
      </c>
      <c r="P145" t="s">
        <v>3318</v>
      </c>
      <c r="Q145" s="1">
        <v>1827.2280000000001</v>
      </c>
      <c r="R145" t="s">
        <v>3310</v>
      </c>
      <c r="S145" t="s">
        <v>3342</v>
      </c>
      <c r="T145">
        <f>MONTH(tbPedido[[#This Row],[Comprado Em]])</f>
        <v>8</v>
      </c>
    </row>
    <row r="146" spans="1:20" x14ac:dyDescent="0.3">
      <c r="A146" s="2">
        <v>507</v>
      </c>
      <c r="B146" t="s">
        <v>3591</v>
      </c>
      <c r="C146" t="s">
        <v>3</v>
      </c>
      <c r="D146" s="2">
        <v>1</v>
      </c>
      <c r="E146" s="11" t="s">
        <v>3149</v>
      </c>
      <c r="F146" t="s">
        <v>65</v>
      </c>
      <c r="G146" s="2" t="s">
        <v>4</v>
      </c>
      <c r="H146" s="1">
        <v>100.59400000000001</v>
      </c>
      <c r="M146" s="2">
        <v>643</v>
      </c>
      <c r="N146" s="4">
        <v>43702.706967592596</v>
      </c>
      <c r="O146" t="s">
        <v>3449</v>
      </c>
      <c r="P146" t="s">
        <v>3316</v>
      </c>
      <c r="Q146" s="1">
        <v>4622.9780000000019</v>
      </c>
      <c r="R146" t="s">
        <v>3310</v>
      </c>
      <c r="S146" t="s">
        <v>3320</v>
      </c>
      <c r="T146">
        <f>MONTH(tbPedido[[#This Row],[Comprado Em]])</f>
        <v>8</v>
      </c>
    </row>
    <row r="147" spans="1:20" x14ac:dyDescent="0.3">
      <c r="A147" s="2">
        <v>507</v>
      </c>
      <c r="B147" t="s">
        <v>3590</v>
      </c>
      <c r="C147" t="s">
        <v>3224</v>
      </c>
      <c r="D147" s="2">
        <v>1</v>
      </c>
      <c r="E147" s="11" t="s">
        <v>3588</v>
      </c>
      <c r="F147" t="s">
        <v>114</v>
      </c>
      <c r="G147" s="2" t="s">
        <v>4</v>
      </c>
      <c r="H147" s="1">
        <v>100.59400000000001</v>
      </c>
      <c r="M147" s="2">
        <v>644</v>
      </c>
      <c r="N147" s="4">
        <v>43702.722048611111</v>
      </c>
      <c r="O147" t="s">
        <v>3723</v>
      </c>
      <c r="P147" t="s">
        <v>3311</v>
      </c>
      <c r="Q147" s="1">
        <v>2233.8440000000005</v>
      </c>
      <c r="R147" t="s">
        <v>3310</v>
      </c>
      <c r="S147" t="s">
        <v>3445</v>
      </c>
      <c r="T147">
        <f>MONTH(tbPedido[[#This Row],[Comprado Em]])</f>
        <v>8</v>
      </c>
    </row>
    <row r="148" spans="1:20" x14ac:dyDescent="0.3">
      <c r="A148" s="2">
        <v>507</v>
      </c>
      <c r="B148" t="s">
        <v>3589</v>
      </c>
      <c r="C148" t="s">
        <v>3224</v>
      </c>
      <c r="D148" s="2">
        <v>1</v>
      </c>
      <c r="E148" s="11" t="s">
        <v>3588</v>
      </c>
      <c r="F148" t="s">
        <v>114</v>
      </c>
      <c r="G148" s="2" t="s">
        <v>31</v>
      </c>
      <c r="H148" s="1">
        <v>100.59400000000001</v>
      </c>
      <c r="M148" s="2">
        <v>645</v>
      </c>
      <c r="N148" s="4">
        <v>43703.385960648149</v>
      </c>
      <c r="O148" t="s">
        <v>3408</v>
      </c>
      <c r="P148" t="s">
        <v>3318</v>
      </c>
      <c r="Q148" s="1">
        <v>1514.21</v>
      </c>
      <c r="R148" t="s">
        <v>3310</v>
      </c>
      <c r="S148" t="s">
        <v>3485</v>
      </c>
      <c r="T148">
        <f>MONTH(tbPedido[[#This Row],[Comprado Em]])</f>
        <v>8</v>
      </c>
    </row>
    <row r="149" spans="1:20" x14ac:dyDescent="0.3">
      <c r="A149" s="2">
        <v>507</v>
      </c>
      <c r="B149" t="s">
        <v>3222</v>
      </c>
      <c r="C149" t="s">
        <v>0</v>
      </c>
      <c r="D149" s="2">
        <v>1</v>
      </c>
      <c r="E149" s="11" t="s">
        <v>3089</v>
      </c>
      <c r="F149" t="s">
        <v>254</v>
      </c>
      <c r="G149" s="2" t="s">
        <v>4</v>
      </c>
      <c r="H149" s="1">
        <v>195.99400000000003</v>
      </c>
      <c r="M149" s="2">
        <v>646</v>
      </c>
      <c r="N149" s="4">
        <v>43703.460127314815</v>
      </c>
      <c r="O149" t="s">
        <v>3475</v>
      </c>
      <c r="P149" t="s">
        <v>3316</v>
      </c>
      <c r="Q149" s="1">
        <v>1773.2740000000001</v>
      </c>
      <c r="R149" t="s">
        <v>3315</v>
      </c>
      <c r="S149" t="s">
        <v>3320</v>
      </c>
      <c r="T149">
        <f>MONTH(tbPedido[[#This Row],[Comprado Em]])</f>
        <v>8</v>
      </c>
    </row>
    <row r="150" spans="1:20" x14ac:dyDescent="0.3">
      <c r="A150" s="2">
        <v>507</v>
      </c>
      <c r="B150" t="s">
        <v>3179</v>
      </c>
      <c r="C150" t="s">
        <v>3224</v>
      </c>
      <c r="D150" s="2">
        <v>1</v>
      </c>
      <c r="E150" s="11" t="s">
        <v>3167</v>
      </c>
      <c r="F150" t="s">
        <v>62</v>
      </c>
      <c r="G150" s="2" t="s">
        <v>23</v>
      </c>
      <c r="H150" s="1">
        <v>105.89400000000001</v>
      </c>
      <c r="M150" s="2">
        <v>647</v>
      </c>
      <c r="N150" s="4">
        <v>43703.460393518515</v>
      </c>
      <c r="O150" t="s">
        <v>3386</v>
      </c>
      <c r="P150" t="s">
        <v>3316</v>
      </c>
      <c r="Q150" s="1">
        <v>4696.648000000002</v>
      </c>
      <c r="R150" t="s">
        <v>3757</v>
      </c>
      <c r="S150" t="s">
        <v>3309</v>
      </c>
      <c r="T150">
        <f>MONTH(tbPedido[[#This Row],[Comprado Em]])</f>
        <v>8</v>
      </c>
    </row>
    <row r="151" spans="1:20" x14ac:dyDescent="0.3">
      <c r="A151" s="2">
        <v>507</v>
      </c>
      <c r="B151" t="s">
        <v>3586</v>
      </c>
      <c r="C151" t="s">
        <v>1</v>
      </c>
      <c r="D151" s="2">
        <v>1</v>
      </c>
      <c r="E151" s="11" t="s">
        <v>3248</v>
      </c>
      <c r="F151" t="s">
        <v>28</v>
      </c>
      <c r="G151" s="2" t="s">
        <v>4</v>
      </c>
      <c r="H151" s="1">
        <v>63.494000000000007</v>
      </c>
      <c r="M151" s="2">
        <v>648</v>
      </c>
      <c r="N151" s="4">
        <v>43703.52579861111</v>
      </c>
      <c r="O151" t="s">
        <v>3534</v>
      </c>
      <c r="P151" t="s">
        <v>3316</v>
      </c>
      <c r="Q151" s="1">
        <v>3659.5440000000008</v>
      </c>
      <c r="R151" t="s">
        <v>3315</v>
      </c>
      <c r="S151" t="s">
        <v>3314</v>
      </c>
      <c r="T151">
        <f>MONTH(tbPedido[[#This Row],[Comprado Em]])</f>
        <v>8</v>
      </c>
    </row>
    <row r="152" spans="1:20" x14ac:dyDescent="0.3">
      <c r="A152" s="2">
        <v>507</v>
      </c>
      <c r="B152" t="s">
        <v>3369</v>
      </c>
      <c r="C152" t="s">
        <v>3224</v>
      </c>
      <c r="D152" s="2">
        <v>1</v>
      </c>
      <c r="E152" s="11" t="s">
        <v>3368</v>
      </c>
      <c r="F152" t="s">
        <v>254</v>
      </c>
      <c r="G152" s="2" t="s">
        <v>4</v>
      </c>
      <c r="H152" s="1">
        <v>79.394000000000005</v>
      </c>
      <c r="M152" s="2">
        <v>649</v>
      </c>
      <c r="N152" s="4">
        <v>43703.547453703701</v>
      </c>
      <c r="O152" t="s">
        <v>3736</v>
      </c>
      <c r="P152" t="s">
        <v>3318</v>
      </c>
      <c r="Q152" s="1">
        <v>2070.6040000000003</v>
      </c>
      <c r="R152" t="s">
        <v>3315</v>
      </c>
      <c r="S152" t="s">
        <v>3314</v>
      </c>
      <c r="T152">
        <f>MONTH(tbPedido[[#This Row],[Comprado Em]])</f>
        <v>8</v>
      </c>
    </row>
    <row r="153" spans="1:20" x14ac:dyDescent="0.3">
      <c r="A153" s="2">
        <v>507</v>
      </c>
      <c r="B153" t="s">
        <v>3307</v>
      </c>
      <c r="C153" t="s">
        <v>3219</v>
      </c>
      <c r="D153" s="2">
        <v>1</v>
      </c>
      <c r="E153" s="11" t="s">
        <v>3012</v>
      </c>
      <c r="F153" t="s">
        <v>254</v>
      </c>
      <c r="G153" s="2" t="s">
        <v>4</v>
      </c>
      <c r="H153" s="1">
        <v>137.69400000000002</v>
      </c>
      <c r="M153" s="2">
        <v>650</v>
      </c>
      <c r="N153" s="4">
        <v>43703.693113425928</v>
      </c>
      <c r="O153" t="s">
        <v>3319</v>
      </c>
      <c r="P153" t="s">
        <v>3316</v>
      </c>
      <c r="Q153" s="1">
        <v>2928.038</v>
      </c>
      <c r="R153" t="s">
        <v>3310</v>
      </c>
      <c r="S153" t="s">
        <v>3314</v>
      </c>
      <c r="T153">
        <f>MONTH(tbPedido[[#This Row],[Comprado Em]])</f>
        <v>8</v>
      </c>
    </row>
    <row r="154" spans="1:20" x14ac:dyDescent="0.3">
      <c r="A154" s="2">
        <v>507</v>
      </c>
      <c r="B154" t="s">
        <v>3585</v>
      </c>
      <c r="C154" t="s">
        <v>1</v>
      </c>
      <c r="D154" s="2">
        <v>2</v>
      </c>
      <c r="E154" s="11" t="s">
        <v>3582</v>
      </c>
      <c r="F154" t="s">
        <v>47</v>
      </c>
      <c r="G154" s="2" t="s">
        <v>4</v>
      </c>
      <c r="H154" s="1">
        <v>63.494</v>
      </c>
      <c r="M154" s="2">
        <v>651</v>
      </c>
      <c r="N154" s="4">
        <v>43703.769513888888</v>
      </c>
      <c r="O154" t="s">
        <v>3430</v>
      </c>
      <c r="P154" t="s">
        <v>3311</v>
      </c>
      <c r="Q154" s="1">
        <v>1821.5040000000004</v>
      </c>
      <c r="R154" t="s">
        <v>3315</v>
      </c>
      <c r="S154" t="s">
        <v>3309</v>
      </c>
      <c r="T154">
        <f>MONTH(tbPedido[[#This Row],[Comprado Em]])</f>
        <v>8</v>
      </c>
    </row>
    <row r="155" spans="1:20" x14ac:dyDescent="0.3">
      <c r="A155" s="2">
        <v>507</v>
      </c>
      <c r="B155" t="s">
        <v>3583</v>
      </c>
      <c r="C155" t="s">
        <v>1</v>
      </c>
      <c r="D155" s="2">
        <v>1</v>
      </c>
      <c r="E155" s="11" t="s">
        <v>3582</v>
      </c>
      <c r="F155" t="s">
        <v>47</v>
      </c>
      <c r="G155" s="2" t="s">
        <v>23</v>
      </c>
      <c r="H155" s="1">
        <v>63.494</v>
      </c>
      <c r="M155" s="2">
        <v>652</v>
      </c>
      <c r="N155" s="4">
        <v>43704.583726851852</v>
      </c>
      <c r="O155" t="s">
        <v>3668</v>
      </c>
      <c r="P155" t="s">
        <v>3316</v>
      </c>
      <c r="Q155" s="1">
        <v>1985.7940000000001</v>
      </c>
      <c r="R155" t="s">
        <v>3315</v>
      </c>
      <c r="S155" t="s">
        <v>3309</v>
      </c>
      <c r="T155">
        <f>MONTH(tbPedido[[#This Row],[Comprado Em]])</f>
        <v>8</v>
      </c>
    </row>
    <row r="156" spans="1:20" x14ac:dyDescent="0.3">
      <c r="A156" s="2">
        <v>507</v>
      </c>
      <c r="B156" t="s">
        <v>3560</v>
      </c>
      <c r="C156" t="s">
        <v>3219</v>
      </c>
      <c r="D156" s="2">
        <v>2</v>
      </c>
      <c r="E156" s="11" t="s">
        <v>3076</v>
      </c>
      <c r="F156" t="s">
        <v>47</v>
      </c>
      <c r="G156" s="2" t="s">
        <v>4</v>
      </c>
      <c r="H156" s="1">
        <v>127.09400000000001</v>
      </c>
      <c r="M156" s="2">
        <v>653</v>
      </c>
      <c r="N156" s="4">
        <v>43704.625300925924</v>
      </c>
      <c r="O156" t="s">
        <v>3403</v>
      </c>
      <c r="P156" t="s">
        <v>3316</v>
      </c>
      <c r="Q156" s="1">
        <v>1493.6460000000002</v>
      </c>
      <c r="R156" t="s">
        <v>3310</v>
      </c>
      <c r="S156" t="s">
        <v>3320</v>
      </c>
      <c r="T156">
        <f>MONTH(tbPedido[[#This Row],[Comprado Em]])</f>
        <v>8</v>
      </c>
    </row>
    <row r="157" spans="1:20" x14ac:dyDescent="0.3">
      <c r="A157" s="2">
        <v>507</v>
      </c>
      <c r="B157" t="s">
        <v>3581</v>
      </c>
      <c r="C157" t="s">
        <v>3219</v>
      </c>
      <c r="D157" s="2">
        <v>1</v>
      </c>
      <c r="E157" s="11" t="s">
        <v>2271</v>
      </c>
      <c r="F157" t="s">
        <v>28</v>
      </c>
      <c r="G157" s="2" t="s">
        <v>23</v>
      </c>
      <c r="H157" s="1">
        <v>121.79400000000001</v>
      </c>
      <c r="M157" s="2">
        <v>654</v>
      </c>
      <c r="N157" s="4">
        <v>43704.721562500003</v>
      </c>
      <c r="O157" t="s">
        <v>3374</v>
      </c>
      <c r="P157" t="s">
        <v>3318</v>
      </c>
      <c r="Q157" s="1">
        <v>1429.7280000000001</v>
      </c>
      <c r="R157" t="s">
        <v>3310</v>
      </c>
      <c r="S157" t="s">
        <v>3392</v>
      </c>
      <c r="T157">
        <f>MONTH(tbPedido[[#This Row],[Comprado Em]])</f>
        <v>8</v>
      </c>
    </row>
    <row r="158" spans="1:20" x14ac:dyDescent="0.3">
      <c r="A158" s="2">
        <v>507</v>
      </c>
      <c r="B158" t="s">
        <v>3579</v>
      </c>
      <c r="C158" t="s">
        <v>3224</v>
      </c>
      <c r="D158" s="2">
        <v>1</v>
      </c>
      <c r="E158" s="11" t="s">
        <v>3578</v>
      </c>
      <c r="F158" t="s">
        <v>28</v>
      </c>
      <c r="G158" s="2" t="s">
        <v>31</v>
      </c>
      <c r="H158" s="1">
        <v>63.494000000000007</v>
      </c>
      <c r="M158" s="2">
        <v>655</v>
      </c>
      <c r="N158" s="4">
        <v>43704.858831018515</v>
      </c>
      <c r="O158" t="s">
        <v>3402</v>
      </c>
      <c r="P158" t="s">
        <v>3316</v>
      </c>
      <c r="Q158" s="1">
        <v>1376.7280000000001</v>
      </c>
      <c r="R158" t="s">
        <v>3310</v>
      </c>
      <c r="S158" t="s">
        <v>3320</v>
      </c>
      <c r="T158">
        <f>MONTH(tbPedido[[#This Row],[Comprado Em]])</f>
        <v>8</v>
      </c>
    </row>
    <row r="159" spans="1:20" x14ac:dyDescent="0.3">
      <c r="A159" s="2">
        <v>507</v>
      </c>
      <c r="B159" t="s">
        <v>3577</v>
      </c>
      <c r="C159" t="s">
        <v>3</v>
      </c>
      <c r="D159" s="2">
        <v>1</v>
      </c>
      <c r="E159" s="11" t="s">
        <v>3576</v>
      </c>
      <c r="F159" t="s">
        <v>28</v>
      </c>
      <c r="G159" s="2" t="s">
        <v>31</v>
      </c>
      <c r="H159" s="1">
        <v>68.794000000000011</v>
      </c>
      <c r="M159" s="2">
        <v>656</v>
      </c>
      <c r="N159" s="4">
        <v>43705.479872685188</v>
      </c>
      <c r="O159" t="s">
        <v>3355</v>
      </c>
      <c r="P159" t="s">
        <v>3311</v>
      </c>
      <c r="Q159" s="1">
        <v>1102.424</v>
      </c>
      <c r="R159" t="s">
        <v>3310</v>
      </c>
      <c r="S159" t="s">
        <v>3574</v>
      </c>
      <c r="T159">
        <f>MONTH(tbPedido[[#This Row],[Comprado Em]])</f>
        <v>8</v>
      </c>
    </row>
    <row r="160" spans="1:20" x14ac:dyDescent="0.3">
      <c r="A160" s="2">
        <v>507</v>
      </c>
      <c r="B160" t="s">
        <v>3573</v>
      </c>
      <c r="C160" t="s">
        <v>3219</v>
      </c>
      <c r="D160" s="2">
        <v>1</v>
      </c>
      <c r="E160" s="11" t="s">
        <v>3076</v>
      </c>
      <c r="F160" t="s">
        <v>28</v>
      </c>
      <c r="G160" s="2" t="s">
        <v>31</v>
      </c>
      <c r="H160" s="1">
        <v>127.09400000000001</v>
      </c>
      <c r="M160" s="2">
        <v>657</v>
      </c>
      <c r="N160" s="4">
        <v>43705.612500000003</v>
      </c>
      <c r="O160" t="s">
        <v>3626</v>
      </c>
      <c r="P160" t="s">
        <v>3318</v>
      </c>
      <c r="Q160" s="1">
        <v>1381.922</v>
      </c>
      <c r="R160" t="s">
        <v>3315</v>
      </c>
      <c r="S160" t="s">
        <v>3314</v>
      </c>
      <c r="T160">
        <f>MONTH(tbPedido[[#This Row],[Comprado Em]])</f>
        <v>8</v>
      </c>
    </row>
    <row r="161" spans="1:20" x14ac:dyDescent="0.3">
      <c r="A161" s="2">
        <v>508</v>
      </c>
      <c r="B161" t="s">
        <v>3160</v>
      </c>
      <c r="C161" t="s">
        <v>3220</v>
      </c>
      <c r="D161" s="2">
        <v>1</v>
      </c>
      <c r="E161" s="11" t="s">
        <v>3152</v>
      </c>
      <c r="F161" t="s">
        <v>55</v>
      </c>
      <c r="G161" s="2" t="s">
        <v>31</v>
      </c>
      <c r="H161" s="1">
        <v>47.594000000000001</v>
      </c>
      <c r="M161" s="2">
        <v>658</v>
      </c>
      <c r="N161" s="4">
        <v>43707.8437037037</v>
      </c>
      <c r="O161" t="s">
        <v>3336</v>
      </c>
      <c r="P161" t="s">
        <v>3318</v>
      </c>
      <c r="Q161" s="1">
        <v>2306.5599999999995</v>
      </c>
      <c r="R161" t="s">
        <v>3415</v>
      </c>
      <c r="S161" t="s">
        <v>3405</v>
      </c>
      <c r="T161">
        <f>MONTH(tbPedido[[#This Row],[Comprado Em]])</f>
        <v>8</v>
      </c>
    </row>
    <row r="162" spans="1:20" x14ac:dyDescent="0.3">
      <c r="A162" s="2">
        <v>508</v>
      </c>
      <c r="B162" t="s">
        <v>3572</v>
      </c>
      <c r="C162" t="s">
        <v>3219</v>
      </c>
      <c r="D162" s="2">
        <v>1</v>
      </c>
      <c r="E162" s="11" t="s">
        <v>3419</v>
      </c>
      <c r="F162" t="s">
        <v>65</v>
      </c>
      <c r="G162" s="2" t="s">
        <v>4</v>
      </c>
      <c r="H162" s="1">
        <v>142.994</v>
      </c>
      <c r="M162" s="2">
        <v>659</v>
      </c>
      <c r="N162" s="4">
        <v>43708.638761574075</v>
      </c>
      <c r="O162" t="s">
        <v>3348</v>
      </c>
      <c r="P162" t="s">
        <v>3316</v>
      </c>
      <c r="Q162" s="1">
        <v>2794.0680000000007</v>
      </c>
      <c r="R162" t="s">
        <v>3757</v>
      </c>
      <c r="S162" t="s">
        <v>3309</v>
      </c>
      <c r="T162">
        <f>MONTH(tbPedido[[#This Row],[Comprado Em]])</f>
        <v>8</v>
      </c>
    </row>
    <row r="163" spans="1:20" x14ac:dyDescent="0.3">
      <c r="A163" s="2">
        <v>508</v>
      </c>
      <c r="B163" t="s">
        <v>3571</v>
      </c>
      <c r="C163" t="s">
        <v>3</v>
      </c>
      <c r="D163" s="2">
        <v>1</v>
      </c>
      <c r="E163" s="11" t="s">
        <v>3570</v>
      </c>
      <c r="F163" t="s">
        <v>126</v>
      </c>
      <c r="G163" s="2" t="s">
        <v>4</v>
      </c>
      <c r="H163" s="1">
        <v>47.594000000000001</v>
      </c>
      <c r="M163" s="2">
        <v>660</v>
      </c>
      <c r="N163" s="4">
        <v>43708.647893518515</v>
      </c>
      <c r="O163" t="s">
        <v>3496</v>
      </c>
      <c r="P163" t="s">
        <v>3316</v>
      </c>
      <c r="Q163" s="1">
        <v>926.22800000000018</v>
      </c>
      <c r="R163" t="s">
        <v>3310</v>
      </c>
      <c r="S163" t="s">
        <v>3568</v>
      </c>
      <c r="T163">
        <f>MONTH(tbPedido[[#This Row],[Comprado Em]])</f>
        <v>8</v>
      </c>
    </row>
    <row r="164" spans="1:20" x14ac:dyDescent="0.3">
      <c r="A164" s="2">
        <v>508</v>
      </c>
      <c r="B164" t="s">
        <v>3567</v>
      </c>
      <c r="C164" t="s">
        <v>3</v>
      </c>
      <c r="D164" s="2">
        <v>1</v>
      </c>
      <c r="E164" s="11" t="s">
        <v>3566</v>
      </c>
      <c r="F164" t="s">
        <v>81</v>
      </c>
      <c r="G164" s="2" t="s">
        <v>31</v>
      </c>
      <c r="H164" s="1">
        <v>68.794000000000011</v>
      </c>
      <c r="M164" s="2">
        <v>661</v>
      </c>
      <c r="N164" s="4">
        <v>43708.691666666666</v>
      </c>
      <c r="O164" t="s">
        <v>3332</v>
      </c>
      <c r="P164" t="s">
        <v>3311</v>
      </c>
      <c r="Q164" s="1">
        <v>2148.6800000000003</v>
      </c>
      <c r="R164" t="s">
        <v>3310</v>
      </c>
      <c r="S164" t="s">
        <v>3309</v>
      </c>
      <c r="T164">
        <f>MONTH(tbPedido[[#This Row],[Comprado Em]])</f>
        <v>8</v>
      </c>
    </row>
    <row r="165" spans="1:20" x14ac:dyDescent="0.3">
      <c r="A165" s="2">
        <v>508</v>
      </c>
      <c r="B165" t="s">
        <v>3565</v>
      </c>
      <c r="C165" t="s">
        <v>3224</v>
      </c>
      <c r="D165" s="2">
        <v>1</v>
      </c>
      <c r="E165" s="11" t="s">
        <v>2563</v>
      </c>
      <c r="F165" t="s">
        <v>62</v>
      </c>
      <c r="G165" s="2" t="s">
        <v>31</v>
      </c>
      <c r="H165" s="1">
        <v>74.094000000000008</v>
      </c>
      <c r="M165" s="2">
        <v>662</v>
      </c>
      <c r="N165" s="4">
        <v>43708.710266203707</v>
      </c>
      <c r="O165" t="s">
        <v>3346</v>
      </c>
      <c r="P165" t="s">
        <v>3316</v>
      </c>
      <c r="Q165" s="1">
        <v>1216.7280000000003</v>
      </c>
      <c r="R165" t="s">
        <v>3757</v>
      </c>
      <c r="S165" t="s">
        <v>3320</v>
      </c>
      <c r="T165">
        <f>MONTH(tbPedido[[#This Row],[Comprado Em]])</f>
        <v>8</v>
      </c>
    </row>
    <row r="166" spans="1:20" x14ac:dyDescent="0.3">
      <c r="A166" s="2">
        <v>508</v>
      </c>
      <c r="B166" t="s">
        <v>3564</v>
      </c>
      <c r="C166" t="s">
        <v>3224</v>
      </c>
      <c r="D166" s="2">
        <v>1</v>
      </c>
      <c r="E166" s="11" t="s">
        <v>3167</v>
      </c>
      <c r="F166" t="s">
        <v>62</v>
      </c>
      <c r="G166" s="2" t="s">
        <v>31</v>
      </c>
      <c r="H166" s="1">
        <v>105.89400000000001</v>
      </c>
      <c r="M166" s="2">
        <v>663</v>
      </c>
      <c r="N166" s="4">
        <v>43709.654097222221</v>
      </c>
      <c r="O166" t="s">
        <v>3418</v>
      </c>
      <c r="P166" t="s">
        <v>3318</v>
      </c>
      <c r="Q166" s="1">
        <v>1286.4160000000002</v>
      </c>
      <c r="R166" t="s">
        <v>3310</v>
      </c>
      <c r="S166" t="s">
        <v>3342</v>
      </c>
      <c r="T166">
        <f>MONTH(tbPedido[[#This Row],[Comprado Em]])</f>
        <v>9</v>
      </c>
    </row>
    <row r="167" spans="1:20" x14ac:dyDescent="0.3">
      <c r="A167" s="2">
        <v>508</v>
      </c>
      <c r="B167" t="s">
        <v>3296</v>
      </c>
      <c r="C167" t="s">
        <v>3220</v>
      </c>
      <c r="D167" s="2">
        <v>1</v>
      </c>
      <c r="E167" s="11" t="s">
        <v>3295</v>
      </c>
      <c r="F167" t="s">
        <v>62</v>
      </c>
      <c r="G167" s="2" t="s">
        <v>31</v>
      </c>
      <c r="H167" s="1">
        <v>42.294000000000004</v>
      </c>
      <c r="M167" s="2">
        <v>664</v>
      </c>
      <c r="N167" s="4">
        <v>43709.912118055552</v>
      </c>
      <c r="O167" t="s">
        <v>3383</v>
      </c>
      <c r="P167" t="s">
        <v>3311</v>
      </c>
      <c r="Q167" s="1">
        <v>1948.5980000000004</v>
      </c>
      <c r="R167" t="s">
        <v>3310</v>
      </c>
      <c r="S167" t="s">
        <v>3320</v>
      </c>
      <c r="T167">
        <f>MONTH(tbPedido[[#This Row],[Comprado Em]])</f>
        <v>9</v>
      </c>
    </row>
    <row r="168" spans="1:20" x14ac:dyDescent="0.3">
      <c r="A168" s="2">
        <v>508</v>
      </c>
      <c r="B168" t="s">
        <v>2102</v>
      </c>
      <c r="C168" t="s">
        <v>2</v>
      </c>
      <c r="D168" s="2">
        <v>1</v>
      </c>
      <c r="E168" s="11" t="s">
        <v>2081</v>
      </c>
      <c r="F168" t="s">
        <v>28</v>
      </c>
      <c r="G168" s="2" t="s">
        <v>4</v>
      </c>
      <c r="H168" s="1">
        <v>74.094000000000008</v>
      </c>
      <c r="M168" s="2">
        <v>665</v>
      </c>
      <c r="N168" s="4">
        <v>43709.999699074076</v>
      </c>
      <c r="O168" t="s">
        <v>3355</v>
      </c>
      <c r="P168" t="s">
        <v>3318</v>
      </c>
      <c r="Q168" s="1">
        <v>2208.5100000000002</v>
      </c>
      <c r="R168" t="s">
        <v>3315</v>
      </c>
      <c r="S168" t="s">
        <v>3465</v>
      </c>
      <c r="T168">
        <f>MONTH(tbPedido[[#This Row],[Comprado Em]])</f>
        <v>9</v>
      </c>
    </row>
    <row r="169" spans="1:20" x14ac:dyDescent="0.3">
      <c r="A169" s="2">
        <v>508</v>
      </c>
      <c r="B169" t="s">
        <v>3562</v>
      </c>
      <c r="C169" t="s">
        <v>3</v>
      </c>
      <c r="D169" s="2">
        <v>1</v>
      </c>
      <c r="E169" s="11" t="s">
        <v>3252</v>
      </c>
      <c r="F169" t="s">
        <v>78</v>
      </c>
      <c r="G169" s="2" t="s">
        <v>31</v>
      </c>
      <c r="H169" s="1">
        <v>95.294000000000011</v>
      </c>
      <c r="M169" s="2">
        <v>666</v>
      </c>
      <c r="N169" s="4">
        <v>43711.456307870372</v>
      </c>
      <c r="O169" t="s">
        <v>3355</v>
      </c>
      <c r="P169" t="s">
        <v>3316</v>
      </c>
      <c r="Q169" s="1">
        <v>8212.6679999999978</v>
      </c>
      <c r="R169" t="s">
        <v>3310</v>
      </c>
      <c r="S169" t="s">
        <v>3331</v>
      </c>
      <c r="T169">
        <f>MONTH(tbPedido[[#This Row],[Comprado Em]])</f>
        <v>9</v>
      </c>
    </row>
    <row r="170" spans="1:20" x14ac:dyDescent="0.3">
      <c r="A170" s="2">
        <v>508</v>
      </c>
      <c r="B170" t="s">
        <v>3560</v>
      </c>
      <c r="C170" t="s">
        <v>3219</v>
      </c>
      <c r="D170" s="2">
        <v>1</v>
      </c>
      <c r="E170" s="11" t="s">
        <v>3076</v>
      </c>
      <c r="F170" t="s">
        <v>47</v>
      </c>
      <c r="G170" s="2" t="s">
        <v>4</v>
      </c>
      <c r="H170" s="1">
        <v>127.09400000000001</v>
      </c>
      <c r="M170" s="2">
        <v>667</v>
      </c>
      <c r="N170" s="4">
        <v>43711.544976851852</v>
      </c>
      <c r="O170" t="s">
        <v>3332</v>
      </c>
      <c r="P170" t="s">
        <v>3318</v>
      </c>
      <c r="Q170" s="1">
        <v>1461.422</v>
      </c>
      <c r="R170" t="s">
        <v>3315</v>
      </c>
      <c r="S170" t="s">
        <v>3314</v>
      </c>
      <c r="T170">
        <f>MONTH(tbPedido[[#This Row],[Comprado Em]])</f>
        <v>9</v>
      </c>
    </row>
    <row r="171" spans="1:20" x14ac:dyDescent="0.3">
      <c r="A171" s="2">
        <v>508</v>
      </c>
      <c r="B171" t="s">
        <v>3559</v>
      </c>
      <c r="C171" t="s">
        <v>3217</v>
      </c>
      <c r="D171" s="2">
        <v>1</v>
      </c>
      <c r="E171" s="11" t="s">
        <v>3113</v>
      </c>
      <c r="F171" t="s">
        <v>47</v>
      </c>
      <c r="G171" s="2" t="s">
        <v>31</v>
      </c>
      <c r="H171" s="1">
        <v>68.794000000000011</v>
      </c>
      <c r="M171" s="2">
        <v>668</v>
      </c>
      <c r="N171" s="4">
        <v>43712.654305555552</v>
      </c>
      <c r="O171" t="s">
        <v>3654</v>
      </c>
      <c r="P171" t="s">
        <v>3318</v>
      </c>
      <c r="Q171" s="1">
        <v>1079.9280000000001</v>
      </c>
      <c r="R171" t="s">
        <v>3757</v>
      </c>
      <c r="S171" t="s">
        <v>3445</v>
      </c>
      <c r="T171">
        <f>MONTH(tbPedido[[#This Row],[Comprado Em]])</f>
        <v>9</v>
      </c>
    </row>
    <row r="172" spans="1:20" x14ac:dyDescent="0.3">
      <c r="A172" s="2">
        <v>508</v>
      </c>
      <c r="B172" t="s">
        <v>3011</v>
      </c>
      <c r="C172" t="s">
        <v>3220</v>
      </c>
      <c r="D172" s="2">
        <v>1</v>
      </c>
      <c r="E172" s="11" t="s">
        <v>3007</v>
      </c>
      <c r="F172" t="s">
        <v>47</v>
      </c>
      <c r="G172" s="2" t="s">
        <v>31</v>
      </c>
      <c r="H172" s="1">
        <v>52.893999999999998</v>
      </c>
      <c r="M172" s="2">
        <v>669</v>
      </c>
      <c r="N172" s="4">
        <v>43712.713182870371</v>
      </c>
      <c r="O172" t="s">
        <v>3494</v>
      </c>
      <c r="P172" t="s">
        <v>3316</v>
      </c>
      <c r="Q172" s="1">
        <v>2228.9679999999998</v>
      </c>
      <c r="R172" t="s">
        <v>3310</v>
      </c>
      <c r="S172" t="s">
        <v>3324</v>
      </c>
      <c r="T172">
        <f>MONTH(tbPedido[[#This Row],[Comprado Em]])</f>
        <v>9</v>
      </c>
    </row>
    <row r="173" spans="1:20" x14ac:dyDescent="0.3">
      <c r="A173" s="2">
        <v>508</v>
      </c>
      <c r="B173" t="s">
        <v>3557</v>
      </c>
      <c r="C173" t="s">
        <v>3233</v>
      </c>
      <c r="D173" s="2">
        <v>1</v>
      </c>
      <c r="E173" s="11" t="s">
        <v>3556</v>
      </c>
      <c r="F173" t="s">
        <v>39</v>
      </c>
      <c r="G173" s="2" t="s">
        <v>31</v>
      </c>
      <c r="H173" s="1">
        <v>74.094000000000008</v>
      </c>
      <c r="M173" s="2">
        <v>670</v>
      </c>
      <c r="N173" s="4">
        <v>43713.685162037036</v>
      </c>
      <c r="O173" t="s">
        <v>3357</v>
      </c>
      <c r="P173" t="s">
        <v>3311</v>
      </c>
      <c r="Q173" s="1">
        <v>1380.9220000000003</v>
      </c>
      <c r="R173" t="s">
        <v>3310</v>
      </c>
      <c r="S173" t="s">
        <v>3434</v>
      </c>
      <c r="T173">
        <f>MONTH(tbPedido[[#This Row],[Comprado Em]])</f>
        <v>9</v>
      </c>
    </row>
    <row r="174" spans="1:20" x14ac:dyDescent="0.3">
      <c r="A174" s="2">
        <v>508</v>
      </c>
      <c r="B174" t="s">
        <v>3075</v>
      </c>
      <c r="C174" t="s">
        <v>3225</v>
      </c>
      <c r="D174" s="2">
        <v>1</v>
      </c>
      <c r="E174" s="11" t="s">
        <v>3074</v>
      </c>
      <c r="F174" t="s">
        <v>39</v>
      </c>
      <c r="G174" s="2" t="s">
        <v>31</v>
      </c>
      <c r="H174" s="1">
        <v>127.09400000000001</v>
      </c>
      <c r="M174" s="2">
        <v>671</v>
      </c>
      <c r="N174" s="4">
        <v>43714.708518518521</v>
      </c>
      <c r="O174" t="s">
        <v>3482</v>
      </c>
      <c r="P174" t="s">
        <v>3311</v>
      </c>
      <c r="Q174" s="1">
        <v>1715.1860000000004</v>
      </c>
      <c r="R174" t="s">
        <v>3757</v>
      </c>
      <c r="S174" t="s">
        <v>3331</v>
      </c>
      <c r="T174">
        <f>MONTH(tbPedido[[#This Row],[Comprado Em]])</f>
        <v>9</v>
      </c>
    </row>
    <row r="175" spans="1:20" x14ac:dyDescent="0.3">
      <c r="A175" s="2">
        <v>508</v>
      </c>
      <c r="B175" t="s">
        <v>3553</v>
      </c>
      <c r="C175" t="s">
        <v>3</v>
      </c>
      <c r="D175" s="2">
        <v>1</v>
      </c>
      <c r="E175" s="11" t="s">
        <v>3447</v>
      </c>
      <c r="F175" t="s">
        <v>39</v>
      </c>
      <c r="G175" s="2" t="s">
        <v>4</v>
      </c>
      <c r="H175" s="1">
        <v>100.59400000000001</v>
      </c>
      <c r="M175" s="2">
        <v>672</v>
      </c>
      <c r="N175" s="4">
        <v>43714.946030092593</v>
      </c>
      <c r="O175" t="s">
        <v>3372</v>
      </c>
      <c r="P175" t="s">
        <v>3318</v>
      </c>
      <c r="Q175" s="1">
        <v>1519.7220000000002</v>
      </c>
      <c r="R175" t="s">
        <v>3315</v>
      </c>
      <c r="S175" t="s">
        <v>3465</v>
      </c>
      <c r="T175">
        <f>MONTH(tbPedido[[#This Row],[Comprado Em]])</f>
        <v>9</v>
      </c>
    </row>
    <row r="176" spans="1:20" x14ac:dyDescent="0.3">
      <c r="A176" s="2">
        <v>508</v>
      </c>
      <c r="B176" t="s">
        <v>3163</v>
      </c>
      <c r="C176" t="s">
        <v>3217</v>
      </c>
      <c r="D176" s="2">
        <v>1</v>
      </c>
      <c r="E176" s="11" t="s">
        <v>3072</v>
      </c>
      <c r="F176" t="s">
        <v>39</v>
      </c>
      <c r="G176" s="2" t="s">
        <v>31</v>
      </c>
      <c r="H176" s="1">
        <v>79.394000000000005</v>
      </c>
      <c r="M176" s="2">
        <v>673</v>
      </c>
      <c r="N176" s="4">
        <v>43715.578726851854</v>
      </c>
      <c r="O176" t="s">
        <v>3515</v>
      </c>
      <c r="P176" t="s">
        <v>3316</v>
      </c>
      <c r="Q176" s="1">
        <v>1980.7160000000006</v>
      </c>
      <c r="R176" t="s">
        <v>3315</v>
      </c>
      <c r="S176" t="s">
        <v>3392</v>
      </c>
      <c r="T176">
        <f>MONTH(tbPedido[[#This Row],[Comprado Em]])</f>
        <v>9</v>
      </c>
    </row>
    <row r="177" spans="1:20" x14ac:dyDescent="0.3">
      <c r="A177" s="2">
        <v>508</v>
      </c>
      <c r="B177" t="s">
        <v>3551</v>
      </c>
      <c r="C177" t="s">
        <v>3224</v>
      </c>
      <c r="D177" s="2">
        <v>1</v>
      </c>
      <c r="E177" s="11" t="s">
        <v>3550</v>
      </c>
      <c r="F177" t="s">
        <v>28</v>
      </c>
      <c r="G177" s="2" t="s">
        <v>31</v>
      </c>
      <c r="H177" s="1">
        <v>52.893999999999998</v>
      </c>
      <c r="M177" s="2">
        <v>674</v>
      </c>
      <c r="N177" s="4">
        <v>43715.763159722221</v>
      </c>
      <c r="O177" t="s">
        <v>3503</v>
      </c>
      <c r="P177" t="s">
        <v>3316</v>
      </c>
      <c r="Q177" s="1">
        <v>1408.422</v>
      </c>
      <c r="R177" t="s">
        <v>3315</v>
      </c>
      <c r="S177" t="s">
        <v>3314</v>
      </c>
      <c r="T177">
        <f>MONTH(tbPedido[[#This Row],[Comprado Em]])</f>
        <v>9</v>
      </c>
    </row>
    <row r="178" spans="1:20" x14ac:dyDescent="0.3">
      <c r="A178" s="2">
        <v>509</v>
      </c>
      <c r="B178" t="s">
        <v>3548</v>
      </c>
      <c r="C178" t="s">
        <v>0</v>
      </c>
      <c r="D178" s="2">
        <v>1</v>
      </c>
      <c r="E178" s="11" t="s">
        <v>3288</v>
      </c>
      <c r="F178" t="s">
        <v>65</v>
      </c>
      <c r="G178" s="2" t="s">
        <v>4</v>
      </c>
      <c r="H178" s="1">
        <v>148.29400000000001</v>
      </c>
      <c r="M178" s="2">
        <v>675</v>
      </c>
      <c r="N178" s="4">
        <v>43716.694768518515</v>
      </c>
      <c r="O178" t="s">
        <v>3381</v>
      </c>
      <c r="P178" t="s">
        <v>3311</v>
      </c>
      <c r="Q178" s="1">
        <v>2218.6860000000001</v>
      </c>
      <c r="R178" t="s">
        <v>3310</v>
      </c>
      <c r="S178" t="s">
        <v>3331</v>
      </c>
      <c r="T178">
        <f>MONTH(tbPedido[[#This Row],[Comprado Em]])</f>
        <v>9</v>
      </c>
    </row>
    <row r="179" spans="1:20" x14ac:dyDescent="0.3">
      <c r="A179" s="2">
        <v>509</v>
      </c>
      <c r="B179" t="s">
        <v>3547</v>
      </c>
      <c r="C179" t="s">
        <v>0</v>
      </c>
      <c r="D179" s="2">
        <v>1</v>
      </c>
      <c r="E179" s="11" t="s">
        <v>3288</v>
      </c>
      <c r="F179" t="s">
        <v>65</v>
      </c>
      <c r="G179" s="2" t="s">
        <v>31</v>
      </c>
      <c r="H179" s="1">
        <v>148.29400000000001</v>
      </c>
      <c r="M179" s="2">
        <v>676</v>
      </c>
      <c r="N179" s="4">
        <v>43716.72619212963</v>
      </c>
      <c r="O179" t="s">
        <v>3402</v>
      </c>
      <c r="P179" t="s">
        <v>3316</v>
      </c>
      <c r="Q179" s="1">
        <v>1652.328</v>
      </c>
      <c r="R179" t="s">
        <v>3315</v>
      </c>
      <c r="S179" t="s">
        <v>3366</v>
      </c>
      <c r="T179">
        <f>MONTH(tbPedido[[#This Row],[Comprado Em]])</f>
        <v>9</v>
      </c>
    </row>
    <row r="180" spans="1:20" x14ac:dyDescent="0.3">
      <c r="A180" s="2">
        <v>509</v>
      </c>
      <c r="B180" t="s">
        <v>3545</v>
      </c>
      <c r="C180" t="s">
        <v>0</v>
      </c>
      <c r="D180" s="2">
        <v>1</v>
      </c>
      <c r="E180" s="11" t="s">
        <v>3288</v>
      </c>
      <c r="F180" t="s">
        <v>65</v>
      </c>
      <c r="G180" s="2" t="s">
        <v>23</v>
      </c>
      <c r="H180" s="1">
        <v>148.29400000000001</v>
      </c>
      <c r="M180" s="2">
        <v>677</v>
      </c>
      <c r="N180" s="4">
        <v>43716.770891203705</v>
      </c>
      <c r="O180" t="s">
        <v>3716</v>
      </c>
      <c r="P180" t="s">
        <v>3311</v>
      </c>
      <c r="Q180" s="1">
        <v>1731.722</v>
      </c>
      <c r="R180" t="s">
        <v>3310</v>
      </c>
      <c r="S180" t="s">
        <v>3360</v>
      </c>
      <c r="T180">
        <f>MONTH(tbPedido[[#This Row],[Comprado Em]])</f>
        <v>9</v>
      </c>
    </row>
    <row r="181" spans="1:20" x14ac:dyDescent="0.3">
      <c r="A181" s="2">
        <v>509</v>
      </c>
      <c r="B181" t="s">
        <v>3544</v>
      </c>
      <c r="C181" t="s">
        <v>0</v>
      </c>
      <c r="D181" s="2">
        <v>1</v>
      </c>
      <c r="E181" s="11" t="s">
        <v>3288</v>
      </c>
      <c r="F181" t="s">
        <v>62</v>
      </c>
      <c r="G181" s="2" t="s">
        <v>4</v>
      </c>
      <c r="H181" s="1">
        <v>148.29400000000001</v>
      </c>
      <c r="M181" s="2">
        <v>678</v>
      </c>
      <c r="N181" s="4">
        <v>43716.847638888888</v>
      </c>
      <c r="O181" t="s">
        <v>3336</v>
      </c>
      <c r="P181" t="s">
        <v>3318</v>
      </c>
      <c r="Q181" s="1">
        <v>2552.1619999999994</v>
      </c>
      <c r="R181" t="s">
        <v>3310</v>
      </c>
      <c r="S181" t="s">
        <v>3314</v>
      </c>
      <c r="T181">
        <f>MONTH(tbPedido[[#This Row],[Comprado Em]])</f>
        <v>9</v>
      </c>
    </row>
    <row r="182" spans="1:20" x14ac:dyDescent="0.3">
      <c r="A182" s="2">
        <v>509</v>
      </c>
      <c r="B182" t="s">
        <v>3542</v>
      </c>
      <c r="C182" t="s">
        <v>0</v>
      </c>
      <c r="D182" s="2">
        <v>1</v>
      </c>
      <c r="E182" s="11" t="s">
        <v>3288</v>
      </c>
      <c r="F182" t="s">
        <v>62</v>
      </c>
      <c r="G182" s="2" t="s">
        <v>31</v>
      </c>
      <c r="H182" s="1">
        <v>148.29400000000001</v>
      </c>
      <c r="M182" s="2">
        <v>679</v>
      </c>
      <c r="N182" s="4">
        <v>43717.435995370368</v>
      </c>
      <c r="O182" t="s">
        <v>3336</v>
      </c>
      <c r="P182" t="s">
        <v>3316</v>
      </c>
      <c r="Q182" s="1">
        <v>1344.9280000000003</v>
      </c>
      <c r="R182" t="s">
        <v>3757</v>
      </c>
      <c r="S182" t="s">
        <v>3320</v>
      </c>
      <c r="T182">
        <f>MONTH(tbPedido[[#This Row],[Comprado Em]])</f>
        <v>9</v>
      </c>
    </row>
    <row r="183" spans="1:20" x14ac:dyDescent="0.3">
      <c r="A183" s="2">
        <v>509</v>
      </c>
      <c r="B183" t="s">
        <v>3541</v>
      </c>
      <c r="C183" t="s">
        <v>0</v>
      </c>
      <c r="D183" s="2">
        <v>1</v>
      </c>
      <c r="E183" s="11" t="s">
        <v>3288</v>
      </c>
      <c r="F183" t="s">
        <v>62</v>
      </c>
      <c r="G183" s="2" t="s">
        <v>23</v>
      </c>
      <c r="H183" s="1">
        <v>148.29400000000001</v>
      </c>
      <c r="M183" s="2">
        <v>680</v>
      </c>
      <c r="N183" s="4">
        <v>43717.471215277779</v>
      </c>
      <c r="O183" t="s">
        <v>3346</v>
      </c>
      <c r="P183" t="s">
        <v>3318</v>
      </c>
      <c r="Q183" s="1">
        <v>1434.7100000000005</v>
      </c>
      <c r="R183" t="s">
        <v>3310</v>
      </c>
      <c r="S183" t="s">
        <v>3324</v>
      </c>
      <c r="T183">
        <f>MONTH(tbPedido[[#This Row],[Comprado Em]])</f>
        <v>9</v>
      </c>
    </row>
    <row r="184" spans="1:20" x14ac:dyDescent="0.3">
      <c r="A184" s="2">
        <v>510</v>
      </c>
      <c r="B184" t="s">
        <v>3023</v>
      </c>
      <c r="C184" t="s">
        <v>3217</v>
      </c>
      <c r="D184" s="2">
        <v>2</v>
      </c>
      <c r="E184" s="11" t="s">
        <v>2654</v>
      </c>
      <c r="F184" t="s">
        <v>65</v>
      </c>
      <c r="G184" s="2" t="s">
        <v>23</v>
      </c>
      <c r="H184" s="1">
        <v>26.393999999999998</v>
      </c>
      <c r="M184" s="2">
        <v>681</v>
      </c>
      <c r="N184" s="4">
        <v>43717.478715277779</v>
      </c>
      <c r="O184" t="s">
        <v>3673</v>
      </c>
      <c r="P184" t="s">
        <v>3311</v>
      </c>
      <c r="Q184" s="1">
        <v>772.52800000000013</v>
      </c>
      <c r="R184" t="s">
        <v>3310</v>
      </c>
      <c r="S184" t="s">
        <v>3320</v>
      </c>
      <c r="T184">
        <f>MONTH(tbPedido[[#This Row],[Comprado Em]])</f>
        <v>9</v>
      </c>
    </row>
    <row r="185" spans="1:20" x14ac:dyDescent="0.3">
      <c r="A185" s="2">
        <v>510</v>
      </c>
      <c r="B185" t="s">
        <v>3111</v>
      </c>
      <c r="C185" t="s">
        <v>3224</v>
      </c>
      <c r="D185" s="2">
        <v>1</v>
      </c>
      <c r="E185" s="11" t="s">
        <v>2898</v>
      </c>
      <c r="F185" t="s">
        <v>65</v>
      </c>
      <c r="G185" s="2" t="s">
        <v>23</v>
      </c>
      <c r="H185" s="1">
        <v>74.094000000000008</v>
      </c>
      <c r="M185" s="2">
        <v>682</v>
      </c>
      <c r="N185" s="4">
        <v>43717.546747685185</v>
      </c>
      <c r="O185" t="s">
        <v>3344</v>
      </c>
      <c r="P185" t="s">
        <v>3316</v>
      </c>
      <c r="Q185" s="1">
        <v>1856.2719999999999</v>
      </c>
      <c r="R185" t="s">
        <v>3310</v>
      </c>
      <c r="S185" t="s">
        <v>3320</v>
      </c>
      <c r="T185">
        <f>MONTH(tbPedido[[#This Row],[Comprado Em]])</f>
        <v>9</v>
      </c>
    </row>
    <row r="186" spans="1:20" x14ac:dyDescent="0.3">
      <c r="A186" s="2">
        <v>510</v>
      </c>
      <c r="B186" t="s">
        <v>3539</v>
      </c>
      <c r="C186" t="s">
        <v>3715</v>
      </c>
      <c r="D186" s="2">
        <v>2</v>
      </c>
      <c r="E186" s="11" t="s">
        <v>2896</v>
      </c>
      <c r="F186" t="s">
        <v>65</v>
      </c>
      <c r="G186" s="2" t="s">
        <v>23</v>
      </c>
      <c r="H186" s="1">
        <v>84.694000000000017</v>
      </c>
      <c r="M186" s="2">
        <v>683</v>
      </c>
      <c r="N186" s="4">
        <v>43718.303495370368</v>
      </c>
      <c r="O186" t="s">
        <v>3421</v>
      </c>
      <c r="P186" t="s">
        <v>3316</v>
      </c>
      <c r="Q186" s="1">
        <v>2675.0400000000009</v>
      </c>
      <c r="R186" t="s">
        <v>3310</v>
      </c>
      <c r="S186" t="s">
        <v>3314</v>
      </c>
      <c r="T186">
        <f>MONTH(tbPedido[[#This Row],[Comprado Em]])</f>
        <v>9</v>
      </c>
    </row>
    <row r="187" spans="1:20" x14ac:dyDescent="0.3">
      <c r="A187" s="2">
        <v>510</v>
      </c>
      <c r="B187" t="s">
        <v>3537</v>
      </c>
      <c r="C187" t="s">
        <v>3</v>
      </c>
      <c r="D187" s="2">
        <v>1</v>
      </c>
      <c r="E187" s="11" t="s">
        <v>3532</v>
      </c>
      <c r="F187" t="s">
        <v>65</v>
      </c>
      <c r="G187" s="2" t="s">
        <v>23</v>
      </c>
      <c r="H187" s="1">
        <v>74.094000000000008</v>
      </c>
      <c r="M187" s="2">
        <v>684</v>
      </c>
      <c r="N187" s="4">
        <v>43718.521249999998</v>
      </c>
      <c r="O187" t="s">
        <v>3479</v>
      </c>
      <c r="P187" t="s">
        <v>3318</v>
      </c>
      <c r="Q187" s="1">
        <v>1466.8280000000002</v>
      </c>
      <c r="R187" t="s">
        <v>3310</v>
      </c>
      <c r="S187" t="s">
        <v>3392</v>
      </c>
      <c r="T187">
        <f>MONTH(tbPedido[[#This Row],[Comprado Em]])</f>
        <v>9</v>
      </c>
    </row>
    <row r="188" spans="1:20" x14ac:dyDescent="0.3">
      <c r="A188" s="2">
        <v>510</v>
      </c>
      <c r="B188" t="s">
        <v>3535</v>
      </c>
      <c r="C188" t="s">
        <v>3217</v>
      </c>
      <c r="D188" s="2">
        <v>1</v>
      </c>
      <c r="E188" s="11" t="s">
        <v>2654</v>
      </c>
      <c r="F188" t="s">
        <v>126</v>
      </c>
      <c r="G188" s="2" t="s">
        <v>23</v>
      </c>
      <c r="H188" s="1">
        <v>26.393999999999998</v>
      </c>
      <c r="M188" s="2">
        <v>685</v>
      </c>
      <c r="N188" s="4">
        <v>43718.654351851852</v>
      </c>
      <c r="O188" t="s">
        <v>3647</v>
      </c>
      <c r="P188" t="s">
        <v>3318</v>
      </c>
      <c r="Q188" s="1">
        <v>2128.5860000000002</v>
      </c>
      <c r="R188" t="s">
        <v>3315</v>
      </c>
      <c r="S188" t="s">
        <v>3405</v>
      </c>
      <c r="T188">
        <f>MONTH(tbPedido[[#This Row],[Comprado Em]])</f>
        <v>9</v>
      </c>
    </row>
    <row r="189" spans="1:20" x14ac:dyDescent="0.3">
      <c r="A189" s="2">
        <v>510</v>
      </c>
      <c r="B189" t="s">
        <v>2975</v>
      </c>
      <c r="C189" t="s">
        <v>3219</v>
      </c>
      <c r="D189" s="2">
        <v>1</v>
      </c>
      <c r="E189" s="11" t="s">
        <v>534</v>
      </c>
      <c r="F189" t="s">
        <v>62</v>
      </c>
      <c r="G189" s="2" t="s">
        <v>23</v>
      </c>
      <c r="H189" s="1">
        <v>89.994000000000014</v>
      </c>
      <c r="M189" s="2">
        <v>686</v>
      </c>
      <c r="N189" s="4">
        <v>43718.757592592592</v>
      </c>
      <c r="O189" t="s">
        <v>3614</v>
      </c>
      <c r="P189" t="s">
        <v>3316</v>
      </c>
      <c r="Q189" s="1">
        <v>1339.4160000000004</v>
      </c>
      <c r="R189" t="s">
        <v>3310</v>
      </c>
      <c r="S189" t="s">
        <v>3326</v>
      </c>
      <c r="T189">
        <f>MONTH(tbPedido[[#This Row],[Comprado Em]])</f>
        <v>9</v>
      </c>
    </row>
    <row r="190" spans="1:20" x14ac:dyDescent="0.3">
      <c r="A190" s="2">
        <v>510</v>
      </c>
      <c r="B190" t="s">
        <v>3533</v>
      </c>
      <c r="C190" t="s">
        <v>3</v>
      </c>
      <c r="D190" s="2">
        <v>1</v>
      </c>
      <c r="E190" s="11" t="s">
        <v>3532</v>
      </c>
      <c r="F190" t="s">
        <v>55</v>
      </c>
      <c r="G190" s="2" t="s">
        <v>23</v>
      </c>
      <c r="H190" s="1">
        <v>74.094000000000008</v>
      </c>
      <c r="M190" s="2">
        <v>687</v>
      </c>
      <c r="N190" s="4">
        <v>43719.589004629626</v>
      </c>
      <c r="O190" t="s">
        <v>3348</v>
      </c>
      <c r="P190" t="s">
        <v>3318</v>
      </c>
      <c r="Q190" s="1">
        <v>2147.4539999999997</v>
      </c>
      <c r="R190" t="s">
        <v>3310</v>
      </c>
      <c r="S190" t="s">
        <v>3320</v>
      </c>
      <c r="T190">
        <f>MONTH(tbPedido[[#This Row],[Comprado Em]])</f>
        <v>9</v>
      </c>
    </row>
    <row r="191" spans="1:20" x14ac:dyDescent="0.3">
      <c r="A191" s="2">
        <v>510</v>
      </c>
      <c r="B191" t="s">
        <v>2841</v>
      </c>
      <c r="C191" t="s">
        <v>3217</v>
      </c>
      <c r="D191" s="2">
        <v>1</v>
      </c>
      <c r="E191" s="11" t="s">
        <v>2654</v>
      </c>
      <c r="F191" t="s">
        <v>28</v>
      </c>
      <c r="G191" s="2" t="s">
        <v>23</v>
      </c>
      <c r="H191" s="1">
        <v>26.393999999999998</v>
      </c>
      <c r="M191" s="2">
        <v>688</v>
      </c>
      <c r="N191" s="4">
        <v>43720.771666666667</v>
      </c>
      <c r="O191" t="s">
        <v>3651</v>
      </c>
      <c r="P191" t="s">
        <v>3311</v>
      </c>
      <c r="Q191" s="1">
        <v>1954.3220000000003</v>
      </c>
      <c r="R191" t="s">
        <v>3757</v>
      </c>
      <c r="S191" t="s">
        <v>3320</v>
      </c>
      <c r="T191">
        <f>MONTH(tbPedido[[#This Row],[Comprado Em]])</f>
        <v>9</v>
      </c>
    </row>
    <row r="192" spans="1:20" x14ac:dyDescent="0.3">
      <c r="A192" s="2">
        <v>510</v>
      </c>
      <c r="B192" t="s">
        <v>3353</v>
      </c>
      <c r="C192" t="s">
        <v>3219</v>
      </c>
      <c r="D192" s="2">
        <v>1</v>
      </c>
      <c r="E192" s="11" t="s">
        <v>3164</v>
      </c>
      <c r="F192" t="s">
        <v>47</v>
      </c>
      <c r="G192" s="2" t="s">
        <v>23</v>
      </c>
      <c r="H192" s="1">
        <v>142.994</v>
      </c>
      <c r="M192" s="2">
        <v>689</v>
      </c>
      <c r="N192" s="4">
        <v>43720.979317129626</v>
      </c>
      <c r="O192" t="s">
        <v>3352</v>
      </c>
      <c r="P192" t="s">
        <v>3318</v>
      </c>
      <c r="Q192" s="1">
        <v>1477.0040000000004</v>
      </c>
      <c r="R192" t="s">
        <v>3310</v>
      </c>
      <c r="S192" t="s">
        <v>3445</v>
      </c>
      <c r="T192">
        <f>MONTH(tbPedido[[#This Row],[Comprado Em]])</f>
        <v>9</v>
      </c>
    </row>
    <row r="193" spans="1:20" x14ac:dyDescent="0.3">
      <c r="A193" s="2">
        <v>510</v>
      </c>
      <c r="B193" t="s">
        <v>3181</v>
      </c>
      <c r="C193" t="s">
        <v>3219</v>
      </c>
      <c r="D193" s="2">
        <v>1</v>
      </c>
      <c r="E193" s="11" t="s">
        <v>3164</v>
      </c>
      <c r="F193" t="s">
        <v>28</v>
      </c>
      <c r="G193" s="2" t="s">
        <v>23</v>
      </c>
      <c r="H193" s="1">
        <v>142.994</v>
      </c>
      <c r="M193" s="2">
        <v>690</v>
      </c>
      <c r="N193" s="4">
        <v>43721.822581018518</v>
      </c>
      <c r="O193" t="s">
        <v>3321</v>
      </c>
      <c r="P193" t="s">
        <v>3318</v>
      </c>
      <c r="Q193" s="1">
        <v>2271.6860000000001</v>
      </c>
      <c r="R193" t="s">
        <v>3757</v>
      </c>
      <c r="S193" t="s">
        <v>3465</v>
      </c>
      <c r="T193">
        <f>MONTH(tbPedido[[#This Row],[Comprado Em]])</f>
        <v>9</v>
      </c>
    </row>
    <row r="194" spans="1:20" x14ac:dyDescent="0.3">
      <c r="A194" s="2">
        <v>511</v>
      </c>
      <c r="B194" t="s">
        <v>3530</v>
      </c>
      <c r="C194" t="s">
        <v>2</v>
      </c>
      <c r="D194" s="2">
        <v>5</v>
      </c>
      <c r="E194" s="11" t="s">
        <v>3285</v>
      </c>
      <c r="F194" t="s">
        <v>24</v>
      </c>
      <c r="G194" s="2" t="s">
        <v>4</v>
      </c>
      <c r="H194" s="1">
        <v>132.39400000000001</v>
      </c>
      <c r="M194" s="2">
        <v>691</v>
      </c>
      <c r="N194" s="4">
        <v>43721.893020833333</v>
      </c>
      <c r="O194" t="s">
        <v>3393</v>
      </c>
      <c r="P194" t="s">
        <v>3316</v>
      </c>
      <c r="Q194" s="1">
        <v>1684.1280000000004</v>
      </c>
      <c r="R194" t="s">
        <v>3757</v>
      </c>
      <c r="S194" t="s">
        <v>3523</v>
      </c>
      <c r="T194">
        <f>MONTH(tbPedido[[#This Row],[Comprado Em]])</f>
        <v>9</v>
      </c>
    </row>
    <row r="195" spans="1:20" x14ac:dyDescent="0.3">
      <c r="A195" s="2">
        <v>511</v>
      </c>
      <c r="B195" t="s">
        <v>3528</v>
      </c>
      <c r="C195" t="s">
        <v>2</v>
      </c>
      <c r="D195" s="2">
        <v>3</v>
      </c>
      <c r="E195" s="11" t="s">
        <v>3285</v>
      </c>
      <c r="F195" t="s">
        <v>24</v>
      </c>
      <c r="G195" s="2" t="s">
        <v>31</v>
      </c>
      <c r="H195" s="1">
        <v>132.39400000000001</v>
      </c>
      <c r="M195" s="2">
        <v>692</v>
      </c>
      <c r="N195" s="4">
        <v>43722.408946759257</v>
      </c>
      <c r="O195" t="s">
        <v>3345</v>
      </c>
      <c r="P195" t="s">
        <v>3316</v>
      </c>
      <c r="Q195" s="1">
        <v>1581.4139999999995</v>
      </c>
      <c r="R195" t="s">
        <v>3757</v>
      </c>
      <c r="S195" t="s">
        <v>3322</v>
      </c>
      <c r="T195">
        <f>MONTH(tbPedido[[#This Row],[Comprado Em]])</f>
        <v>9</v>
      </c>
    </row>
    <row r="196" spans="1:20" x14ac:dyDescent="0.3">
      <c r="A196" s="2">
        <v>512</v>
      </c>
      <c r="B196" t="s">
        <v>3034</v>
      </c>
      <c r="C196" t="s">
        <v>3219</v>
      </c>
      <c r="D196" s="2">
        <v>1</v>
      </c>
      <c r="E196" s="11" t="s">
        <v>2338</v>
      </c>
      <c r="F196" t="s">
        <v>65</v>
      </c>
      <c r="G196" s="2" t="s">
        <v>23</v>
      </c>
      <c r="H196" s="1">
        <v>153.59400000000002</v>
      </c>
      <c r="M196" s="2">
        <v>693</v>
      </c>
      <c r="N196" s="4">
        <v>43722.690486111111</v>
      </c>
      <c r="O196" t="s">
        <v>3355</v>
      </c>
      <c r="P196" t="s">
        <v>3316</v>
      </c>
      <c r="Q196" s="1">
        <v>3213.1779999999999</v>
      </c>
      <c r="R196" t="s">
        <v>3310</v>
      </c>
      <c r="S196" t="s">
        <v>3324</v>
      </c>
      <c r="T196">
        <f>MONTH(tbPedido[[#This Row],[Comprado Em]])</f>
        <v>9</v>
      </c>
    </row>
    <row r="197" spans="1:20" x14ac:dyDescent="0.3">
      <c r="A197" s="2">
        <v>512</v>
      </c>
      <c r="B197" t="s">
        <v>3526</v>
      </c>
      <c r="C197" t="s">
        <v>3220</v>
      </c>
      <c r="D197" s="2">
        <v>1</v>
      </c>
      <c r="E197" s="11" t="s">
        <v>3040</v>
      </c>
      <c r="F197" t="s">
        <v>65</v>
      </c>
      <c r="G197" s="2" t="s">
        <v>23</v>
      </c>
      <c r="H197" s="1">
        <v>15.793999999999999</v>
      </c>
      <c r="M197" s="2">
        <v>694</v>
      </c>
      <c r="N197" s="4">
        <v>43723.796944444446</v>
      </c>
      <c r="O197" t="s">
        <v>3414</v>
      </c>
      <c r="P197" t="s">
        <v>3318</v>
      </c>
      <c r="Q197" s="1">
        <v>5973.7360000000017</v>
      </c>
      <c r="R197" t="s">
        <v>3310</v>
      </c>
      <c r="S197" t="s">
        <v>3366</v>
      </c>
      <c r="T197">
        <f>MONTH(tbPedido[[#This Row],[Comprado Em]])</f>
        <v>9</v>
      </c>
    </row>
    <row r="198" spans="1:20" x14ac:dyDescent="0.3">
      <c r="A198" s="2">
        <v>512</v>
      </c>
      <c r="B198" t="s">
        <v>3176</v>
      </c>
      <c r="C198" t="s">
        <v>3220</v>
      </c>
      <c r="D198" s="2">
        <v>1</v>
      </c>
      <c r="E198" s="11" t="s">
        <v>3040</v>
      </c>
      <c r="F198" t="s">
        <v>62</v>
      </c>
      <c r="G198" s="2" t="s">
        <v>23</v>
      </c>
      <c r="H198" s="1">
        <v>15.793999999999999</v>
      </c>
      <c r="M198" s="2">
        <v>695</v>
      </c>
      <c r="N198" s="4">
        <v>43723.809351851851</v>
      </c>
      <c r="O198" t="s">
        <v>3355</v>
      </c>
      <c r="P198" t="s">
        <v>3316</v>
      </c>
      <c r="Q198" s="1">
        <v>3981.7840000000024</v>
      </c>
      <c r="R198" t="s">
        <v>3757</v>
      </c>
      <c r="S198" t="s">
        <v>3324</v>
      </c>
      <c r="T198">
        <f>MONTH(tbPedido[[#This Row],[Comprado Em]])</f>
        <v>9</v>
      </c>
    </row>
    <row r="199" spans="1:20" x14ac:dyDescent="0.3">
      <c r="A199" s="2">
        <v>512</v>
      </c>
      <c r="B199" t="s">
        <v>2264</v>
      </c>
      <c r="C199" t="s">
        <v>3221</v>
      </c>
      <c r="D199" s="2">
        <v>1</v>
      </c>
      <c r="E199" s="11" t="s">
        <v>642</v>
      </c>
      <c r="F199" t="s">
        <v>55</v>
      </c>
      <c r="G199" s="2" t="s">
        <v>23</v>
      </c>
      <c r="H199" s="1">
        <v>95.294000000000011</v>
      </c>
      <c r="M199" s="2">
        <v>696</v>
      </c>
      <c r="N199" s="4">
        <v>43723.847245370373</v>
      </c>
      <c r="O199" t="s">
        <v>3346</v>
      </c>
      <c r="P199" t="s">
        <v>3316</v>
      </c>
      <c r="Q199" s="1">
        <v>708.71600000000001</v>
      </c>
      <c r="R199" t="s">
        <v>3757</v>
      </c>
      <c r="S199" t="s">
        <v>3523</v>
      </c>
      <c r="T199">
        <f>MONTH(tbPedido[[#This Row],[Comprado Em]])</f>
        <v>9</v>
      </c>
    </row>
    <row r="200" spans="1:20" x14ac:dyDescent="0.3">
      <c r="A200" s="2">
        <v>512</v>
      </c>
      <c r="B200" t="s">
        <v>3123</v>
      </c>
      <c r="C200" t="s">
        <v>3225</v>
      </c>
      <c r="D200" s="2">
        <v>1</v>
      </c>
      <c r="E200" s="11" t="s">
        <v>1394</v>
      </c>
      <c r="F200" t="s">
        <v>683</v>
      </c>
      <c r="G200" s="2" t="s">
        <v>23</v>
      </c>
      <c r="H200" s="1">
        <v>190.69400000000002</v>
      </c>
      <c r="M200" s="2">
        <v>697</v>
      </c>
      <c r="N200" s="4">
        <v>43723.868703703702</v>
      </c>
      <c r="O200" t="s">
        <v>3549</v>
      </c>
      <c r="P200" t="s">
        <v>3318</v>
      </c>
      <c r="Q200" s="1">
        <v>1684.1280000000002</v>
      </c>
      <c r="R200" t="s">
        <v>3757</v>
      </c>
      <c r="S200" t="s">
        <v>3366</v>
      </c>
      <c r="T200">
        <f>MONTH(tbPedido[[#This Row],[Comprado Em]])</f>
        <v>9</v>
      </c>
    </row>
    <row r="201" spans="1:20" x14ac:dyDescent="0.3">
      <c r="A201" s="2">
        <v>512</v>
      </c>
      <c r="B201" t="s">
        <v>1018</v>
      </c>
      <c r="C201" t="s">
        <v>3220</v>
      </c>
      <c r="D201" s="2">
        <v>1</v>
      </c>
      <c r="E201" s="11" t="s">
        <v>204</v>
      </c>
      <c r="F201" t="s">
        <v>683</v>
      </c>
      <c r="G201" s="2" t="s">
        <v>23</v>
      </c>
      <c r="H201" s="1">
        <v>42.294000000000004</v>
      </c>
      <c r="M201" s="2">
        <v>698</v>
      </c>
      <c r="N201" s="4">
        <v>43724.434895833336</v>
      </c>
      <c r="O201" t="s">
        <v>3476</v>
      </c>
      <c r="P201" t="s">
        <v>3316</v>
      </c>
      <c r="Q201" s="1">
        <v>1456.1220000000003</v>
      </c>
      <c r="R201" t="s">
        <v>3310</v>
      </c>
      <c r="S201" t="s">
        <v>3320</v>
      </c>
      <c r="T201">
        <f>MONTH(tbPedido[[#This Row],[Comprado Em]])</f>
        <v>9</v>
      </c>
    </row>
    <row r="202" spans="1:20" x14ac:dyDescent="0.3">
      <c r="A202" s="2">
        <v>512</v>
      </c>
      <c r="B202" t="s">
        <v>3521</v>
      </c>
      <c r="C202" t="s">
        <v>3</v>
      </c>
      <c r="D202" s="2">
        <v>1</v>
      </c>
      <c r="E202" s="11" t="s">
        <v>3447</v>
      </c>
      <c r="F202" t="s">
        <v>78</v>
      </c>
      <c r="G202" s="2" t="s">
        <v>23</v>
      </c>
      <c r="H202" s="1">
        <v>100.59400000000001</v>
      </c>
      <c r="M202" s="2">
        <v>699</v>
      </c>
      <c r="N202" s="4">
        <v>43724.524409722224</v>
      </c>
      <c r="O202" t="s">
        <v>3377</v>
      </c>
      <c r="P202" t="s">
        <v>3316</v>
      </c>
      <c r="Q202" s="1">
        <v>1424.4279999999999</v>
      </c>
      <c r="R202" t="s">
        <v>3310</v>
      </c>
      <c r="S202" t="s">
        <v>3326</v>
      </c>
      <c r="T202">
        <f>MONTH(tbPedido[[#This Row],[Comprado Em]])</f>
        <v>9</v>
      </c>
    </row>
    <row r="203" spans="1:20" x14ac:dyDescent="0.3">
      <c r="A203" s="2">
        <v>512</v>
      </c>
      <c r="B203" t="s">
        <v>3520</v>
      </c>
      <c r="C203" t="s">
        <v>3</v>
      </c>
      <c r="D203" s="2">
        <v>1</v>
      </c>
      <c r="E203" s="11" t="s">
        <v>3204</v>
      </c>
      <c r="F203" t="s">
        <v>78</v>
      </c>
      <c r="G203" s="2" t="s">
        <v>23</v>
      </c>
      <c r="H203" s="1">
        <v>74.094000000000008</v>
      </c>
      <c r="M203" s="2">
        <v>700</v>
      </c>
      <c r="N203" s="4">
        <v>43724.548472222225</v>
      </c>
      <c r="O203" t="s">
        <v>3367</v>
      </c>
      <c r="P203" t="s">
        <v>3311</v>
      </c>
      <c r="Q203" s="1">
        <v>2244.9740000000002</v>
      </c>
      <c r="R203" t="s">
        <v>3415</v>
      </c>
      <c r="S203" t="s">
        <v>3405</v>
      </c>
      <c r="T203">
        <f>MONTH(tbPedido[[#This Row],[Comprado Em]])</f>
        <v>9</v>
      </c>
    </row>
    <row r="204" spans="1:20" x14ac:dyDescent="0.3">
      <c r="A204" s="2">
        <v>512</v>
      </c>
      <c r="B204" t="s">
        <v>3518</v>
      </c>
      <c r="C204" t="s">
        <v>3224</v>
      </c>
      <c r="D204" s="2">
        <v>1</v>
      </c>
      <c r="E204" s="11" t="s">
        <v>3095</v>
      </c>
      <c r="F204" t="s">
        <v>47</v>
      </c>
      <c r="G204" s="2" t="s">
        <v>23</v>
      </c>
      <c r="H204" s="1">
        <v>58.19400000000001</v>
      </c>
      <c r="M204" s="2">
        <v>701</v>
      </c>
      <c r="N204" s="4">
        <v>43724.560254629629</v>
      </c>
      <c r="O204" t="s">
        <v>3496</v>
      </c>
      <c r="P204" t="s">
        <v>3316</v>
      </c>
      <c r="Q204" s="1">
        <v>1408.4219999999998</v>
      </c>
      <c r="R204" t="s">
        <v>3315</v>
      </c>
      <c r="S204" t="s">
        <v>3314</v>
      </c>
      <c r="T204">
        <f>MONTH(tbPedido[[#This Row],[Comprado Em]])</f>
        <v>9</v>
      </c>
    </row>
    <row r="205" spans="1:20" x14ac:dyDescent="0.3">
      <c r="A205" s="2">
        <v>512</v>
      </c>
      <c r="B205" t="s">
        <v>3256</v>
      </c>
      <c r="C205" t="s">
        <v>3219</v>
      </c>
      <c r="D205" s="2">
        <v>1</v>
      </c>
      <c r="E205" s="11" t="s">
        <v>977</v>
      </c>
      <c r="F205" t="s">
        <v>39</v>
      </c>
      <c r="G205" s="2" t="s">
        <v>23</v>
      </c>
      <c r="H205" s="1">
        <v>116.49400000000001</v>
      </c>
      <c r="M205" s="2">
        <v>702</v>
      </c>
      <c r="N205" s="4">
        <v>43724.615439814814</v>
      </c>
      <c r="O205" t="s">
        <v>3422</v>
      </c>
      <c r="P205" t="s">
        <v>3318</v>
      </c>
      <c r="Q205" s="1">
        <v>2358.712</v>
      </c>
      <c r="R205" t="s">
        <v>3310</v>
      </c>
      <c r="S205" t="s">
        <v>3314</v>
      </c>
      <c r="T205">
        <f>MONTH(tbPedido[[#This Row],[Comprado Em]])</f>
        <v>9</v>
      </c>
    </row>
    <row r="206" spans="1:20" x14ac:dyDescent="0.3">
      <c r="A206" s="2">
        <v>512</v>
      </c>
      <c r="B206" t="s">
        <v>3464</v>
      </c>
      <c r="C206" t="s">
        <v>0</v>
      </c>
      <c r="D206" s="2">
        <v>1</v>
      </c>
      <c r="E206" s="11" t="s">
        <v>2509</v>
      </c>
      <c r="F206" t="s">
        <v>39</v>
      </c>
      <c r="G206" s="2" t="s">
        <v>23</v>
      </c>
      <c r="H206" s="1">
        <v>153.59400000000002</v>
      </c>
      <c r="M206" s="2">
        <v>703</v>
      </c>
      <c r="N206" s="4">
        <v>43724.649259259262</v>
      </c>
      <c r="O206" t="s">
        <v>3499</v>
      </c>
      <c r="P206" t="s">
        <v>3316</v>
      </c>
      <c r="Q206" s="1">
        <v>2547.4980000000005</v>
      </c>
      <c r="R206" t="s">
        <v>3757</v>
      </c>
      <c r="S206" t="s">
        <v>3320</v>
      </c>
      <c r="T206">
        <f>MONTH(tbPedido[[#This Row],[Comprado Em]])</f>
        <v>9</v>
      </c>
    </row>
    <row r="207" spans="1:20" x14ac:dyDescent="0.3">
      <c r="A207" s="2">
        <v>512</v>
      </c>
      <c r="B207" t="s">
        <v>708</v>
      </c>
      <c r="C207" t="s">
        <v>3220</v>
      </c>
      <c r="D207" s="2">
        <v>1</v>
      </c>
      <c r="E207" s="11" t="s">
        <v>204</v>
      </c>
      <c r="F207" t="s">
        <v>39</v>
      </c>
      <c r="G207" s="2" t="s">
        <v>23</v>
      </c>
      <c r="H207" s="1">
        <v>42.294000000000004</v>
      </c>
      <c r="M207" s="2">
        <v>704</v>
      </c>
      <c r="N207" s="4">
        <v>43724.651782407411</v>
      </c>
      <c r="O207" t="s">
        <v>3632</v>
      </c>
      <c r="P207" t="s">
        <v>3316</v>
      </c>
      <c r="Q207" s="1">
        <v>2711.9040000000005</v>
      </c>
      <c r="R207" t="s">
        <v>3757</v>
      </c>
      <c r="S207" t="s">
        <v>3320</v>
      </c>
      <c r="T207">
        <f>MONTH(tbPedido[[#This Row],[Comprado Em]])</f>
        <v>9</v>
      </c>
    </row>
    <row r="208" spans="1:20" x14ac:dyDescent="0.3">
      <c r="A208" s="2">
        <v>512</v>
      </c>
      <c r="B208" t="s">
        <v>1117</v>
      </c>
      <c r="C208" t="s">
        <v>3220</v>
      </c>
      <c r="D208" s="2">
        <v>1</v>
      </c>
      <c r="E208" s="11" t="s">
        <v>204</v>
      </c>
      <c r="F208" t="s">
        <v>1116</v>
      </c>
      <c r="G208" s="2" t="s">
        <v>23</v>
      </c>
      <c r="H208" s="1">
        <v>42.294000000000004</v>
      </c>
      <c r="M208" s="2">
        <v>705</v>
      </c>
      <c r="N208" s="4">
        <v>43724.679780092592</v>
      </c>
      <c r="O208" t="s">
        <v>3456</v>
      </c>
      <c r="P208" t="s">
        <v>3318</v>
      </c>
      <c r="Q208" s="1">
        <v>2001.8100000000002</v>
      </c>
      <c r="R208" t="s">
        <v>3310</v>
      </c>
      <c r="S208" t="s">
        <v>3342</v>
      </c>
      <c r="T208">
        <f>MONTH(tbPedido[[#This Row],[Comprado Em]])</f>
        <v>9</v>
      </c>
    </row>
    <row r="209" spans="1:20" x14ac:dyDescent="0.3">
      <c r="A209" s="2">
        <v>513</v>
      </c>
      <c r="B209" t="s">
        <v>3514</v>
      </c>
      <c r="C209" t="s">
        <v>3238</v>
      </c>
      <c r="D209" s="2">
        <v>1</v>
      </c>
      <c r="E209" s="11" t="s">
        <v>3513</v>
      </c>
      <c r="F209" t="s">
        <v>55</v>
      </c>
      <c r="G209" s="2" t="s">
        <v>31</v>
      </c>
      <c r="H209" s="1">
        <v>89.994000000000014</v>
      </c>
      <c r="M209" s="2">
        <v>706</v>
      </c>
      <c r="N209" s="4">
        <v>43724.792280092595</v>
      </c>
      <c r="O209" t="s">
        <v>3476</v>
      </c>
      <c r="P209" t="s">
        <v>3316</v>
      </c>
      <c r="Q209" s="1">
        <v>1418.1279999999999</v>
      </c>
      <c r="R209" t="s">
        <v>3310</v>
      </c>
      <c r="S209" t="s">
        <v>3320</v>
      </c>
      <c r="T209">
        <f>MONTH(tbPedido[[#This Row],[Comprado Em]])</f>
        <v>9</v>
      </c>
    </row>
    <row r="210" spans="1:20" x14ac:dyDescent="0.3">
      <c r="A210" s="2">
        <v>513</v>
      </c>
      <c r="B210" t="s">
        <v>3512</v>
      </c>
      <c r="C210" t="s">
        <v>2</v>
      </c>
      <c r="D210" s="2">
        <v>1</v>
      </c>
      <c r="E210" s="11" t="s">
        <v>3285</v>
      </c>
      <c r="F210" t="s">
        <v>65</v>
      </c>
      <c r="G210" s="2" t="s">
        <v>31</v>
      </c>
      <c r="H210" s="1">
        <v>132.39400000000001</v>
      </c>
      <c r="M210" s="2">
        <v>707</v>
      </c>
      <c r="N210" s="4">
        <v>43724.799317129633</v>
      </c>
      <c r="O210" t="s">
        <v>3336</v>
      </c>
      <c r="P210" t="s">
        <v>3311</v>
      </c>
      <c r="Q210" s="1">
        <v>1531.4280000000001</v>
      </c>
      <c r="R210" t="s">
        <v>3310</v>
      </c>
      <c r="S210" t="s">
        <v>3445</v>
      </c>
      <c r="T210">
        <f>MONTH(tbPedido[[#This Row],[Comprado Em]])</f>
        <v>9</v>
      </c>
    </row>
    <row r="211" spans="1:20" x14ac:dyDescent="0.3">
      <c r="A211" s="2">
        <v>513</v>
      </c>
      <c r="B211" t="s">
        <v>3249</v>
      </c>
      <c r="C211" t="s">
        <v>1</v>
      </c>
      <c r="D211" s="2">
        <v>1</v>
      </c>
      <c r="E211" s="11" t="s">
        <v>3248</v>
      </c>
      <c r="F211" t="s">
        <v>28</v>
      </c>
      <c r="G211" s="2" t="s">
        <v>31</v>
      </c>
      <c r="H211" s="1">
        <v>63.494000000000007</v>
      </c>
      <c r="M211" s="2">
        <v>708</v>
      </c>
      <c r="N211" s="4">
        <v>43724.890185185184</v>
      </c>
      <c r="O211" t="s">
        <v>3348</v>
      </c>
      <c r="P211" t="s">
        <v>3311</v>
      </c>
      <c r="Q211" s="1">
        <v>1487.6039999999998</v>
      </c>
      <c r="R211" t="s">
        <v>3757</v>
      </c>
      <c r="S211" t="s">
        <v>3373</v>
      </c>
      <c r="T211">
        <f>MONTH(tbPedido[[#This Row],[Comprado Em]])</f>
        <v>9</v>
      </c>
    </row>
    <row r="212" spans="1:20" x14ac:dyDescent="0.3">
      <c r="A212" s="2">
        <v>513</v>
      </c>
      <c r="B212" t="s">
        <v>3509</v>
      </c>
      <c r="C212" t="s">
        <v>3219</v>
      </c>
      <c r="D212" s="2">
        <v>1</v>
      </c>
      <c r="E212" s="11" t="s">
        <v>3134</v>
      </c>
      <c r="F212" t="s">
        <v>114</v>
      </c>
      <c r="G212" s="2" t="s">
        <v>31</v>
      </c>
      <c r="H212" s="1">
        <v>116.49400000000001</v>
      </c>
      <c r="M212" s="2">
        <v>709</v>
      </c>
      <c r="N212" s="4">
        <v>43725.447245370371</v>
      </c>
      <c r="O212" t="s">
        <v>3312</v>
      </c>
      <c r="P212" t="s">
        <v>3318</v>
      </c>
      <c r="Q212" s="1">
        <v>5040.1940000000013</v>
      </c>
      <c r="R212" t="s">
        <v>3310</v>
      </c>
      <c r="S212" t="s">
        <v>3320</v>
      </c>
      <c r="T212">
        <f>MONTH(tbPedido[[#This Row],[Comprado Em]])</f>
        <v>9</v>
      </c>
    </row>
    <row r="213" spans="1:20" x14ac:dyDescent="0.3">
      <c r="A213" s="2">
        <v>513</v>
      </c>
      <c r="B213" t="s">
        <v>3508</v>
      </c>
      <c r="C213" t="s">
        <v>3224</v>
      </c>
      <c r="D213" s="2">
        <v>1</v>
      </c>
      <c r="E213" s="11" t="s">
        <v>3431</v>
      </c>
      <c r="F213" t="s">
        <v>114</v>
      </c>
      <c r="G213" s="2" t="s">
        <v>31</v>
      </c>
      <c r="H213" s="1">
        <v>74.094000000000008</v>
      </c>
      <c r="M213" s="2">
        <v>710</v>
      </c>
      <c r="N213" s="4">
        <v>43725.483391203707</v>
      </c>
      <c r="O213" t="s">
        <v>3430</v>
      </c>
      <c r="P213" t="s">
        <v>3316</v>
      </c>
      <c r="Q213" s="1">
        <v>3441.1160000000004</v>
      </c>
      <c r="R213" t="s">
        <v>3310</v>
      </c>
      <c r="S213" t="s">
        <v>3309</v>
      </c>
      <c r="T213">
        <f>MONTH(tbPedido[[#This Row],[Comprado Em]])</f>
        <v>9</v>
      </c>
    </row>
    <row r="214" spans="1:20" x14ac:dyDescent="0.3">
      <c r="A214" s="2">
        <v>513</v>
      </c>
      <c r="B214" t="s">
        <v>3506</v>
      </c>
      <c r="C214" t="s">
        <v>3219</v>
      </c>
      <c r="D214" s="2">
        <v>1</v>
      </c>
      <c r="E214" s="11" t="s">
        <v>3505</v>
      </c>
      <c r="F214" t="s">
        <v>47</v>
      </c>
      <c r="G214" s="2" t="s">
        <v>31</v>
      </c>
      <c r="H214" s="1">
        <v>137.69400000000002</v>
      </c>
      <c r="M214" s="2">
        <v>711</v>
      </c>
      <c r="N214" s="4">
        <v>43725.606261574074</v>
      </c>
      <c r="O214" t="s">
        <v>3549</v>
      </c>
      <c r="P214" t="s">
        <v>3318</v>
      </c>
      <c r="Q214" s="1">
        <v>1461.528</v>
      </c>
      <c r="R214" t="s">
        <v>3315</v>
      </c>
      <c r="S214" t="s">
        <v>3314</v>
      </c>
      <c r="T214">
        <f>MONTH(tbPedido[[#This Row],[Comprado Em]])</f>
        <v>9</v>
      </c>
    </row>
    <row r="215" spans="1:20" x14ac:dyDescent="0.3">
      <c r="A215" s="2">
        <v>513</v>
      </c>
      <c r="B215" t="s">
        <v>3504</v>
      </c>
      <c r="C215" t="s">
        <v>3215</v>
      </c>
      <c r="D215" s="2">
        <v>1</v>
      </c>
      <c r="E215" s="11" t="s">
        <v>3216</v>
      </c>
      <c r="F215" t="s">
        <v>47</v>
      </c>
      <c r="G215" s="2" t="s">
        <v>4</v>
      </c>
      <c r="H215" s="1">
        <v>153.59400000000002</v>
      </c>
      <c r="M215" s="2">
        <v>712</v>
      </c>
      <c r="N215" s="4">
        <v>43725.636782407404</v>
      </c>
      <c r="O215" t="s">
        <v>3370</v>
      </c>
      <c r="P215" t="s">
        <v>3318</v>
      </c>
      <c r="Q215" s="1">
        <v>2822.1440000000002</v>
      </c>
      <c r="R215" t="s">
        <v>3757</v>
      </c>
      <c r="S215" t="s">
        <v>3326</v>
      </c>
      <c r="T215">
        <f>MONTH(tbPedido[[#This Row],[Comprado Em]])</f>
        <v>9</v>
      </c>
    </row>
    <row r="216" spans="1:20" x14ac:dyDescent="0.3">
      <c r="A216" s="2">
        <v>513</v>
      </c>
      <c r="B216" t="s">
        <v>3093</v>
      </c>
      <c r="C216" t="s">
        <v>3</v>
      </c>
      <c r="D216" s="2">
        <v>1</v>
      </c>
      <c r="E216" s="11" t="s">
        <v>2203</v>
      </c>
      <c r="F216" t="s">
        <v>39</v>
      </c>
      <c r="G216" s="2" t="s">
        <v>31</v>
      </c>
      <c r="H216" s="1">
        <v>79.394000000000005</v>
      </c>
      <c r="M216" s="2">
        <v>713</v>
      </c>
      <c r="N216" s="4">
        <v>43725.784178240741</v>
      </c>
      <c r="O216" t="s">
        <v>3510</v>
      </c>
      <c r="P216" t="s">
        <v>3316</v>
      </c>
      <c r="Q216" s="1">
        <v>1837.8280000000002</v>
      </c>
      <c r="R216" t="s">
        <v>3310</v>
      </c>
      <c r="S216" t="s">
        <v>3320</v>
      </c>
      <c r="T216">
        <f>MONTH(tbPedido[[#This Row],[Comprado Em]])</f>
        <v>9</v>
      </c>
    </row>
    <row r="217" spans="1:20" x14ac:dyDescent="0.3">
      <c r="A217" s="2">
        <v>513</v>
      </c>
      <c r="B217" t="s">
        <v>3257</v>
      </c>
      <c r="C217" t="s">
        <v>3219</v>
      </c>
      <c r="D217" s="2">
        <v>1</v>
      </c>
      <c r="E217" s="11" t="s">
        <v>977</v>
      </c>
      <c r="F217" t="s">
        <v>39</v>
      </c>
      <c r="G217" s="2" t="s">
        <v>31</v>
      </c>
      <c r="H217" s="1">
        <v>116.49400000000001</v>
      </c>
      <c r="M217" s="2">
        <v>714</v>
      </c>
      <c r="N217" s="4">
        <v>43725.795266203706</v>
      </c>
      <c r="O217" t="s">
        <v>3561</v>
      </c>
      <c r="P217" t="s">
        <v>3316</v>
      </c>
      <c r="Q217" s="1">
        <v>2420.1920000000009</v>
      </c>
      <c r="R217" t="s">
        <v>3310</v>
      </c>
      <c r="S217" t="s">
        <v>3320</v>
      </c>
      <c r="T217">
        <f>MONTH(tbPedido[[#This Row],[Comprado Em]])</f>
        <v>9</v>
      </c>
    </row>
    <row r="218" spans="1:20" x14ac:dyDescent="0.3">
      <c r="A218" s="2">
        <v>513</v>
      </c>
      <c r="B218" t="s">
        <v>2130</v>
      </c>
      <c r="C218" t="s">
        <v>3221</v>
      </c>
      <c r="D218" s="2">
        <v>1</v>
      </c>
      <c r="E218" s="11" t="s">
        <v>383</v>
      </c>
      <c r="F218" t="s">
        <v>39</v>
      </c>
      <c r="G218" s="2" t="s">
        <v>31</v>
      </c>
      <c r="H218" s="1">
        <v>164.19400000000002</v>
      </c>
      <c r="M218" s="2">
        <v>715</v>
      </c>
      <c r="N218" s="4">
        <v>43726.041655092595</v>
      </c>
      <c r="O218" t="s">
        <v>3354</v>
      </c>
      <c r="P218" t="s">
        <v>3316</v>
      </c>
      <c r="Q218" s="1">
        <v>1710.5220000000004</v>
      </c>
      <c r="R218" t="s">
        <v>3315</v>
      </c>
      <c r="S218" t="s">
        <v>3324</v>
      </c>
      <c r="T218">
        <f>MONTH(tbPedido[[#This Row],[Comprado Em]])</f>
        <v>9</v>
      </c>
    </row>
    <row r="219" spans="1:20" x14ac:dyDescent="0.3">
      <c r="A219" s="2">
        <v>513</v>
      </c>
      <c r="B219" t="s">
        <v>2664</v>
      </c>
      <c r="C219" t="s">
        <v>2</v>
      </c>
      <c r="D219" s="2">
        <v>1</v>
      </c>
      <c r="E219" s="11" t="s">
        <v>2081</v>
      </c>
      <c r="F219" t="s">
        <v>28</v>
      </c>
      <c r="G219" s="2" t="s">
        <v>31</v>
      </c>
      <c r="H219" s="1">
        <v>74.094000000000008</v>
      </c>
      <c r="M219" s="2">
        <v>716</v>
      </c>
      <c r="N219" s="4">
        <v>43726.503923611112</v>
      </c>
      <c r="O219" t="s">
        <v>3383</v>
      </c>
      <c r="P219" t="s">
        <v>3318</v>
      </c>
      <c r="Q219" s="1">
        <v>1779.5280000000005</v>
      </c>
      <c r="R219" t="s">
        <v>3315</v>
      </c>
      <c r="S219" t="s">
        <v>3320</v>
      </c>
      <c r="T219">
        <f>MONTH(tbPedido[[#This Row],[Comprado Em]])</f>
        <v>9</v>
      </c>
    </row>
    <row r="220" spans="1:20" x14ac:dyDescent="0.3">
      <c r="A220" s="2">
        <v>513</v>
      </c>
      <c r="B220" t="s">
        <v>3502</v>
      </c>
      <c r="C220" t="s">
        <v>3219</v>
      </c>
      <c r="D220" s="2">
        <v>1</v>
      </c>
      <c r="E220" s="11" t="s">
        <v>3501</v>
      </c>
      <c r="F220" t="s">
        <v>28</v>
      </c>
      <c r="G220" s="2" t="s">
        <v>31</v>
      </c>
      <c r="H220" s="1">
        <v>142.994</v>
      </c>
      <c r="M220" s="2">
        <v>717</v>
      </c>
      <c r="N220" s="4">
        <v>43726.612337962964</v>
      </c>
      <c r="O220" t="s">
        <v>3332</v>
      </c>
      <c r="P220" t="s">
        <v>3318</v>
      </c>
      <c r="Q220" s="1">
        <v>1910.2860000000003</v>
      </c>
      <c r="R220" t="s">
        <v>3315</v>
      </c>
      <c r="S220" t="s">
        <v>3366</v>
      </c>
      <c r="T220">
        <f>MONTH(tbPedido[[#This Row],[Comprado Em]])</f>
        <v>9</v>
      </c>
    </row>
    <row r="221" spans="1:20" x14ac:dyDescent="0.3">
      <c r="A221" s="2">
        <v>514</v>
      </c>
      <c r="B221" t="s">
        <v>3500</v>
      </c>
      <c r="C221" t="s">
        <v>0</v>
      </c>
      <c r="D221" s="2">
        <v>1</v>
      </c>
      <c r="E221" s="11" t="s">
        <v>3102</v>
      </c>
      <c r="F221" t="s">
        <v>65</v>
      </c>
      <c r="G221" s="2" t="s">
        <v>31</v>
      </c>
      <c r="H221" s="1">
        <v>142.994</v>
      </c>
      <c r="M221" s="2">
        <v>718</v>
      </c>
      <c r="N221" s="4">
        <v>43726.613912037035</v>
      </c>
      <c r="O221" t="s">
        <v>3378</v>
      </c>
      <c r="P221" t="s">
        <v>3318</v>
      </c>
      <c r="Q221" s="1">
        <v>1683.9159999999999</v>
      </c>
      <c r="R221" t="s">
        <v>3310</v>
      </c>
      <c r="S221" t="s">
        <v>3324</v>
      </c>
      <c r="T221">
        <f>MONTH(tbPedido[[#This Row],[Comprado Em]])</f>
        <v>9</v>
      </c>
    </row>
    <row r="222" spans="1:20" x14ac:dyDescent="0.3">
      <c r="A222" s="2">
        <v>514</v>
      </c>
      <c r="B222" t="s">
        <v>3497</v>
      </c>
      <c r="C222" t="s">
        <v>0</v>
      </c>
      <c r="D222" s="2">
        <v>1</v>
      </c>
      <c r="E222" s="11" t="s">
        <v>3102</v>
      </c>
      <c r="F222" t="s">
        <v>65</v>
      </c>
      <c r="G222" s="2" t="s">
        <v>23</v>
      </c>
      <c r="H222" s="1">
        <v>142.994</v>
      </c>
      <c r="M222" s="2">
        <v>719</v>
      </c>
      <c r="N222" s="4">
        <v>43726.717847222222</v>
      </c>
      <c r="O222" t="s">
        <v>3727</v>
      </c>
      <c r="P222" t="s">
        <v>3316</v>
      </c>
      <c r="Q222" s="1">
        <v>1636.4280000000003</v>
      </c>
      <c r="R222" t="s">
        <v>3310</v>
      </c>
      <c r="S222" t="s">
        <v>3485</v>
      </c>
      <c r="T222">
        <f>MONTH(tbPedido[[#This Row],[Comprado Em]])</f>
        <v>9</v>
      </c>
    </row>
    <row r="223" spans="1:20" x14ac:dyDescent="0.3">
      <c r="A223" s="2">
        <v>514</v>
      </c>
      <c r="B223" t="s">
        <v>3282</v>
      </c>
      <c r="C223" t="s">
        <v>3224</v>
      </c>
      <c r="D223" s="2">
        <v>1</v>
      </c>
      <c r="E223" s="11" t="s">
        <v>3066</v>
      </c>
      <c r="F223" t="s">
        <v>126</v>
      </c>
      <c r="G223" s="2" t="s">
        <v>4</v>
      </c>
      <c r="H223" s="1">
        <v>95.294000000000011</v>
      </c>
      <c r="M223" s="2">
        <v>720</v>
      </c>
      <c r="N223" s="4">
        <v>43726.894293981481</v>
      </c>
      <c r="O223" t="s">
        <v>3428</v>
      </c>
      <c r="P223" t="s">
        <v>3311</v>
      </c>
      <c r="Q223" s="1">
        <v>1053.2160000000001</v>
      </c>
      <c r="R223" t="s">
        <v>3310</v>
      </c>
      <c r="S223" t="s">
        <v>3322</v>
      </c>
      <c r="T223">
        <f>MONTH(tbPedido[[#This Row],[Comprado Em]])</f>
        <v>9</v>
      </c>
    </row>
    <row r="224" spans="1:20" x14ac:dyDescent="0.3">
      <c r="A224" s="2">
        <v>514</v>
      </c>
      <c r="B224" t="s">
        <v>3142</v>
      </c>
      <c r="C224" t="s">
        <v>3224</v>
      </c>
      <c r="D224" s="2">
        <v>1</v>
      </c>
      <c r="E224" s="11" t="s">
        <v>3066</v>
      </c>
      <c r="F224" t="s">
        <v>126</v>
      </c>
      <c r="G224" s="2" t="s">
        <v>31</v>
      </c>
      <c r="H224" s="1">
        <v>95.294000000000011</v>
      </c>
      <c r="M224" s="2">
        <v>721</v>
      </c>
      <c r="N224" s="4">
        <v>43726.937685185185</v>
      </c>
      <c r="O224" t="s">
        <v>3336</v>
      </c>
      <c r="P224" t="s">
        <v>3311</v>
      </c>
      <c r="Q224" s="1">
        <v>1021.6280000000002</v>
      </c>
      <c r="R224" t="s">
        <v>3757</v>
      </c>
      <c r="S224" t="s">
        <v>3483</v>
      </c>
      <c r="T224">
        <f>MONTH(tbPedido[[#This Row],[Comprado Em]])</f>
        <v>9</v>
      </c>
    </row>
    <row r="225" spans="1:20" x14ac:dyDescent="0.3">
      <c r="A225" s="2">
        <v>514</v>
      </c>
      <c r="B225" t="s">
        <v>3185</v>
      </c>
      <c r="C225" t="s">
        <v>3224</v>
      </c>
      <c r="D225" s="2">
        <v>1</v>
      </c>
      <c r="E225" s="11" t="s">
        <v>3066</v>
      </c>
      <c r="F225" t="s">
        <v>126</v>
      </c>
      <c r="G225" s="2" t="s">
        <v>23</v>
      </c>
      <c r="H225" s="1">
        <v>95.294000000000011</v>
      </c>
      <c r="M225" s="2">
        <v>722</v>
      </c>
      <c r="N225" s="4">
        <v>43726.964189814818</v>
      </c>
      <c r="O225" t="s">
        <v>3346</v>
      </c>
      <c r="P225" t="s">
        <v>3318</v>
      </c>
      <c r="Q225" s="1">
        <v>1170.0280000000002</v>
      </c>
      <c r="R225" t="s">
        <v>3315</v>
      </c>
      <c r="S225" t="s">
        <v>3324</v>
      </c>
      <c r="T225">
        <f>MONTH(tbPedido[[#This Row],[Comprado Em]])</f>
        <v>9</v>
      </c>
    </row>
    <row r="226" spans="1:20" x14ac:dyDescent="0.3">
      <c r="A226" s="2">
        <v>514</v>
      </c>
      <c r="B226" t="s">
        <v>2250</v>
      </c>
      <c r="C226" t="s">
        <v>3224</v>
      </c>
      <c r="D226" s="2">
        <v>1</v>
      </c>
      <c r="E226" s="11" t="s">
        <v>191</v>
      </c>
      <c r="F226" t="s">
        <v>126</v>
      </c>
      <c r="G226" s="2" t="s">
        <v>4</v>
      </c>
      <c r="H226" s="1">
        <v>63.494000000000007</v>
      </c>
      <c r="M226" s="2">
        <v>723</v>
      </c>
      <c r="N226" s="4">
        <v>43727.400729166664</v>
      </c>
      <c r="O226" t="s">
        <v>3383</v>
      </c>
      <c r="P226" t="s">
        <v>3316</v>
      </c>
      <c r="Q226" s="1">
        <v>1239.3520000000001</v>
      </c>
      <c r="R226" t="s">
        <v>3315</v>
      </c>
      <c r="S226" t="s">
        <v>3320</v>
      </c>
      <c r="T226">
        <f>MONTH(tbPedido[[#This Row],[Comprado Em]])</f>
        <v>9</v>
      </c>
    </row>
    <row r="227" spans="1:20" x14ac:dyDescent="0.3">
      <c r="A227" s="2">
        <v>514</v>
      </c>
      <c r="B227" t="s">
        <v>3457</v>
      </c>
      <c r="C227" t="s">
        <v>3224</v>
      </c>
      <c r="D227" s="2">
        <v>1</v>
      </c>
      <c r="E227" s="11" t="s">
        <v>191</v>
      </c>
      <c r="F227" t="s">
        <v>126</v>
      </c>
      <c r="G227" s="2" t="s">
        <v>31</v>
      </c>
      <c r="H227" s="1">
        <v>63.494000000000007</v>
      </c>
      <c r="M227" s="2">
        <v>724</v>
      </c>
      <c r="N227" s="4">
        <v>43728.632754629631</v>
      </c>
      <c r="O227" t="s">
        <v>3546</v>
      </c>
      <c r="P227" t="s">
        <v>3316</v>
      </c>
      <c r="Q227" s="1">
        <v>778.25200000000018</v>
      </c>
      <c r="R227" t="s">
        <v>3310</v>
      </c>
      <c r="S227" t="s">
        <v>3326</v>
      </c>
      <c r="T227">
        <f>MONTH(tbPedido[[#This Row],[Comprado Em]])</f>
        <v>9</v>
      </c>
    </row>
    <row r="228" spans="1:20" x14ac:dyDescent="0.3">
      <c r="A228" s="2">
        <v>514</v>
      </c>
      <c r="B228" t="s">
        <v>3033</v>
      </c>
      <c r="C228" t="s">
        <v>3224</v>
      </c>
      <c r="D228" s="2">
        <v>1</v>
      </c>
      <c r="E228" s="11" t="s">
        <v>191</v>
      </c>
      <c r="F228" t="s">
        <v>126</v>
      </c>
      <c r="G228" s="2" t="s">
        <v>23</v>
      </c>
      <c r="H228" s="1">
        <v>63.494000000000007</v>
      </c>
      <c r="M228" s="2">
        <v>725</v>
      </c>
      <c r="N228" s="4">
        <v>43729.578761574077</v>
      </c>
      <c r="O228" t="s">
        <v>3343</v>
      </c>
      <c r="P228" t="s">
        <v>3318</v>
      </c>
      <c r="Q228" s="1">
        <v>1906.4100000000003</v>
      </c>
      <c r="R228" t="s">
        <v>3315</v>
      </c>
      <c r="S228" t="s">
        <v>3314</v>
      </c>
      <c r="T228">
        <f>MONTH(tbPedido[[#This Row],[Comprado Em]])</f>
        <v>9</v>
      </c>
    </row>
    <row r="229" spans="1:20" x14ac:dyDescent="0.3">
      <c r="A229" s="2">
        <v>514</v>
      </c>
      <c r="B229" t="s">
        <v>3455</v>
      </c>
      <c r="C229" t="s">
        <v>0</v>
      </c>
      <c r="D229" s="2">
        <v>1</v>
      </c>
      <c r="E229" s="11" t="s">
        <v>3440</v>
      </c>
      <c r="F229" t="s">
        <v>62</v>
      </c>
      <c r="G229" s="2" t="s">
        <v>31</v>
      </c>
      <c r="H229" s="1">
        <v>195.99400000000003</v>
      </c>
      <c r="M229" s="2">
        <v>726</v>
      </c>
      <c r="N229" s="4">
        <v>43729.938460648147</v>
      </c>
      <c r="O229" t="s">
        <v>3400</v>
      </c>
      <c r="P229" t="s">
        <v>3311</v>
      </c>
      <c r="Q229" s="1">
        <v>1185.8220000000001</v>
      </c>
      <c r="R229" t="s">
        <v>3310</v>
      </c>
      <c r="S229" t="s">
        <v>3331</v>
      </c>
      <c r="T229">
        <f>MONTH(tbPedido[[#This Row],[Comprado Em]])</f>
        <v>9</v>
      </c>
    </row>
    <row r="230" spans="1:20" x14ac:dyDescent="0.3">
      <c r="A230" s="2">
        <v>514</v>
      </c>
      <c r="B230" t="s">
        <v>3030</v>
      </c>
      <c r="C230" t="s">
        <v>3219</v>
      </c>
      <c r="D230" s="2">
        <v>2</v>
      </c>
      <c r="E230" s="11" t="s">
        <v>977</v>
      </c>
      <c r="F230" t="s">
        <v>114</v>
      </c>
      <c r="G230" s="2" t="s">
        <v>31</v>
      </c>
      <c r="H230" s="1">
        <v>116.49400000000001</v>
      </c>
      <c r="M230" s="2">
        <v>727</v>
      </c>
      <c r="N230" s="4">
        <v>43730.041863425926</v>
      </c>
      <c r="O230" t="s">
        <v>3732</v>
      </c>
      <c r="P230" t="s">
        <v>3316</v>
      </c>
      <c r="Q230" s="1">
        <v>2852.2619999999997</v>
      </c>
      <c r="R230" t="s">
        <v>3315</v>
      </c>
      <c r="S230" t="s">
        <v>3309</v>
      </c>
      <c r="T230">
        <f>MONTH(tbPedido[[#This Row],[Comprado Em]])</f>
        <v>9</v>
      </c>
    </row>
    <row r="231" spans="1:20" x14ac:dyDescent="0.3">
      <c r="A231" s="2">
        <v>514</v>
      </c>
      <c r="B231" t="s">
        <v>3079</v>
      </c>
      <c r="C231" t="s">
        <v>3219</v>
      </c>
      <c r="D231" s="2">
        <v>2</v>
      </c>
      <c r="E231" s="11" t="s">
        <v>977</v>
      </c>
      <c r="F231" t="s">
        <v>114</v>
      </c>
      <c r="G231" s="2" t="s">
        <v>23</v>
      </c>
      <c r="H231" s="1">
        <v>116.49400000000001</v>
      </c>
      <c r="M231" s="2">
        <v>728</v>
      </c>
      <c r="N231" s="4">
        <v>43731.397476851853</v>
      </c>
      <c r="O231" t="s">
        <v>3351</v>
      </c>
      <c r="P231" t="s">
        <v>3318</v>
      </c>
      <c r="Q231" s="1">
        <v>2085.444</v>
      </c>
      <c r="R231" t="s">
        <v>3310</v>
      </c>
      <c r="S231" t="s">
        <v>3314</v>
      </c>
      <c r="T231">
        <f>MONTH(tbPedido[[#This Row],[Comprado Em]])</f>
        <v>9</v>
      </c>
    </row>
    <row r="232" spans="1:20" x14ac:dyDescent="0.3">
      <c r="A232" s="2">
        <v>514</v>
      </c>
      <c r="B232" t="s">
        <v>3270</v>
      </c>
      <c r="C232" t="s">
        <v>3224</v>
      </c>
      <c r="D232" s="2">
        <v>1</v>
      </c>
      <c r="E232" s="11" t="s">
        <v>3066</v>
      </c>
      <c r="F232" t="s">
        <v>114</v>
      </c>
      <c r="G232" s="2" t="s">
        <v>31</v>
      </c>
      <c r="H232" s="1">
        <v>95.294000000000011</v>
      </c>
      <c r="M232" s="2">
        <v>729</v>
      </c>
      <c r="N232" s="4">
        <v>43731.560115740744</v>
      </c>
      <c r="O232" t="s">
        <v>3658</v>
      </c>
      <c r="P232" t="s">
        <v>3316</v>
      </c>
      <c r="Q232" s="1">
        <v>4434.2980000000025</v>
      </c>
      <c r="R232" t="s">
        <v>3315</v>
      </c>
      <c r="S232" t="s">
        <v>3320</v>
      </c>
      <c r="T232">
        <f>MONTH(tbPedido[[#This Row],[Comprado Em]])</f>
        <v>9</v>
      </c>
    </row>
    <row r="233" spans="1:20" x14ac:dyDescent="0.3">
      <c r="A233" s="2">
        <v>514</v>
      </c>
      <c r="B233" t="s">
        <v>3067</v>
      </c>
      <c r="C233" t="s">
        <v>3224</v>
      </c>
      <c r="D233" s="2">
        <v>1</v>
      </c>
      <c r="E233" s="11" t="s">
        <v>3066</v>
      </c>
      <c r="F233" t="s">
        <v>114</v>
      </c>
      <c r="G233" s="2" t="s">
        <v>23</v>
      </c>
      <c r="H233" s="1">
        <v>95.294000000000011</v>
      </c>
      <c r="M233" s="2">
        <v>730</v>
      </c>
      <c r="N233" s="4">
        <v>43731.586412037039</v>
      </c>
      <c r="O233" t="s">
        <v>3381</v>
      </c>
      <c r="P233" t="s">
        <v>3316</v>
      </c>
      <c r="Q233" s="1">
        <v>1641.6220000000003</v>
      </c>
      <c r="R233" t="s">
        <v>3310</v>
      </c>
      <c r="S233" t="s">
        <v>3320</v>
      </c>
      <c r="T233">
        <f>MONTH(tbPedido[[#This Row],[Comprado Em]])</f>
        <v>9</v>
      </c>
    </row>
    <row r="234" spans="1:20" x14ac:dyDescent="0.3">
      <c r="A234" s="2">
        <v>514</v>
      </c>
      <c r="B234" t="s">
        <v>3218</v>
      </c>
      <c r="C234" t="s">
        <v>0</v>
      </c>
      <c r="D234" s="2">
        <v>1</v>
      </c>
      <c r="E234" s="11" t="s">
        <v>2509</v>
      </c>
      <c r="F234" t="s">
        <v>114</v>
      </c>
      <c r="G234" s="2" t="s">
        <v>31</v>
      </c>
      <c r="H234" s="1">
        <v>153.59400000000002</v>
      </c>
      <c r="M234" s="2">
        <v>731</v>
      </c>
      <c r="N234" s="4">
        <v>43731.787881944445</v>
      </c>
      <c r="O234" t="s">
        <v>3412</v>
      </c>
      <c r="P234" t="s">
        <v>3316</v>
      </c>
      <c r="Q234" s="1">
        <v>2383.4939999999997</v>
      </c>
      <c r="R234" t="s">
        <v>3310</v>
      </c>
      <c r="S234" t="s">
        <v>3326</v>
      </c>
      <c r="T234">
        <f>MONTH(tbPedido[[#This Row],[Comprado Em]])</f>
        <v>9</v>
      </c>
    </row>
    <row r="235" spans="1:20" x14ac:dyDescent="0.3">
      <c r="A235" s="2">
        <v>514</v>
      </c>
      <c r="B235" t="s">
        <v>3490</v>
      </c>
      <c r="C235" t="s">
        <v>0</v>
      </c>
      <c r="D235" s="2">
        <v>1</v>
      </c>
      <c r="E235" s="11" t="s">
        <v>2509</v>
      </c>
      <c r="F235" t="s">
        <v>114</v>
      </c>
      <c r="G235" s="2" t="s">
        <v>23</v>
      </c>
      <c r="H235" s="1">
        <v>153.59400000000002</v>
      </c>
      <c r="M235" s="2">
        <v>732</v>
      </c>
      <c r="N235" s="4">
        <v>43731.797546296293</v>
      </c>
      <c r="O235" t="s">
        <v>3725</v>
      </c>
      <c r="P235" t="s">
        <v>3311</v>
      </c>
      <c r="Q235" s="1">
        <v>1567.21</v>
      </c>
      <c r="R235" t="s">
        <v>3757</v>
      </c>
      <c r="S235" t="s">
        <v>3331</v>
      </c>
      <c r="T235">
        <f>MONTH(tbPedido[[#This Row],[Comprado Em]])</f>
        <v>9</v>
      </c>
    </row>
    <row r="236" spans="1:20" x14ac:dyDescent="0.3">
      <c r="A236" s="2">
        <v>514</v>
      </c>
      <c r="B236" t="s">
        <v>2889</v>
      </c>
      <c r="C236" t="s">
        <v>3219</v>
      </c>
      <c r="D236" s="2">
        <v>2</v>
      </c>
      <c r="E236" s="11" t="s">
        <v>977</v>
      </c>
      <c r="F236" t="s">
        <v>47</v>
      </c>
      <c r="G236" s="2" t="s">
        <v>4</v>
      </c>
      <c r="H236" s="1">
        <v>116.49400000000001</v>
      </c>
      <c r="M236" s="2">
        <v>733</v>
      </c>
      <c r="N236" s="4">
        <v>43731.859988425924</v>
      </c>
      <c r="O236" t="s">
        <v>3599</v>
      </c>
      <c r="P236" t="s">
        <v>3311</v>
      </c>
      <c r="Q236" s="1">
        <v>1864.2220000000002</v>
      </c>
      <c r="R236" t="s">
        <v>3310</v>
      </c>
      <c r="S236" t="s">
        <v>3342</v>
      </c>
      <c r="T236">
        <f>MONTH(tbPedido[[#This Row],[Comprado Em]])</f>
        <v>9</v>
      </c>
    </row>
    <row r="237" spans="1:20" x14ac:dyDescent="0.3">
      <c r="A237" s="2">
        <v>514</v>
      </c>
      <c r="B237" t="s">
        <v>3284</v>
      </c>
      <c r="C237" t="s">
        <v>3219</v>
      </c>
      <c r="D237" s="2">
        <v>2</v>
      </c>
      <c r="E237" s="11" t="s">
        <v>977</v>
      </c>
      <c r="F237" t="s">
        <v>47</v>
      </c>
      <c r="G237" s="2" t="s">
        <v>31</v>
      </c>
      <c r="H237" s="1">
        <v>116.49400000000001</v>
      </c>
      <c r="M237" s="2">
        <v>734</v>
      </c>
      <c r="N237" s="4">
        <v>43731.894930555558</v>
      </c>
      <c r="O237" t="s">
        <v>3487</v>
      </c>
      <c r="P237" t="s">
        <v>3318</v>
      </c>
      <c r="Q237" s="1">
        <v>1959.5160000000005</v>
      </c>
      <c r="R237" t="s">
        <v>3310</v>
      </c>
      <c r="S237" t="s">
        <v>3324</v>
      </c>
      <c r="T237">
        <f>MONTH(tbPedido[[#This Row],[Comprado Em]])</f>
        <v>9</v>
      </c>
    </row>
    <row r="238" spans="1:20" x14ac:dyDescent="0.3">
      <c r="A238" s="2">
        <v>514</v>
      </c>
      <c r="B238" t="s">
        <v>3148</v>
      </c>
      <c r="C238" t="s">
        <v>3219</v>
      </c>
      <c r="D238" s="2">
        <v>2</v>
      </c>
      <c r="E238" s="11" t="s">
        <v>977</v>
      </c>
      <c r="F238" t="s">
        <v>47</v>
      </c>
      <c r="G238" s="2" t="s">
        <v>23</v>
      </c>
      <c r="H238" s="1">
        <v>116.49400000000001</v>
      </c>
      <c r="M238" s="2">
        <v>735</v>
      </c>
      <c r="N238" s="4">
        <v>43731.94630787037</v>
      </c>
      <c r="O238" t="s">
        <v>3671</v>
      </c>
      <c r="P238" t="s">
        <v>3316</v>
      </c>
      <c r="Q238" s="1">
        <v>1588.6220000000003</v>
      </c>
      <c r="R238" t="s">
        <v>3310</v>
      </c>
      <c r="S238" t="s">
        <v>3342</v>
      </c>
      <c r="T238">
        <f>MONTH(tbPedido[[#This Row],[Comprado Em]])</f>
        <v>9</v>
      </c>
    </row>
    <row r="239" spans="1:20" x14ac:dyDescent="0.3">
      <c r="A239" s="2">
        <v>514</v>
      </c>
      <c r="B239" t="s">
        <v>3196</v>
      </c>
      <c r="C239" t="s">
        <v>3224</v>
      </c>
      <c r="D239" s="2">
        <v>1</v>
      </c>
      <c r="E239" s="11" t="s">
        <v>3066</v>
      </c>
      <c r="F239" t="s">
        <v>47</v>
      </c>
      <c r="G239" s="2" t="s">
        <v>31</v>
      </c>
      <c r="H239" s="1">
        <v>95.294000000000011</v>
      </c>
      <c r="M239" s="2">
        <v>736</v>
      </c>
      <c r="N239" s="4">
        <v>43732.085219907407</v>
      </c>
      <c r="O239" t="s">
        <v>3428</v>
      </c>
      <c r="P239" t="s">
        <v>3318</v>
      </c>
      <c r="Q239" s="1">
        <v>1166.0240000000001</v>
      </c>
      <c r="R239" t="s">
        <v>3757</v>
      </c>
      <c r="S239" t="s">
        <v>3320</v>
      </c>
      <c r="T239">
        <f>MONTH(tbPedido[[#This Row],[Comprado Em]])</f>
        <v>9</v>
      </c>
    </row>
    <row r="240" spans="1:20" x14ac:dyDescent="0.3">
      <c r="A240" s="2">
        <v>514</v>
      </c>
      <c r="B240" t="s">
        <v>3166</v>
      </c>
      <c r="C240" t="s">
        <v>3224</v>
      </c>
      <c r="D240" s="2">
        <v>1</v>
      </c>
      <c r="E240" s="11" t="s">
        <v>3066</v>
      </c>
      <c r="F240" t="s">
        <v>47</v>
      </c>
      <c r="G240" s="2" t="s">
        <v>23</v>
      </c>
      <c r="H240" s="1">
        <v>95.294000000000011</v>
      </c>
      <c r="M240" s="2">
        <v>737</v>
      </c>
      <c r="N240" s="4">
        <v>43732.427199074074</v>
      </c>
      <c r="O240" t="s">
        <v>3397</v>
      </c>
      <c r="P240" t="s">
        <v>3311</v>
      </c>
      <c r="Q240" s="1">
        <v>1768.9280000000003</v>
      </c>
      <c r="R240" t="s">
        <v>3310</v>
      </c>
      <c r="S240" t="s">
        <v>3485</v>
      </c>
      <c r="T240">
        <f>MONTH(tbPedido[[#This Row],[Comprado Em]])</f>
        <v>9</v>
      </c>
    </row>
    <row r="241" spans="1:20" x14ac:dyDescent="0.3">
      <c r="A241" s="2">
        <v>514</v>
      </c>
      <c r="B241" t="s">
        <v>3228</v>
      </c>
      <c r="C241" t="s">
        <v>3225</v>
      </c>
      <c r="D241" s="2">
        <v>1</v>
      </c>
      <c r="E241" s="11" t="s">
        <v>1394</v>
      </c>
      <c r="F241" t="s">
        <v>47</v>
      </c>
      <c r="G241" s="2" t="s">
        <v>4</v>
      </c>
      <c r="H241" s="1">
        <v>190.69400000000002</v>
      </c>
      <c r="M241" s="2">
        <v>738</v>
      </c>
      <c r="N241" s="4">
        <v>43732.464918981481</v>
      </c>
      <c r="O241" t="s">
        <v>3406</v>
      </c>
      <c r="P241" t="s">
        <v>3316</v>
      </c>
      <c r="Q241" s="1">
        <v>4103.1539999999995</v>
      </c>
      <c r="R241" t="s">
        <v>3310</v>
      </c>
      <c r="S241" t="s">
        <v>3483</v>
      </c>
      <c r="T241">
        <f>MONTH(tbPedido[[#This Row],[Comprado Em]])</f>
        <v>9</v>
      </c>
    </row>
    <row r="242" spans="1:20" x14ac:dyDescent="0.3">
      <c r="A242" s="2">
        <v>514</v>
      </c>
      <c r="B242" t="s">
        <v>3227</v>
      </c>
      <c r="C242" t="s">
        <v>3225</v>
      </c>
      <c r="D242" s="2">
        <v>1</v>
      </c>
      <c r="E242" s="11" t="s">
        <v>1394</v>
      </c>
      <c r="F242" t="s">
        <v>47</v>
      </c>
      <c r="G242" s="2" t="s">
        <v>31</v>
      </c>
      <c r="H242" s="1">
        <v>190.69400000000002</v>
      </c>
      <c r="M242" s="2">
        <v>739</v>
      </c>
      <c r="N242" s="4">
        <v>43732.495092592595</v>
      </c>
      <c r="O242" t="s">
        <v>3439</v>
      </c>
      <c r="P242" t="s">
        <v>3316</v>
      </c>
      <c r="Q242" s="1">
        <v>911.64600000000019</v>
      </c>
      <c r="R242" t="s">
        <v>3310</v>
      </c>
      <c r="S242" t="s">
        <v>3331</v>
      </c>
      <c r="T242">
        <f>MONTH(tbPedido[[#This Row],[Comprado Em]])</f>
        <v>9</v>
      </c>
    </row>
    <row r="243" spans="1:20" x14ac:dyDescent="0.3">
      <c r="A243" s="2">
        <v>514</v>
      </c>
      <c r="B243" t="s">
        <v>3226</v>
      </c>
      <c r="C243" t="s">
        <v>3225</v>
      </c>
      <c r="D243" s="2">
        <v>1</v>
      </c>
      <c r="E243" s="11" t="s">
        <v>1394</v>
      </c>
      <c r="F243" t="s">
        <v>47</v>
      </c>
      <c r="G243" s="2" t="s">
        <v>23</v>
      </c>
      <c r="H243" s="1">
        <v>190.69400000000002</v>
      </c>
      <c r="M243" s="2">
        <v>740</v>
      </c>
      <c r="N243" s="4">
        <v>43732.557106481479</v>
      </c>
      <c r="O243" t="s">
        <v>3346</v>
      </c>
      <c r="P243" t="s">
        <v>3318</v>
      </c>
      <c r="Q243" s="1">
        <v>1949.81</v>
      </c>
      <c r="R243" t="s">
        <v>3315</v>
      </c>
      <c r="S243" t="s">
        <v>3314</v>
      </c>
      <c r="T243">
        <f>MONTH(tbPedido[[#This Row],[Comprado Em]])</f>
        <v>9</v>
      </c>
    </row>
    <row r="244" spans="1:20" x14ac:dyDescent="0.3">
      <c r="A244" s="2">
        <v>514</v>
      </c>
      <c r="B244" t="s">
        <v>225</v>
      </c>
      <c r="C244" t="s">
        <v>3224</v>
      </c>
      <c r="D244" s="2">
        <v>1</v>
      </c>
      <c r="E244" s="11" t="s">
        <v>191</v>
      </c>
      <c r="F244" t="s">
        <v>47</v>
      </c>
      <c r="G244" s="2" t="s">
        <v>31</v>
      </c>
      <c r="H244" s="1">
        <v>63.494000000000007</v>
      </c>
      <c r="M244" s="2">
        <v>741</v>
      </c>
      <c r="N244" s="4">
        <v>43732.706678240742</v>
      </c>
      <c r="O244" t="s">
        <v>3355</v>
      </c>
      <c r="P244" t="s">
        <v>3318</v>
      </c>
      <c r="Q244" s="1">
        <v>1525.1280000000002</v>
      </c>
      <c r="R244" t="s">
        <v>3310</v>
      </c>
      <c r="S244" t="s">
        <v>3465</v>
      </c>
      <c r="T244">
        <f>MONTH(tbPedido[[#This Row],[Comprado Em]])</f>
        <v>9</v>
      </c>
    </row>
    <row r="245" spans="1:20" x14ac:dyDescent="0.3">
      <c r="A245" s="2">
        <v>514</v>
      </c>
      <c r="B245" t="s">
        <v>224</v>
      </c>
      <c r="C245" t="s">
        <v>3224</v>
      </c>
      <c r="D245" s="2">
        <v>1</v>
      </c>
      <c r="E245" s="11" t="s">
        <v>191</v>
      </c>
      <c r="F245" t="s">
        <v>47</v>
      </c>
      <c r="G245" s="2" t="s">
        <v>23</v>
      </c>
      <c r="H245" s="1">
        <v>63.494000000000007</v>
      </c>
      <c r="M245" s="2">
        <v>742</v>
      </c>
      <c r="N245" s="4">
        <v>43732.724780092591</v>
      </c>
      <c r="O245" t="s">
        <v>3346</v>
      </c>
      <c r="P245" t="s">
        <v>3318</v>
      </c>
      <c r="Q245" s="1">
        <v>3683.5000000000018</v>
      </c>
      <c r="R245" t="s">
        <v>3310</v>
      </c>
      <c r="S245" t="s">
        <v>3320</v>
      </c>
      <c r="T245">
        <f>MONTH(tbPedido[[#This Row],[Comprado Em]])</f>
        <v>9</v>
      </c>
    </row>
    <row r="246" spans="1:20" x14ac:dyDescent="0.3">
      <c r="A246" s="2">
        <v>514</v>
      </c>
      <c r="B246" t="s">
        <v>3257</v>
      </c>
      <c r="C246" t="s">
        <v>3219</v>
      </c>
      <c r="D246" s="2">
        <v>1</v>
      </c>
      <c r="E246" s="11" t="s">
        <v>977</v>
      </c>
      <c r="F246" t="s">
        <v>39</v>
      </c>
      <c r="G246" s="2" t="s">
        <v>31</v>
      </c>
      <c r="H246" s="1">
        <v>116.49400000000001</v>
      </c>
      <c r="M246" s="2">
        <v>743</v>
      </c>
      <c r="N246" s="4">
        <v>43732.815763888888</v>
      </c>
      <c r="O246" t="s">
        <v>3473</v>
      </c>
      <c r="P246" t="s">
        <v>3311</v>
      </c>
      <c r="Q246" s="1">
        <v>1636.3220000000001</v>
      </c>
      <c r="R246" t="s">
        <v>3310</v>
      </c>
      <c r="S246" t="s">
        <v>3314</v>
      </c>
      <c r="T246">
        <f>MONTH(tbPedido[[#This Row],[Comprado Em]])</f>
        <v>9</v>
      </c>
    </row>
    <row r="247" spans="1:20" x14ac:dyDescent="0.3">
      <c r="A247" s="2">
        <v>514</v>
      </c>
      <c r="B247" t="s">
        <v>3256</v>
      </c>
      <c r="C247" t="s">
        <v>3219</v>
      </c>
      <c r="D247" s="2">
        <v>1</v>
      </c>
      <c r="E247" s="11" t="s">
        <v>977</v>
      </c>
      <c r="F247" t="s">
        <v>39</v>
      </c>
      <c r="G247" s="2" t="s">
        <v>23</v>
      </c>
      <c r="H247" s="1">
        <v>116.49400000000001</v>
      </c>
      <c r="M247" s="2">
        <v>744</v>
      </c>
      <c r="N247" s="4">
        <v>43733.607152777775</v>
      </c>
      <c r="O247" t="s">
        <v>3575</v>
      </c>
      <c r="P247" t="s">
        <v>3316</v>
      </c>
      <c r="Q247" s="1">
        <v>851.07399999999996</v>
      </c>
      <c r="R247" t="s">
        <v>3757</v>
      </c>
      <c r="S247" t="s">
        <v>3320</v>
      </c>
      <c r="T247">
        <f>MONTH(tbPedido[[#This Row],[Comprado Em]])</f>
        <v>9</v>
      </c>
    </row>
    <row r="248" spans="1:20" x14ac:dyDescent="0.3">
      <c r="A248" s="2">
        <v>514</v>
      </c>
      <c r="B248" t="s">
        <v>3441</v>
      </c>
      <c r="C248" t="s">
        <v>0</v>
      </c>
      <c r="D248" s="2">
        <v>2</v>
      </c>
      <c r="E248" s="11" t="s">
        <v>3440</v>
      </c>
      <c r="F248" t="s">
        <v>28</v>
      </c>
      <c r="G248" s="2" t="s">
        <v>23</v>
      </c>
      <c r="H248" s="1">
        <v>195.99400000000003</v>
      </c>
      <c r="M248" s="2">
        <v>745</v>
      </c>
      <c r="N248" s="4">
        <v>43734.486388888887</v>
      </c>
      <c r="O248" t="s">
        <v>3355</v>
      </c>
      <c r="P248" t="s">
        <v>3318</v>
      </c>
      <c r="Q248" s="1">
        <v>2772.5359999999991</v>
      </c>
      <c r="R248" t="s">
        <v>3315</v>
      </c>
      <c r="S248" t="s">
        <v>3366</v>
      </c>
      <c r="T248">
        <f>MONTH(tbPedido[[#This Row],[Comprado Em]])</f>
        <v>9</v>
      </c>
    </row>
    <row r="249" spans="1:20" x14ac:dyDescent="0.3">
      <c r="A249" s="2">
        <v>514</v>
      </c>
      <c r="B249" t="s">
        <v>2526</v>
      </c>
      <c r="C249" t="s">
        <v>3225</v>
      </c>
      <c r="D249" s="2">
        <v>1</v>
      </c>
      <c r="E249" s="11" t="s">
        <v>2511</v>
      </c>
      <c r="F249" t="s">
        <v>28</v>
      </c>
      <c r="G249" s="2" t="s">
        <v>4</v>
      </c>
      <c r="H249" s="1">
        <v>164.19400000000002</v>
      </c>
      <c r="M249" s="2">
        <v>746</v>
      </c>
      <c r="N249" s="4">
        <v>43734.577453703707</v>
      </c>
      <c r="O249" t="s">
        <v>3347</v>
      </c>
      <c r="P249" t="s">
        <v>3318</v>
      </c>
      <c r="Q249" s="1">
        <v>2175.4380000000006</v>
      </c>
      <c r="R249" t="s">
        <v>3310</v>
      </c>
      <c r="S249" t="s">
        <v>3324</v>
      </c>
      <c r="T249">
        <f>MONTH(tbPedido[[#This Row],[Comprado Em]])</f>
        <v>9</v>
      </c>
    </row>
    <row r="250" spans="1:20" x14ac:dyDescent="0.3">
      <c r="A250" s="2">
        <v>514</v>
      </c>
      <c r="B250" t="s">
        <v>3223</v>
      </c>
      <c r="C250" t="s">
        <v>0</v>
      </c>
      <c r="D250" s="2">
        <v>1</v>
      </c>
      <c r="E250" s="11" t="s">
        <v>2509</v>
      </c>
      <c r="F250" t="s">
        <v>28</v>
      </c>
      <c r="G250" s="2" t="s">
        <v>4</v>
      </c>
      <c r="H250" s="1">
        <v>153.59400000000002</v>
      </c>
      <c r="M250" s="2">
        <v>747</v>
      </c>
      <c r="N250" s="4">
        <v>43734.621655092589</v>
      </c>
      <c r="O250" t="s">
        <v>3529</v>
      </c>
      <c r="P250" t="s">
        <v>3316</v>
      </c>
      <c r="Q250" s="1">
        <v>693.452</v>
      </c>
      <c r="R250" t="s">
        <v>3757</v>
      </c>
      <c r="S250" t="s">
        <v>3320</v>
      </c>
      <c r="T250">
        <f>MONTH(tbPedido[[#This Row],[Comprado Em]])</f>
        <v>9</v>
      </c>
    </row>
    <row r="251" spans="1:20" x14ac:dyDescent="0.3">
      <c r="A251" s="2">
        <v>514</v>
      </c>
      <c r="B251" t="s">
        <v>3477</v>
      </c>
      <c r="C251" t="s">
        <v>0</v>
      </c>
      <c r="D251" s="2">
        <v>1</v>
      </c>
      <c r="E251" s="11" t="s">
        <v>2509</v>
      </c>
      <c r="F251" t="s">
        <v>28</v>
      </c>
      <c r="G251" s="2" t="s">
        <v>31</v>
      </c>
      <c r="H251" s="1">
        <v>153.59400000000002</v>
      </c>
      <c r="M251" s="2">
        <v>748</v>
      </c>
      <c r="N251" s="4">
        <v>43735.422662037039</v>
      </c>
      <c r="O251" t="s">
        <v>3361</v>
      </c>
      <c r="P251" t="s">
        <v>3318</v>
      </c>
      <c r="Q251" s="1">
        <v>1614.6980000000003</v>
      </c>
      <c r="R251" t="s">
        <v>3310</v>
      </c>
      <c r="S251" t="s">
        <v>3324</v>
      </c>
      <c r="T251">
        <f>MONTH(tbPedido[[#This Row],[Comprado Em]])</f>
        <v>9</v>
      </c>
    </row>
    <row r="252" spans="1:20" x14ac:dyDescent="0.3">
      <c r="A252" s="2">
        <v>514</v>
      </c>
      <c r="B252" t="s">
        <v>3462</v>
      </c>
      <c r="C252" t="s">
        <v>0</v>
      </c>
      <c r="D252" s="2">
        <v>1</v>
      </c>
      <c r="E252" s="11" t="s">
        <v>2509</v>
      </c>
      <c r="F252" t="s">
        <v>28</v>
      </c>
      <c r="G252" s="2" t="s">
        <v>23</v>
      </c>
      <c r="H252" s="1">
        <v>153.59400000000002</v>
      </c>
      <c r="M252" s="2">
        <v>749</v>
      </c>
      <c r="N252" s="4">
        <v>43735.720752314817</v>
      </c>
      <c r="O252" t="s">
        <v>3377</v>
      </c>
      <c r="P252" t="s">
        <v>3311</v>
      </c>
      <c r="Q252" s="1">
        <v>1349.2740000000001</v>
      </c>
      <c r="R252" t="s">
        <v>3310</v>
      </c>
      <c r="S252" t="s">
        <v>3320</v>
      </c>
      <c r="T252">
        <f>MONTH(tbPedido[[#This Row],[Comprado Em]])</f>
        <v>9</v>
      </c>
    </row>
    <row r="253" spans="1:20" x14ac:dyDescent="0.3">
      <c r="A253" s="2">
        <v>514</v>
      </c>
      <c r="B253" t="s">
        <v>1957</v>
      </c>
      <c r="C253" t="s">
        <v>3225</v>
      </c>
      <c r="D253" s="2">
        <v>1</v>
      </c>
      <c r="E253" s="11" t="s">
        <v>1394</v>
      </c>
      <c r="F253" t="s">
        <v>28</v>
      </c>
      <c r="G253" s="2" t="s">
        <v>4</v>
      </c>
      <c r="H253" s="1">
        <v>190.69400000000002</v>
      </c>
      <c r="M253" s="2">
        <v>750</v>
      </c>
      <c r="N253" s="4">
        <v>43736.771909722222</v>
      </c>
      <c r="O253" t="s">
        <v>3343</v>
      </c>
      <c r="P253" t="s">
        <v>3316</v>
      </c>
      <c r="Q253" s="1">
        <v>2414.1499999999996</v>
      </c>
      <c r="R253" t="s">
        <v>3757</v>
      </c>
      <c r="S253" t="s">
        <v>3392</v>
      </c>
      <c r="T253">
        <f>MONTH(tbPedido[[#This Row],[Comprado Em]])</f>
        <v>9</v>
      </c>
    </row>
    <row r="254" spans="1:20" x14ac:dyDescent="0.3">
      <c r="A254" s="2">
        <v>514</v>
      </c>
      <c r="B254" t="s">
        <v>3460</v>
      </c>
      <c r="C254" t="s">
        <v>3225</v>
      </c>
      <c r="D254" s="2">
        <v>1</v>
      </c>
      <c r="E254" s="11" t="s">
        <v>1394</v>
      </c>
      <c r="F254" t="s">
        <v>28</v>
      </c>
      <c r="G254" s="2" t="s">
        <v>31</v>
      </c>
      <c r="H254" s="1">
        <v>190.69400000000002</v>
      </c>
      <c r="M254" s="2">
        <v>751</v>
      </c>
      <c r="N254" s="4">
        <v>43736.789560185185</v>
      </c>
      <c r="O254" t="s">
        <v>3474</v>
      </c>
      <c r="P254" t="s">
        <v>3318</v>
      </c>
      <c r="Q254" s="1">
        <v>1800.41</v>
      </c>
      <c r="R254" t="s">
        <v>3310</v>
      </c>
      <c r="S254" t="s">
        <v>3314</v>
      </c>
      <c r="T254">
        <f>MONTH(tbPedido[[#This Row],[Comprado Em]])</f>
        <v>9</v>
      </c>
    </row>
    <row r="255" spans="1:20" x14ac:dyDescent="0.3">
      <c r="A255" s="2">
        <v>514</v>
      </c>
      <c r="B255" t="s">
        <v>1956</v>
      </c>
      <c r="C255" t="s">
        <v>3225</v>
      </c>
      <c r="D255" s="2">
        <v>1</v>
      </c>
      <c r="E255" s="11" t="s">
        <v>1394</v>
      </c>
      <c r="F255" t="s">
        <v>28</v>
      </c>
      <c r="G255" s="2" t="s">
        <v>23</v>
      </c>
      <c r="H255" s="1">
        <v>190.69400000000002</v>
      </c>
      <c r="M255" s="2">
        <v>752</v>
      </c>
      <c r="N255" s="4">
        <v>43737.623460648145</v>
      </c>
      <c r="O255" t="s">
        <v>3355</v>
      </c>
      <c r="P255" t="s">
        <v>3311</v>
      </c>
      <c r="Q255" s="1">
        <v>1611.2240000000004</v>
      </c>
      <c r="R255" t="s">
        <v>3757</v>
      </c>
      <c r="S255" t="s">
        <v>3434</v>
      </c>
      <c r="T255">
        <f>MONTH(tbPedido[[#This Row],[Comprado Em]])</f>
        <v>9</v>
      </c>
    </row>
    <row r="256" spans="1:20" x14ac:dyDescent="0.3">
      <c r="A256" s="2">
        <v>515</v>
      </c>
      <c r="B256" t="s">
        <v>2664</v>
      </c>
      <c r="C256" t="s">
        <v>2</v>
      </c>
      <c r="D256" s="2">
        <v>1</v>
      </c>
      <c r="E256" s="11" t="s">
        <v>2081</v>
      </c>
      <c r="F256" t="s">
        <v>28</v>
      </c>
      <c r="G256" s="2" t="s">
        <v>31</v>
      </c>
      <c r="H256" s="1">
        <v>74.094000000000008</v>
      </c>
      <c r="M256" s="2">
        <v>753</v>
      </c>
      <c r="N256" s="4">
        <v>43737.879120370373</v>
      </c>
      <c r="O256" t="s">
        <v>3691</v>
      </c>
      <c r="P256" t="s">
        <v>3318</v>
      </c>
      <c r="Q256" s="1">
        <v>1657.5220000000002</v>
      </c>
      <c r="R256" t="s">
        <v>3310</v>
      </c>
      <c r="S256" t="s">
        <v>3360</v>
      </c>
      <c r="T256">
        <f>MONTH(tbPedido[[#This Row],[Comprado Em]])</f>
        <v>9</v>
      </c>
    </row>
    <row r="257" spans="1:20" x14ac:dyDescent="0.3">
      <c r="A257" s="2">
        <v>515</v>
      </c>
      <c r="B257" t="s">
        <v>3380</v>
      </c>
      <c r="C257" t="s">
        <v>1</v>
      </c>
      <c r="D257" s="2">
        <v>1</v>
      </c>
      <c r="E257" s="11" t="s">
        <v>3379</v>
      </c>
      <c r="F257" t="s">
        <v>114</v>
      </c>
      <c r="G257" s="2" t="s">
        <v>31</v>
      </c>
      <c r="H257" s="1">
        <v>95.294000000000011</v>
      </c>
      <c r="M257" s="2">
        <v>754</v>
      </c>
      <c r="N257" s="4">
        <v>43737.968530092592</v>
      </c>
      <c r="O257" t="s">
        <v>3703</v>
      </c>
      <c r="P257" t="s">
        <v>3311</v>
      </c>
      <c r="Q257" s="1">
        <v>1382.028</v>
      </c>
      <c r="R257" t="s">
        <v>3310</v>
      </c>
      <c r="S257" t="s">
        <v>3326</v>
      </c>
      <c r="T257">
        <f>MONTH(tbPedido[[#This Row],[Comprado Em]])</f>
        <v>9</v>
      </c>
    </row>
    <row r="258" spans="1:20" x14ac:dyDescent="0.3">
      <c r="A258" s="2">
        <v>515</v>
      </c>
      <c r="B258" t="s">
        <v>3471</v>
      </c>
      <c r="C258" t="s">
        <v>1</v>
      </c>
      <c r="D258" s="2">
        <v>2</v>
      </c>
      <c r="E258" s="11" t="s">
        <v>3379</v>
      </c>
      <c r="F258" t="s">
        <v>114</v>
      </c>
      <c r="G258" s="2" t="s">
        <v>23</v>
      </c>
      <c r="H258" s="1">
        <v>95.294000000000011</v>
      </c>
      <c r="M258" s="2">
        <v>755</v>
      </c>
      <c r="N258" s="4">
        <v>43738.334027777775</v>
      </c>
      <c r="O258" t="s">
        <v>3689</v>
      </c>
      <c r="P258" t="s">
        <v>3311</v>
      </c>
      <c r="Q258" s="1">
        <v>2134.6279999999997</v>
      </c>
      <c r="R258" t="s">
        <v>3310</v>
      </c>
      <c r="S258" t="s">
        <v>3320</v>
      </c>
      <c r="T258">
        <f>MONTH(tbPedido[[#This Row],[Comprado Em]])</f>
        <v>9</v>
      </c>
    </row>
    <row r="259" spans="1:20" x14ac:dyDescent="0.3">
      <c r="A259" s="2">
        <v>515</v>
      </c>
      <c r="B259" t="s">
        <v>2971</v>
      </c>
      <c r="C259" t="s">
        <v>2</v>
      </c>
      <c r="D259" s="2">
        <v>1</v>
      </c>
      <c r="E259" s="11" t="s">
        <v>2081</v>
      </c>
      <c r="F259" t="s">
        <v>47</v>
      </c>
      <c r="G259" s="2" t="s">
        <v>31</v>
      </c>
      <c r="H259" s="1">
        <v>74.094000000000008</v>
      </c>
      <c r="M259" s="2">
        <v>756</v>
      </c>
      <c r="N259" s="4">
        <v>43738.410995370374</v>
      </c>
      <c r="O259" t="s">
        <v>3684</v>
      </c>
      <c r="P259" t="s">
        <v>3311</v>
      </c>
      <c r="Q259" s="1">
        <v>1963.6500000000008</v>
      </c>
      <c r="R259" t="s">
        <v>3310</v>
      </c>
      <c r="S259" t="s">
        <v>3320</v>
      </c>
      <c r="T259">
        <f>MONTH(tbPedido[[#This Row],[Comprado Em]])</f>
        <v>9</v>
      </c>
    </row>
    <row r="260" spans="1:20" x14ac:dyDescent="0.3">
      <c r="A260" s="2">
        <v>515</v>
      </c>
      <c r="B260" t="s">
        <v>3469</v>
      </c>
      <c r="C260" t="s">
        <v>2</v>
      </c>
      <c r="D260" s="2">
        <v>1</v>
      </c>
      <c r="E260" s="11" t="s">
        <v>2081</v>
      </c>
      <c r="F260" t="s">
        <v>47</v>
      </c>
      <c r="G260" s="2" t="s">
        <v>23</v>
      </c>
      <c r="H260" s="1">
        <v>74.094000000000008</v>
      </c>
      <c r="M260" s="2">
        <v>757</v>
      </c>
      <c r="N260" s="4">
        <v>43738.424062500002</v>
      </c>
      <c r="O260" t="s">
        <v>3403</v>
      </c>
      <c r="P260" t="s">
        <v>3318</v>
      </c>
      <c r="Q260" s="1">
        <v>1747.7279999999998</v>
      </c>
      <c r="R260" t="s">
        <v>3310</v>
      </c>
      <c r="S260" t="s">
        <v>3366</v>
      </c>
      <c r="T260">
        <f>MONTH(tbPedido[[#This Row],[Comprado Em]])</f>
        <v>9</v>
      </c>
    </row>
    <row r="261" spans="1:20" x14ac:dyDescent="0.3">
      <c r="A261" s="2">
        <v>515</v>
      </c>
      <c r="B261" t="s">
        <v>3228</v>
      </c>
      <c r="C261" t="s">
        <v>3225</v>
      </c>
      <c r="D261" s="2">
        <v>1</v>
      </c>
      <c r="E261" s="11" t="s">
        <v>1394</v>
      </c>
      <c r="F261" t="s">
        <v>47</v>
      </c>
      <c r="G261" s="2" t="s">
        <v>4</v>
      </c>
      <c r="H261" s="1">
        <v>190.69400000000002</v>
      </c>
      <c r="M261" s="2">
        <v>758</v>
      </c>
      <c r="N261" s="4">
        <v>43738.437615740739</v>
      </c>
      <c r="O261" t="s">
        <v>3339</v>
      </c>
      <c r="P261" t="s">
        <v>3316</v>
      </c>
      <c r="Q261" s="1">
        <v>2414.1499999999996</v>
      </c>
      <c r="R261" t="s">
        <v>3757</v>
      </c>
      <c r="S261" t="s">
        <v>3392</v>
      </c>
      <c r="T261">
        <f>MONTH(tbPedido[[#This Row],[Comprado Em]])</f>
        <v>9</v>
      </c>
    </row>
    <row r="262" spans="1:20" x14ac:dyDescent="0.3">
      <c r="A262" s="2">
        <v>515</v>
      </c>
      <c r="B262" t="s">
        <v>3257</v>
      </c>
      <c r="C262" t="s">
        <v>3219</v>
      </c>
      <c r="D262" s="2">
        <v>2</v>
      </c>
      <c r="E262" s="11" t="s">
        <v>977</v>
      </c>
      <c r="F262" t="s">
        <v>39</v>
      </c>
      <c r="G262" s="2" t="s">
        <v>31</v>
      </c>
      <c r="H262" s="1">
        <v>116.49400000000001</v>
      </c>
      <c r="M262" s="2">
        <v>759</v>
      </c>
      <c r="N262" s="4">
        <v>43738.44630787037</v>
      </c>
      <c r="O262" t="s">
        <v>3406</v>
      </c>
      <c r="P262" t="s">
        <v>3318</v>
      </c>
      <c r="Q262" s="1">
        <v>2149.7860000000001</v>
      </c>
      <c r="R262" t="s">
        <v>3757</v>
      </c>
      <c r="S262" t="s">
        <v>3342</v>
      </c>
      <c r="T262">
        <f>MONTH(tbPedido[[#This Row],[Comprado Em]])</f>
        <v>9</v>
      </c>
    </row>
    <row r="263" spans="1:20" x14ac:dyDescent="0.3">
      <c r="A263" s="2">
        <v>515</v>
      </c>
      <c r="B263" t="s">
        <v>3256</v>
      </c>
      <c r="C263" t="s">
        <v>3219</v>
      </c>
      <c r="D263" s="2">
        <v>2</v>
      </c>
      <c r="E263" s="11" t="s">
        <v>977</v>
      </c>
      <c r="F263" t="s">
        <v>39</v>
      </c>
      <c r="G263" s="2" t="s">
        <v>23</v>
      </c>
      <c r="H263" s="1">
        <v>116.49400000000001</v>
      </c>
      <c r="M263" s="2">
        <v>760</v>
      </c>
      <c r="N263" s="4">
        <v>43738.461886574078</v>
      </c>
      <c r="O263" t="s">
        <v>3459</v>
      </c>
      <c r="P263" t="s">
        <v>3311</v>
      </c>
      <c r="Q263" s="1">
        <v>1783.8739999999993</v>
      </c>
      <c r="R263" t="s">
        <v>3310</v>
      </c>
      <c r="S263" t="s">
        <v>3465</v>
      </c>
      <c r="T263">
        <f>MONTH(tbPedido[[#This Row],[Comprado Em]])</f>
        <v>9</v>
      </c>
    </row>
    <row r="264" spans="1:20" x14ac:dyDescent="0.3">
      <c r="A264" s="2">
        <v>515</v>
      </c>
      <c r="B264" t="s">
        <v>3257</v>
      </c>
      <c r="C264" t="s">
        <v>3219</v>
      </c>
      <c r="D264" s="2">
        <v>2</v>
      </c>
      <c r="E264" s="11" t="s">
        <v>977</v>
      </c>
      <c r="F264" t="s">
        <v>39</v>
      </c>
      <c r="G264" s="2" t="s">
        <v>31</v>
      </c>
      <c r="H264" s="1">
        <v>116.49400000000001</v>
      </c>
      <c r="M264" s="2">
        <v>761</v>
      </c>
      <c r="N264" s="4">
        <v>43738.48814814815</v>
      </c>
      <c r="O264" t="s">
        <v>3466</v>
      </c>
      <c r="P264" t="s">
        <v>3316</v>
      </c>
      <c r="Q264" s="1">
        <v>1710.2040000000004</v>
      </c>
      <c r="R264" t="s">
        <v>3315</v>
      </c>
      <c r="S264" t="s">
        <v>3309</v>
      </c>
      <c r="T264">
        <f>MONTH(tbPedido[[#This Row],[Comprado Em]])</f>
        <v>9</v>
      </c>
    </row>
    <row r="265" spans="1:20" x14ac:dyDescent="0.3">
      <c r="A265" s="2">
        <v>515</v>
      </c>
      <c r="B265" t="s">
        <v>3256</v>
      </c>
      <c r="C265" t="s">
        <v>3219</v>
      </c>
      <c r="D265" s="2">
        <v>2</v>
      </c>
      <c r="E265" s="11" t="s">
        <v>977</v>
      </c>
      <c r="F265" t="s">
        <v>39</v>
      </c>
      <c r="G265" s="2" t="s">
        <v>23</v>
      </c>
      <c r="H265" s="1">
        <v>116.49400000000001</v>
      </c>
      <c r="M265" s="2">
        <v>762</v>
      </c>
      <c r="N265" s="4">
        <v>43738.621678240743</v>
      </c>
      <c r="O265" t="s">
        <v>3348</v>
      </c>
      <c r="P265" t="s">
        <v>3316</v>
      </c>
      <c r="Q265" s="1">
        <v>1847.4740000000004</v>
      </c>
      <c r="R265" t="s">
        <v>3315</v>
      </c>
      <c r="S265" t="s">
        <v>3322</v>
      </c>
      <c r="T265">
        <f>MONTH(tbPedido[[#This Row],[Comprado Em]])</f>
        <v>9</v>
      </c>
    </row>
    <row r="266" spans="1:20" x14ac:dyDescent="0.3">
      <c r="A266" s="2">
        <v>515</v>
      </c>
      <c r="B266" t="s">
        <v>3464</v>
      </c>
      <c r="C266" t="s">
        <v>0</v>
      </c>
      <c r="D266" s="2">
        <v>1</v>
      </c>
      <c r="E266" s="11" t="s">
        <v>2509</v>
      </c>
      <c r="F266" t="s">
        <v>39</v>
      </c>
      <c r="G266" s="2" t="s">
        <v>23</v>
      </c>
      <c r="H266" s="1">
        <v>153.59400000000002</v>
      </c>
      <c r="M266" s="2">
        <v>763</v>
      </c>
      <c r="N266" s="4">
        <v>43738.651805555557</v>
      </c>
      <c r="O266" t="s">
        <v>3348</v>
      </c>
      <c r="P266" t="s">
        <v>3316</v>
      </c>
      <c r="Q266" s="1">
        <v>3519.0940000000001</v>
      </c>
      <c r="R266" t="s">
        <v>3315</v>
      </c>
      <c r="S266" t="s">
        <v>3320</v>
      </c>
      <c r="T266">
        <f>MONTH(tbPedido[[#This Row],[Comprado Em]])</f>
        <v>9</v>
      </c>
    </row>
    <row r="267" spans="1:20" x14ac:dyDescent="0.3">
      <c r="A267" s="2">
        <v>515</v>
      </c>
      <c r="B267" t="s">
        <v>2709</v>
      </c>
      <c r="C267" t="s">
        <v>2</v>
      </c>
      <c r="D267" s="2">
        <v>1</v>
      </c>
      <c r="E267" s="11" t="s">
        <v>2081</v>
      </c>
      <c r="F267" t="s">
        <v>28</v>
      </c>
      <c r="G267" s="2" t="s">
        <v>23</v>
      </c>
      <c r="H267" s="1">
        <v>74.094000000000008</v>
      </c>
      <c r="M267" s="2">
        <v>764</v>
      </c>
      <c r="N267" s="4">
        <v>43739.375937500001</v>
      </c>
      <c r="O267" t="s">
        <v>3519</v>
      </c>
      <c r="P267" t="s">
        <v>3311</v>
      </c>
      <c r="Q267" s="1">
        <v>1037.528</v>
      </c>
      <c r="R267" t="s">
        <v>3315</v>
      </c>
      <c r="S267" t="s">
        <v>3320</v>
      </c>
      <c r="T267">
        <f>MONTH(tbPedido[[#This Row],[Comprado Em]])</f>
        <v>10</v>
      </c>
    </row>
    <row r="268" spans="1:20" x14ac:dyDescent="0.3">
      <c r="A268" s="2">
        <v>515</v>
      </c>
      <c r="B268" t="s">
        <v>3462</v>
      </c>
      <c r="C268" t="s">
        <v>0</v>
      </c>
      <c r="D268" s="2">
        <v>1</v>
      </c>
      <c r="E268" s="11" t="s">
        <v>2509</v>
      </c>
      <c r="F268" t="s">
        <v>28</v>
      </c>
      <c r="G268" s="2" t="s">
        <v>23</v>
      </c>
      <c r="H268" s="1">
        <v>153.59400000000002</v>
      </c>
      <c r="M268" s="2">
        <v>765</v>
      </c>
      <c r="N268" s="4">
        <v>43739.621030092596</v>
      </c>
      <c r="O268" t="s">
        <v>3343</v>
      </c>
      <c r="P268" t="s">
        <v>3318</v>
      </c>
      <c r="Q268" s="1">
        <v>1222.18</v>
      </c>
      <c r="R268" t="s">
        <v>3310</v>
      </c>
      <c r="S268" t="s">
        <v>3366</v>
      </c>
      <c r="T268">
        <f>MONTH(tbPedido[[#This Row],[Comprado Em]])</f>
        <v>10</v>
      </c>
    </row>
    <row r="269" spans="1:20" x14ac:dyDescent="0.3">
      <c r="A269" s="2">
        <v>515</v>
      </c>
      <c r="B269" t="s">
        <v>3460</v>
      </c>
      <c r="C269" t="s">
        <v>3225</v>
      </c>
      <c r="D269" s="2">
        <v>1</v>
      </c>
      <c r="E269" s="11" t="s">
        <v>1394</v>
      </c>
      <c r="F269" t="s">
        <v>28</v>
      </c>
      <c r="G269" s="2" t="s">
        <v>31</v>
      </c>
      <c r="H269" s="1">
        <v>190.69400000000002</v>
      </c>
      <c r="M269" s="2">
        <v>766</v>
      </c>
      <c r="N269" s="4">
        <v>43739.846932870372</v>
      </c>
      <c r="O269" t="s">
        <v>3367</v>
      </c>
      <c r="P269" t="s">
        <v>3316</v>
      </c>
      <c r="Q269" s="1">
        <v>1272.6220000000001</v>
      </c>
      <c r="R269" t="s">
        <v>3757</v>
      </c>
      <c r="S269" t="s">
        <v>3320</v>
      </c>
      <c r="T269">
        <f>MONTH(tbPedido[[#This Row],[Comprado Em]])</f>
        <v>10</v>
      </c>
    </row>
    <row r="270" spans="1:20" x14ac:dyDescent="0.3">
      <c r="A270" s="2">
        <v>515</v>
      </c>
      <c r="B270" t="s">
        <v>1956</v>
      </c>
      <c r="C270" t="s">
        <v>3225</v>
      </c>
      <c r="D270" s="2">
        <v>2</v>
      </c>
      <c r="E270" s="11" t="s">
        <v>1394</v>
      </c>
      <c r="F270" t="s">
        <v>28</v>
      </c>
      <c r="G270" s="2" t="s">
        <v>23</v>
      </c>
      <c r="H270" s="1">
        <v>190.69400000000002</v>
      </c>
      <c r="M270" s="2">
        <v>767</v>
      </c>
      <c r="N270" s="4">
        <v>43740.591597222221</v>
      </c>
      <c r="O270" t="s">
        <v>3733</v>
      </c>
      <c r="P270" t="s">
        <v>3311</v>
      </c>
      <c r="Q270" s="1">
        <v>1434.3920000000005</v>
      </c>
      <c r="R270" t="s">
        <v>3310</v>
      </c>
      <c r="S270" t="s">
        <v>3322</v>
      </c>
      <c r="T270">
        <f>MONTH(tbPedido[[#This Row],[Comprado Em]])</f>
        <v>10</v>
      </c>
    </row>
    <row r="271" spans="1:20" x14ac:dyDescent="0.3">
      <c r="A271" s="2">
        <v>516</v>
      </c>
      <c r="B271" t="s">
        <v>3110</v>
      </c>
      <c r="C271" t="s">
        <v>0</v>
      </c>
      <c r="D271" s="2">
        <v>1</v>
      </c>
      <c r="E271" s="11" t="s">
        <v>3102</v>
      </c>
      <c r="F271" t="s">
        <v>65</v>
      </c>
      <c r="G271" s="2" t="s">
        <v>4</v>
      </c>
      <c r="H271" s="1">
        <v>142.994</v>
      </c>
      <c r="M271" s="2">
        <v>768</v>
      </c>
      <c r="N271" s="4">
        <v>43740.608252314814</v>
      </c>
      <c r="O271" t="s">
        <v>3705</v>
      </c>
      <c r="P271" t="s">
        <v>3316</v>
      </c>
      <c r="Q271" s="1">
        <v>846.72800000000018</v>
      </c>
      <c r="R271" t="s">
        <v>3315</v>
      </c>
      <c r="S271" t="s">
        <v>3320</v>
      </c>
      <c r="T271">
        <f>MONTH(tbPedido[[#This Row],[Comprado Em]])</f>
        <v>10</v>
      </c>
    </row>
    <row r="272" spans="1:20" x14ac:dyDescent="0.3">
      <c r="A272" s="2">
        <v>516</v>
      </c>
      <c r="B272" t="s">
        <v>3457</v>
      </c>
      <c r="C272" t="s">
        <v>3224</v>
      </c>
      <c r="D272" s="2">
        <v>1</v>
      </c>
      <c r="E272" s="11" t="s">
        <v>191</v>
      </c>
      <c r="F272" t="s">
        <v>126</v>
      </c>
      <c r="G272" s="2" t="s">
        <v>31</v>
      </c>
      <c r="H272" s="1">
        <v>63.494000000000007</v>
      </c>
      <c r="M272" s="2">
        <v>769</v>
      </c>
      <c r="N272" s="4">
        <v>43740.659421296295</v>
      </c>
      <c r="O272" t="s">
        <v>3538</v>
      </c>
      <c r="P272" t="s">
        <v>3318</v>
      </c>
      <c r="Q272" s="1">
        <v>1100.5980000000002</v>
      </c>
      <c r="R272" t="s">
        <v>3310</v>
      </c>
      <c r="S272" t="s">
        <v>3320</v>
      </c>
      <c r="T272">
        <f>MONTH(tbPedido[[#This Row],[Comprado Em]])</f>
        <v>10</v>
      </c>
    </row>
    <row r="273" spans="1:20" x14ac:dyDescent="0.3">
      <c r="A273" s="2">
        <v>516</v>
      </c>
      <c r="B273" t="s">
        <v>3455</v>
      </c>
      <c r="C273" t="s">
        <v>0</v>
      </c>
      <c r="D273" s="2">
        <v>1</v>
      </c>
      <c r="E273" s="11" t="s">
        <v>3440</v>
      </c>
      <c r="F273" t="s">
        <v>62</v>
      </c>
      <c r="G273" s="2" t="s">
        <v>31</v>
      </c>
      <c r="H273" s="1">
        <v>195.99400000000003</v>
      </c>
      <c r="M273" s="2">
        <v>770</v>
      </c>
      <c r="N273" s="4">
        <v>43740.774930555555</v>
      </c>
      <c r="O273" t="s">
        <v>3355</v>
      </c>
      <c r="P273" t="s">
        <v>3318</v>
      </c>
      <c r="Q273" s="1">
        <v>2656.6779999999999</v>
      </c>
      <c r="R273" t="s">
        <v>3310</v>
      </c>
      <c r="S273" t="s">
        <v>3392</v>
      </c>
      <c r="T273">
        <f>MONTH(tbPedido[[#This Row],[Comprado Em]])</f>
        <v>10</v>
      </c>
    </row>
    <row r="274" spans="1:20" x14ac:dyDescent="0.3">
      <c r="A274" s="2">
        <v>516</v>
      </c>
      <c r="B274" t="s">
        <v>3203</v>
      </c>
      <c r="C274" t="s">
        <v>3224</v>
      </c>
      <c r="D274" s="2">
        <v>1</v>
      </c>
      <c r="E274" s="11" t="s">
        <v>3173</v>
      </c>
      <c r="F274" t="s">
        <v>62</v>
      </c>
      <c r="G274" s="2" t="s">
        <v>31</v>
      </c>
      <c r="H274" s="1">
        <v>84.694000000000017</v>
      </c>
      <c r="M274" s="2">
        <v>771</v>
      </c>
      <c r="N274" s="4">
        <v>43741.671099537038</v>
      </c>
      <c r="O274" t="s">
        <v>3343</v>
      </c>
      <c r="P274" t="s">
        <v>3318</v>
      </c>
      <c r="Q274" s="1">
        <v>1837.2980000000002</v>
      </c>
      <c r="R274" t="s">
        <v>3310</v>
      </c>
      <c r="S274" t="s">
        <v>3314</v>
      </c>
      <c r="T274">
        <f>MONTH(tbPedido[[#This Row],[Comprado Em]])</f>
        <v>10</v>
      </c>
    </row>
    <row r="275" spans="1:20" x14ac:dyDescent="0.3">
      <c r="A275" s="2">
        <v>516</v>
      </c>
      <c r="B275" t="s">
        <v>3453</v>
      </c>
      <c r="C275" t="s">
        <v>0</v>
      </c>
      <c r="D275" s="2">
        <v>1</v>
      </c>
      <c r="E275" s="11" t="s">
        <v>3450</v>
      </c>
      <c r="F275" t="s">
        <v>62</v>
      </c>
      <c r="G275" s="2" t="s">
        <v>31</v>
      </c>
      <c r="H275" s="1">
        <v>195.99400000000003</v>
      </c>
      <c r="M275" s="2">
        <v>772</v>
      </c>
      <c r="N275" s="4">
        <v>43742.397858796299</v>
      </c>
      <c r="O275" t="s">
        <v>3357</v>
      </c>
      <c r="P275" t="s">
        <v>3311</v>
      </c>
      <c r="Q275" s="1">
        <v>1264.58</v>
      </c>
      <c r="R275" t="s">
        <v>3315</v>
      </c>
      <c r="S275" t="s">
        <v>3445</v>
      </c>
      <c r="T275">
        <f>MONTH(tbPedido[[#This Row],[Comprado Em]])</f>
        <v>10</v>
      </c>
    </row>
    <row r="276" spans="1:20" x14ac:dyDescent="0.3">
      <c r="A276" s="2">
        <v>516</v>
      </c>
      <c r="B276" t="s">
        <v>3103</v>
      </c>
      <c r="C276" t="s">
        <v>0</v>
      </c>
      <c r="D276" s="2">
        <v>1</v>
      </c>
      <c r="E276" s="11" t="s">
        <v>3102</v>
      </c>
      <c r="F276" t="s">
        <v>62</v>
      </c>
      <c r="G276" s="2" t="s">
        <v>31</v>
      </c>
      <c r="H276" s="1">
        <v>142.994</v>
      </c>
      <c r="M276" s="2">
        <v>773</v>
      </c>
      <c r="N276" s="4">
        <v>43742.465208333335</v>
      </c>
      <c r="O276" t="s">
        <v>3336</v>
      </c>
      <c r="P276" t="s">
        <v>3316</v>
      </c>
      <c r="Q276" s="1">
        <v>710.86</v>
      </c>
      <c r="R276" t="s">
        <v>3315</v>
      </c>
      <c r="S276" t="s">
        <v>3320</v>
      </c>
      <c r="T276">
        <f>MONTH(tbPedido[[#This Row],[Comprado Em]])</f>
        <v>10</v>
      </c>
    </row>
    <row r="277" spans="1:20" x14ac:dyDescent="0.3">
      <c r="A277" s="2">
        <v>516</v>
      </c>
      <c r="B277" t="s">
        <v>3451</v>
      </c>
      <c r="C277" t="s">
        <v>0</v>
      </c>
      <c r="D277" s="2">
        <v>1</v>
      </c>
      <c r="E277" s="11" t="s">
        <v>3450</v>
      </c>
      <c r="F277" t="s">
        <v>55</v>
      </c>
      <c r="G277" s="2" t="s">
        <v>23</v>
      </c>
      <c r="H277" s="1">
        <v>195.99400000000003</v>
      </c>
      <c r="M277" s="2">
        <v>774</v>
      </c>
      <c r="N277" s="4">
        <v>43742.510115740741</v>
      </c>
      <c r="O277" t="s">
        <v>3430</v>
      </c>
      <c r="P277" t="s">
        <v>3311</v>
      </c>
      <c r="Q277" s="1">
        <v>963.3280000000002</v>
      </c>
      <c r="R277" t="s">
        <v>3310</v>
      </c>
      <c r="S277" t="s">
        <v>3331</v>
      </c>
      <c r="T277">
        <f>MONTH(tbPedido[[#This Row],[Comprado Em]])</f>
        <v>10</v>
      </c>
    </row>
    <row r="278" spans="1:20" x14ac:dyDescent="0.3">
      <c r="A278" s="2">
        <v>516</v>
      </c>
      <c r="B278" t="s">
        <v>3448</v>
      </c>
      <c r="C278" t="s">
        <v>3</v>
      </c>
      <c r="D278" s="2">
        <v>1</v>
      </c>
      <c r="E278" s="11" t="s">
        <v>3447</v>
      </c>
      <c r="F278" t="s">
        <v>114</v>
      </c>
      <c r="G278" s="2" t="s">
        <v>31</v>
      </c>
      <c r="H278" s="1">
        <v>100.59400000000001</v>
      </c>
      <c r="M278" s="2">
        <v>775</v>
      </c>
      <c r="N278" s="4">
        <v>43742.90761574074</v>
      </c>
      <c r="O278" t="s">
        <v>3421</v>
      </c>
      <c r="P278" t="s">
        <v>3316</v>
      </c>
      <c r="Q278" s="1">
        <v>1207.1280000000004</v>
      </c>
      <c r="R278" t="s">
        <v>3315</v>
      </c>
      <c r="S278" t="s">
        <v>3322</v>
      </c>
      <c r="T278">
        <f>MONTH(tbPedido[[#This Row],[Comprado Em]])</f>
        <v>10</v>
      </c>
    </row>
    <row r="279" spans="1:20" x14ac:dyDescent="0.3">
      <c r="A279" s="2">
        <v>516</v>
      </c>
      <c r="B279" t="s">
        <v>2889</v>
      </c>
      <c r="C279" t="s">
        <v>3219</v>
      </c>
      <c r="D279" s="2">
        <v>1</v>
      </c>
      <c r="E279" s="11" t="s">
        <v>977</v>
      </c>
      <c r="F279" t="s">
        <v>47</v>
      </c>
      <c r="G279" s="2" t="s">
        <v>4</v>
      </c>
      <c r="H279" s="1">
        <v>116.49400000000001</v>
      </c>
      <c r="M279" s="2">
        <v>776</v>
      </c>
      <c r="N279" s="4">
        <v>43742.999259259261</v>
      </c>
      <c r="O279" t="s">
        <v>3386</v>
      </c>
      <c r="P279" t="s">
        <v>3311</v>
      </c>
      <c r="Q279" s="1">
        <v>1690.7240000000004</v>
      </c>
      <c r="R279" t="s">
        <v>3757</v>
      </c>
      <c r="S279" t="s">
        <v>3445</v>
      </c>
      <c r="T279">
        <f>MONTH(tbPedido[[#This Row],[Comprado Em]])</f>
        <v>10</v>
      </c>
    </row>
    <row r="280" spans="1:20" x14ac:dyDescent="0.3">
      <c r="A280" s="2">
        <v>516</v>
      </c>
      <c r="B280" t="s">
        <v>3444</v>
      </c>
      <c r="C280" t="s">
        <v>3224</v>
      </c>
      <c r="D280" s="2">
        <v>1</v>
      </c>
      <c r="E280" s="11" t="s">
        <v>2945</v>
      </c>
      <c r="F280" t="s">
        <v>47</v>
      </c>
      <c r="G280" s="2" t="s">
        <v>31</v>
      </c>
      <c r="H280" s="1">
        <v>95.294000000000011</v>
      </c>
      <c r="M280" s="2">
        <v>777</v>
      </c>
      <c r="N280" s="4">
        <v>43743.262361111112</v>
      </c>
      <c r="O280" t="s">
        <v>3355</v>
      </c>
      <c r="P280" t="s">
        <v>3316</v>
      </c>
      <c r="Q280" s="1">
        <v>2810.4839999999995</v>
      </c>
      <c r="R280" t="s">
        <v>3757</v>
      </c>
      <c r="S280" t="s">
        <v>3314</v>
      </c>
      <c r="T280">
        <f>MONTH(tbPedido[[#This Row],[Comprado Em]])</f>
        <v>10</v>
      </c>
    </row>
    <row r="281" spans="1:20" x14ac:dyDescent="0.3">
      <c r="A281" s="2">
        <v>516</v>
      </c>
      <c r="B281" t="s">
        <v>224</v>
      </c>
      <c r="C281" t="s">
        <v>3224</v>
      </c>
      <c r="D281" s="2">
        <v>1</v>
      </c>
      <c r="E281" s="11" t="s">
        <v>191</v>
      </c>
      <c r="F281" t="s">
        <v>47</v>
      </c>
      <c r="G281" s="2" t="s">
        <v>23</v>
      </c>
      <c r="H281" s="1">
        <v>63.494000000000007</v>
      </c>
      <c r="M281" s="2">
        <v>778</v>
      </c>
      <c r="N281" s="4">
        <v>43743.527557870373</v>
      </c>
      <c r="O281" t="s">
        <v>3722</v>
      </c>
      <c r="P281" t="s">
        <v>3311</v>
      </c>
      <c r="Q281" s="1">
        <v>973.928</v>
      </c>
      <c r="R281" t="s">
        <v>3310</v>
      </c>
      <c r="S281" t="s">
        <v>3320</v>
      </c>
      <c r="T281">
        <f>MONTH(tbPedido[[#This Row],[Comprado Em]])</f>
        <v>10</v>
      </c>
    </row>
    <row r="282" spans="1:20" x14ac:dyDescent="0.3">
      <c r="A282" s="2">
        <v>516</v>
      </c>
      <c r="B282" t="s">
        <v>2017</v>
      </c>
      <c r="C282" t="s">
        <v>3224</v>
      </c>
      <c r="D282" s="2">
        <v>1</v>
      </c>
      <c r="E282" s="11" t="s">
        <v>191</v>
      </c>
      <c r="F282" t="s">
        <v>39</v>
      </c>
      <c r="G282" s="2" t="s">
        <v>31</v>
      </c>
      <c r="H282" s="1">
        <v>63.494000000000007</v>
      </c>
      <c r="M282" s="2">
        <v>779</v>
      </c>
      <c r="N282" s="4">
        <v>43743.530312499999</v>
      </c>
      <c r="O282" t="s">
        <v>3442</v>
      </c>
      <c r="P282" t="s">
        <v>3311</v>
      </c>
      <c r="Q282" s="1">
        <v>1980.5040000000008</v>
      </c>
      <c r="R282" t="s">
        <v>3315</v>
      </c>
      <c r="S282" t="s">
        <v>3309</v>
      </c>
      <c r="T282">
        <f>MONTH(tbPedido[[#This Row],[Comprado Em]])</f>
        <v>10</v>
      </c>
    </row>
    <row r="283" spans="1:20" x14ac:dyDescent="0.3">
      <c r="A283" s="2">
        <v>516</v>
      </c>
      <c r="B283" t="s">
        <v>3441</v>
      </c>
      <c r="C283" t="s">
        <v>0</v>
      </c>
      <c r="D283" s="2">
        <v>1</v>
      </c>
      <c r="E283" s="11" t="s">
        <v>3440</v>
      </c>
      <c r="F283" t="s">
        <v>28</v>
      </c>
      <c r="G283" s="2" t="s">
        <v>23</v>
      </c>
      <c r="H283" s="1">
        <v>195.99400000000003</v>
      </c>
      <c r="M283" s="2">
        <v>780</v>
      </c>
      <c r="N283" s="4">
        <v>43743.662476851852</v>
      </c>
      <c r="O283" t="s">
        <v>3321</v>
      </c>
      <c r="P283" t="s">
        <v>3316</v>
      </c>
      <c r="Q283" s="1">
        <v>3027.36</v>
      </c>
      <c r="R283" t="s">
        <v>3315</v>
      </c>
      <c r="S283" t="s">
        <v>3324</v>
      </c>
      <c r="T283">
        <f>MONTH(tbPedido[[#This Row],[Comprado Em]])</f>
        <v>10</v>
      </c>
    </row>
    <row r="284" spans="1:20" x14ac:dyDescent="0.3">
      <c r="A284" s="2">
        <v>517</v>
      </c>
      <c r="B284" t="s">
        <v>3438</v>
      </c>
      <c r="C284" t="s">
        <v>3224</v>
      </c>
      <c r="D284" s="2">
        <v>1</v>
      </c>
      <c r="E284" s="11" t="s">
        <v>3340</v>
      </c>
      <c r="F284" t="s">
        <v>55</v>
      </c>
      <c r="G284" s="2" t="s">
        <v>31</v>
      </c>
      <c r="H284" s="1">
        <v>63.494000000000007</v>
      </c>
      <c r="M284" s="2">
        <v>781</v>
      </c>
      <c r="N284" s="4">
        <v>43744.847881944443</v>
      </c>
      <c r="O284" t="s">
        <v>3669</v>
      </c>
      <c r="P284" t="s">
        <v>3316</v>
      </c>
      <c r="Q284" s="1">
        <v>1662.6100000000001</v>
      </c>
      <c r="R284" t="s">
        <v>3315</v>
      </c>
      <c r="S284" t="s">
        <v>3405</v>
      </c>
      <c r="T284">
        <f>MONTH(tbPedido[[#This Row],[Comprado Em]])</f>
        <v>10</v>
      </c>
    </row>
    <row r="285" spans="1:20" x14ac:dyDescent="0.3">
      <c r="A285" s="2">
        <v>517</v>
      </c>
      <c r="B285" t="s">
        <v>3388</v>
      </c>
      <c r="C285" t="s">
        <v>3219</v>
      </c>
      <c r="D285" s="2">
        <v>1</v>
      </c>
      <c r="E285" s="11" t="s">
        <v>3387</v>
      </c>
      <c r="F285" t="s">
        <v>65</v>
      </c>
      <c r="G285" s="2" t="s">
        <v>4</v>
      </c>
      <c r="H285" s="1">
        <v>121.79400000000001</v>
      </c>
      <c r="M285" s="2">
        <v>782</v>
      </c>
      <c r="N285" s="4">
        <v>43744.863761574074</v>
      </c>
      <c r="O285" t="s">
        <v>3446</v>
      </c>
      <c r="P285" t="s">
        <v>3318</v>
      </c>
      <c r="Q285" s="1">
        <v>1747.7280000000005</v>
      </c>
      <c r="R285" t="s">
        <v>3315</v>
      </c>
      <c r="S285" t="s">
        <v>3314</v>
      </c>
      <c r="T285">
        <f>MONTH(tbPedido[[#This Row],[Comprado Em]])</f>
        <v>10</v>
      </c>
    </row>
    <row r="286" spans="1:20" x14ac:dyDescent="0.3">
      <c r="A286" s="2">
        <v>517</v>
      </c>
      <c r="B286" t="s">
        <v>3437</v>
      </c>
      <c r="C286" t="s">
        <v>3224</v>
      </c>
      <c r="D286" s="2">
        <v>1</v>
      </c>
      <c r="E286" s="11" t="s">
        <v>3436</v>
      </c>
      <c r="F286" t="s">
        <v>65</v>
      </c>
      <c r="G286" s="2" t="s">
        <v>4</v>
      </c>
      <c r="H286" s="1">
        <v>58.19400000000001</v>
      </c>
      <c r="M286" s="2">
        <v>783</v>
      </c>
      <c r="N286" s="4">
        <v>43744.8828125</v>
      </c>
      <c r="O286" t="s">
        <v>3383</v>
      </c>
      <c r="P286" t="s">
        <v>3311</v>
      </c>
      <c r="Q286" s="1">
        <v>1370.5800000000002</v>
      </c>
      <c r="R286" t="s">
        <v>3315</v>
      </c>
      <c r="S286" t="s">
        <v>3434</v>
      </c>
      <c r="T286">
        <f>MONTH(tbPedido[[#This Row],[Comprado Em]])</f>
        <v>10</v>
      </c>
    </row>
    <row r="287" spans="1:20" x14ac:dyDescent="0.3">
      <c r="A287" s="2">
        <v>517</v>
      </c>
      <c r="B287" t="s">
        <v>3433</v>
      </c>
      <c r="C287" t="s">
        <v>3</v>
      </c>
      <c r="D287" s="2">
        <v>1</v>
      </c>
      <c r="E287" s="11" t="s">
        <v>3242</v>
      </c>
      <c r="F287" t="s">
        <v>65</v>
      </c>
      <c r="G287" s="2" t="s">
        <v>4</v>
      </c>
      <c r="H287" s="1">
        <v>95.294000000000011</v>
      </c>
      <c r="M287" s="2">
        <v>784</v>
      </c>
      <c r="N287" s="4">
        <v>43745.002766203703</v>
      </c>
      <c r="O287" t="s">
        <v>3522</v>
      </c>
      <c r="P287" t="s">
        <v>3318</v>
      </c>
      <c r="Q287" s="1">
        <v>2668.7620000000002</v>
      </c>
      <c r="R287" t="s">
        <v>3315</v>
      </c>
      <c r="S287" t="s">
        <v>3324</v>
      </c>
      <c r="T287">
        <f>MONTH(tbPedido[[#This Row],[Comprado Em]])</f>
        <v>10</v>
      </c>
    </row>
    <row r="288" spans="1:20" x14ac:dyDescent="0.3">
      <c r="A288" s="2">
        <v>517</v>
      </c>
      <c r="B288" t="s">
        <v>3432</v>
      </c>
      <c r="C288" t="s">
        <v>3224</v>
      </c>
      <c r="D288" s="2">
        <v>1</v>
      </c>
      <c r="E288" s="11" t="s">
        <v>3431</v>
      </c>
      <c r="F288" t="s">
        <v>65</v>
      </c>
      <c r="G288" s="2" t="s">
        <v>4</v>
      </c>
      <c r="H288" s="1">
        <v>74.094000000000008</v>
      </c>
      <c r="M288" s="2">
        <v>785</v>
      </c>
      <c r="N288" s="4">
        <v>43745.573854166665</v>
      </c>
      <c r="O288" t="s">
        <v>3472</v>
      </c>
      <c r="P288" t="s">
        <v>3316</v>
      </c>
      <c r="Q288" s="1">
        <v>1443.7199999999998</v>
      </c>
      <c r="R288" t="s">
        <v>3310</v>
      </c>
      <c r="S288" t="s">
        <v>3320</v>
      </c>
      <c r="T288">
        <f>MONTH(tbPedido[[#This Row],[Comprado Em]])</f>
        <v>10</v>
      </c>
    </row>
    <row r="289" spans="1:20" x14ac:dyDescent="0.3">
      <c r="A289" s="2">
        <v>517</v>
      </c>
      <c r="B289" t="s">
        <v>3429</v>
      </c>
      <c r="C289" t="s">
        <v>2</v>
      </c>
      <c r="D289" s="2">
        <v>1</v>
      </c>
      <c r="E289" s="11" t="s">
        <v>3182</v>
      </c>
      <c r="F289" t="s">
        <v>81</v>
      </c>
      <c r="G289" s="2" t="s">
        <v>4</v>
      </c>
      <c r="H289" s="1">
        <v>100.59400000000001</v>
      </c>
      <c r="M289" s="2">
        <v>786</v>
      </c>
      <c r="N289" s="4">
        <v>43746.455821759257</v>
      </c>
      <c r="O289" t="s">
        <v>3408</v>
      </c>
      <c r="P289" t="s">
        <v>3318</v>
      </c>
      <c r="Q289" s="1">
        <v>1959.7280000000005</v>
      </c>
      <c r="R289" t="s">
        <v>3310</v>
      </c>
      <c r="S289" t="s">
        <v>3324</v>
      </c>
      <c r="T289">
        <f>MONTH(tbPedido[[#This Row],[Comprado Em]])</f>
        <v>10</v>
      </c>
    </row>
    <row r="290" spans="1:20" x14ac:dyDescent="0.3">
      <c r="A290" s="2">
        <v>517</v>
      </c>
      <c r="B290" t="s">
        <v>3427</v>
      </c>
      <c r="C290" t="s">
        <v>3224</v>
      </c>
      <c r="D290" s="2">
        <v>1</v>
      </c>
      <c r="E290" s="11" t="s">
        <v>3426</v>
      </c>
      <c r="F290" t="s">
        <v>81</v>
      </c>
      <c r="G290" s="2" t="s">
        <v>4</v>
      </c>
      <c r="H290" s="1">
        <v>105.89400000000001</v>
      </c>
      <c r="M290" s="2">
        <v>787</v>
      </c>
      <c r="N290" s="4">
        <v>43746.514363425929</v>
      </c>
      <c r="O290" t="s">
        <v>3726</v>
      </c>
      <c r="P290" t="s">
        <v>3316</v>
      </c>
      <c r="Q290" s="1">
        <v>1387.328</v>
      </c>
      <c r="R290" t="s">
        <v>3310</v>
      </c>
      <c r="S290" t="s">
        <v>3320</v>
      </c>
      <c r="T290">
        <f>MONTH(tbPedido[[#This Row],[Comprado Em]])</f>
        <v>10</v>
      </c>
    </row>
    <row r="291" spans="1:20" x14ac:dyDescent="0.3">
      <c r="A291" s="2">
        <v>517</v>
      </c>
      <c r="B291" t="s">
        <v>3425</v>
      </c>
      <c r="C291" t="s">
        <v>3224</v>
      </c>
      <c r="D291" s="2">
        <v>1</v>
      </c>
      <c r="E291" s="11" t="s">
        <v>3340</v>
      </c>
      <c r="F291" t="s">
        <v>78</v>
      </c>
      <c r="G291" s="2" t="s">
        <v>4</v>
      </c>
      <c r="H291" s="1">
        <v>63.494000000000007</v>
      </c>
      <c r="M291" s="2">
        <v>788</v>
      </c>
      <c r="N291" s="4">
        <v>43746.534189814818</v>
      </c>
      <c r="O291" t="s">
        <v>3352</v>
      </c>
      <c r="P291" t="s">
        <v>3318</v>
      </c>
      <c r="Q291" s="1">
        <v>1699.4980000000003</v>
      </c>
      <c r="R291" t="s">
        <v>3310</v>
      </c>
      <c r="S291" t="s">
        <v>3309</v>
      </c>
      <c r="T291">
        <f>MONTH(tbPedido[[#This Row],[Comprado Em]])</f>
        <v>10</v>
      </c>
    </row>
    <row r="292" spans="1:20" x14ac:dyDescent="0.3">
      <c r="A292" s="2">
        <v>517</v>
      </c>
      <c r="B292" t="s">
        <v>3423</v>
      </c>
      <c r="C292" t="s">
        <v>3219</v>
      </c>
      <c r="D292" s="2">
        <v>1</v>
      </c>
      <c r="E292" s="11" t="s">
        <v>3164</v>
      </c>
      <c r="F292" t="s">
        <v>47</v>
      </c>
      <c r="G292" s="2" t="s">
        <v>4</v>
      </c>
      <c r="H292" s="1">
        <v>142.994</v>
      </c>
      <c r="M292" s="2">
        <v>789</v>
      </c>
      <c r="N292" s="4">
        <v>43746.559548611112</v>
      </c>
      <c r="O292" t="s">
        <v>3614</v>
      </c>
      <c r="P292" t="s">
        <v>3316</v>
      </c>
      <c r="Q292" s="1">
        <v>1144.164</v>
      </c>
      <c r="R292" t="s">
        <v>3310</v>
      </c>
      <c r="S292" t="s">
        <v>3320</v>
      </c>
      <c r="T292">
        <f>MONTH(tbPedido[[#This Row],[Comprado Em]])</f>
        <v>10</v>
      </c>
    </row>
    <row r="293" spans="1:20" x14ac:dyDescent="0.3">
      <c r="A293" s="2">
        <v>517</v>
      </c>
      <c r="B293" t="s">
        <v>384</v>
      </c>
      <c r="C293" t="s">
        <v>3221</v>
      </c>
      <c r="D293" s="2">
        <v>1</v>
      </c>
      <c r="E293" s="11" t="s">
        <v>383</v>
      </c>
      <c r="F293" t="s">
        <v>47</v>
      </c>
      <c r="G293" s="2" t="s">
        <v>4</v>
      </c>
      <c r="H293" s="1">
        <v>164.19400000000002</v>
      </c>
      <c r="M293" s="2">
        <v>790</v>
      </c>
      <c r="N293" s="4">
        <v>43746.573587962965</v>
      </c>
      <c r="O293" t="s">
        <v>3555</v>
      </c>
      <c r="P293" t="s">
        <v>3316</v>
      </c>
      <c r="Q293" s="1">
        <v>3426.5559999999996</v>
      </c>
      <c r="R293" t="s">
        <v>3315</v>
      </c>
      <c r="S293" t="s">
        <v>3309</v>
      </c>
      <c r="T293">
        <f>MONTH(tbPedido[[#This Row],[Comprado Em]])</f>
        <v>10</v>
      </c>
    </row>
    <row r="294" spans="1:20" x14ac:dyDescent="0.3">
      <c r="A294" s="2">
        <v>517</v>
      </c>
      <c r="B294" t="s">
        <v>2130</v>
      </c>
      <c r="C294" t="s">
        <v>3221</v>
      </c>
      <c r="D294" s="2">
        <v>1</v>
      </c>
      <c r="E294" s="11" t="s">
        <v>383</v>
      </c>
      <c r="F294" t="s">
        <v>39</v>
      </c>
      <c r="G294" s="2" t="s">
        <v>31</v>
      </c>
      <c r="H294" s="1">
        <v>164.19400000000002</v>
      </c>
      <c r="M294" s="2">
        <v>791</v>
      </c>
      <c r="N294" s="4">
        <v>43746.625902777778</v>
      </c>
      <c r="O294" t="s">
        <v>3351</v>
      </c>
      <c r="P294" t="s">
        <v>3316</v>
      </c>
      <c r="Q294" s="1">
        <v>1953.8980000000004</v>
      </c>
      <c r="R294" t="s">
        <v>3310</v>
      </c>
      <c r="S294" t="s">
        <v>3320</v>
      </c>
      <c r="T294">
        <f>MONTH(tbPedido[[#This Row],[Comprado Em]])</f>
        <v>10</v>
      </c>
    </row>
    <row r="295" spans="1:20" x14ac:dyDescent="0.3">
      <c r="A295" s="2">
        <v>517</v>
      </c>
      <c r="B295" t="s">
        <v>2124</v>
      </c>
      <c r="C295" t="s">
        <v>3219</v>
      </c>
      <c r="D295" s="2">
        <v>1</v>
      </c>
      <c r="E295" s="11" t="s">
        <v>2123</v>
      </c>
      <c r="F295" t="s">
        <v>24</v>
      </c>
      <c r="G295" s="2" t="s">
        <v>4</v>
      </c>
      <c r="H295" s="1">
        <v>142.994</v>
      </c>
      <c r="M295" s="2">
        <v>792</v>
      </c>
      <c r="N295" s="4">
        <v>43747.452407407407</v>
      </c>
      <c r="O295" t="s">
        <v>3325</v>
      </c>
      <c r="P295" t="s">
        <v>3318</v>
      </c>
      <c r="Q295" s="1">
        <v>2828.1860000000001</v>
      </c>
      <c r="R295" t="s">
        <v>3310</v>
      </c>
      <c r="S295" t="s">
        <v>3366</v>
      </c>
      <c r="T295">
        <f>MONTH(tbPedido[[#This Row],[Comprado Em]])</f>
        <v>10</v>
      </c>
    </row>
    <row r="296" spans="1:20" x14ac:dyDescent="0.3">
      <c r="A296" s="2">
        <v>518</v>
      </c>
      <c r="B296" t="s">
        <v>978</v>
      </c>
      <c r="C296" t="s">
        <v>3219</v>
      </c>
      <c r="D296" s="2">
        <v>1</v>
      </c>
      <c r="E296" s="11" t="s">
        <v>977</v>
      </c>
      <c r="F296" t="s">
        <v>114</v>
      </c>
      <c r="G296" s="2" t="s">
        <v>4</v>
      </c>
      <c r="H296" s="1">
        <v>116.49400000000001</v>
      </c>
      <c r="M296" s="2">
        <v>793</v>
      </c>
      <c r="N296" s="4">
        <v>43747.517372685186</v>
      </c>
      <c r="O296" t="s">
        <v>3538</v>
      </c>
      <c r="P296" t="s">
        <v>3316</v>
      </c>
      <c r="Q296" s="1">
        <v>974.24600000000009</v>
      </c>
      <c r="R296" t="s">
        <v>3315</v>
      </c>
      <c r="S296" t="s">
        <v>3320</v>
      </c>
      <c r="T296">
        <f>MONTH(tbPedido[[#This Row],[Comprado Em]])</f>
        <v>10</v>
      </c>
    </row>
    <row r="297" spans="1:20" x14ac:dyDescent="0.3">
      <c r="A297" s="2">
        <v>518</v>
      </c>
      <c r="B297" t="s">
        <v>3030</v>
      </c>
      <c r="C297" t="s">
        <v>3219</v>
      </c>
      <c r="D297" s="2">
        <v>1</v>
      </c>
      <c r="E297" s="11" t="s">
        <v>977</v>
      </c>
      <c r="F297" t="s">
        <v>114</v>
      </c>
      <c r="G297" s="2" t="s">
        <v>31</v>
      </c>
      <c r="H297" s="1">
        <v>116.49400000000001</v>
      </c>
      <c r="M297" s="2">
        <v>794</v>
      </c>
      <c r="N297" s="4">
        <v>43747.55269675926</v>
      </c>
      <c r="O297" t="s">
        <v>3486</v>
      </c>
      <c r="P297" t="s">
        <v>3316</v>
      </c>
      <c r="Q297" s="1">
        <v>1858.8160000000003</v>
      </c>
      <c r="R297" t="s">
        <v>3315</v>
      </c>
      <c r="S297" t="s">
        <v>3314</v>
      </c>
      <c r="T297">
        <f>MONTH(tbPedido[[#This Row],[Comprado Em]])</f>
        <v>10</v>
      </c>
    </row>
    <row r="298" spans="1:20" x14ac:dyDescent="0.3">
      <c r="A298" s="2">
        <v>518</v>
      </c>
      <c r="B298" t="s">
        <v>3079</v>
      </c>
      <c r="C298" t="s">
        <v>3219</v>
      </c>
      <c r="D298" s="2">
        <v>1</v>
      </c>
      <c r="E298" s="11" t="s">
        <v>977</v>
      </c>
      <c r="F298" t="s">
        <v>114</v>
      </c>
      <c r="G298" s="2" t="s">
        <v>23</v>
      </c>
      <c r="H298" s="1">
        <v>116.49400000000001</v>
      </c>
      <c r="M298" s="2">
        <v>795</v>
      </c>
      <c r="N298" s="4">
        <v>43748.063483796293</v>
      </c>
      <c r="O298" t="s">
        <v>3604</v>
      </c>
      <c r="P298" t="s">
        <v>3318</v>
      </c>
      <c r="Q298" s="1">
        <v>2176.6040000000003</v>
      </c>
      <c r="R298" t="s">
        <v>3315</v>
      </c>
      <c r="S298" t="s">
        <v>3322</v>
      </c>
      <c r="T298">
        <f>MONTH(tbPedido[[#This Row],[Comprado Em]])</f>
        <v>10</v>
      </c>
    </row>
    <row r="299" spans="1:20" x14ac:dyDescent="0.3">
      <c r="A299" s="2">
        <v>518</v>
      </c>
      <c r="B299" t="s">
        <v>3420</v>
      </c>
      <c r="C299" t="s">
        <v>3219</v>
      </c>
      <c r="D299" s="2">
        <v>1</v>
      </c>
      <c r="E299" s="11" t="s">
        <v>3419</v>
      </c>
      <c r="F299" t="s">
        <v>47</v>
      </c>
      <c r="G299" s="2" t="s">
        <v>4</v>
      </c>
      <c r="H299" s="1">
        <v>142.994</v>
      </c>
      <c r="M299" s="2">
        <v>796</v>
      </c>
      <c r="N299" s="4">
        <v>43748.508587962962</v>
      </c>
      <c r="O299" t="s">
        <v>3416</v>
      </c>
      <c r="P299" t="s">
        <v>3318</v>
      </c>
      <c r="Q299" s="1">
        <v>2647.7740000000013</v>
      </c>
      <c r="R299" t="s">
        <v>3315</v>
      </c>
      <c r="S299" t="s">
        <v>3314</v>
      </c>
      <c r="T299">
        <f>MONTH(tbPedido[[#This Row],[Comprado Em]])</f>
        <v>10</v>
      </c>
    </row>
    <row r="300" spans="1:20" x14ac:dyDescent="0.3">
      <c r="A300" s="2">
        <v>518</v>
      </c>
      <c r="B300" t="s">
        <v>2889</v>
      </c>
      <c r="C300" t="s">
        <v>3219</v>
      </c>
      <c r="D300" s="2">
        <v>1</v>
      </c>
      <c r="E300" s="11" t="s">
        <v>977</v>
      </c>
      <c r="F300" t="s">
        <v>47</v>
      </c>
      <c r="G300" s="2" t="s">
        <v>4</v>
      </c>
      <c r="H300" s="1">
        <v>116.49400000000001</v>
      </c>
      <c r="M300" s="2">
        <v>797</v>
      </c>
      <c r="N300" s="4">
        <v>43748.672361111108</v>
      </c>
      <c r="O300" t="s">
        <v>3658</v>
      </c>
      <c r="P300" t="s">
        <v>3316</v>
      </c>
      <c r="Q300" s="1">
        <v>1064.0280000000002</v>
      </c>
      <c r="R300" t="s">
        <v>3310</v>
      </c>
      <c r="S300" t="s">
        <v>3314</v>
      </c>
      <c r="T300">
        <f>MONTH(tbPedido[[#This Row],[Comprado Em]])</f>
        <v>10</v>
      </c>
    </row>
    <row r="301" spans="1:20" x14ac:dyDescent="0.3">
      <c r="A301" s="2">
        <v>518</v>
      </c>
      <c r="B301" t="s">
        <v>3284</v>
      </c>
      <c r="C301" t="s">
        <v>3219</v>
      </c>
      <c r="D301" s="2">
        <v>1</v>
      </c>
      <c r="E301" s="11" t="s">
        <v>977</v>
      </c>
      <c r="F301" t="s">
        <v>47</v>
      </c>
      <c r="G301" s="2" t="s">
        <v>31</v>
      </c>
      <c r="H301" s="1">
        <v>116.49400000000001</v>
      </c>
      <c r="M301" s="2">
        <v>798</v>
      </c>
      <c r="N301" s="4">
        <v>43748.87841435185</v>
      </c>
      <c r="O301" t="s">
        <v>3355</v>
      </c>
      <c r="P301" t="s">
        <v>3318</v>
      </c>
      <c r="Q301" s="1">
        <v>1195.4680000000003</v>
      </c>
      <c r="R301" t="s">
        <v>3415</v>
      </c>
      <c r="S301" t="s">
        <v>3320</v>
      </c>
      <c r="T301">
        <f>MONTH(tbPedido[[#This Row],[Comprado Em]])</f>
        <v>10</v>
      </c>
    </row>
    <row r="302" spans="1:20" x14ac:dyDescent="0.3">
      <c r="A302" s="2">
        <v>518</v>
      </c>
      <c r="B302" t="s">
        <v>3148</v>
      </c>
      <c r="C302" t="s">
        <v>3219</v>
      </c>
      <c r="D302" s="2">
        <v>1</v>
      </c>
      <c r="E302" s="11" t="s">
        <v>977</v>
      </c>
      <c r="F302" t="s">
        <v>47</v>
      </c>
      <c r="G302" s="2" t="s">
        <v>23</v>
      </c>
      <c r="H302" s="1">
        <v>116.49400000000001</v>
      </c>
      <c r="M302" s="2">
        <v>799</v>
      </c>
      <c r="N302" s="4">
        <v>43748.91265046296</v>
      </c>
      <c r="O302" t="s">
        <v>3662</v>
      </c>
      <c r="P302" t="s">
        <v>3316</v>
      </c>
      <c r="Q302" s="1">
        <v>3084.387999999999</v>
      </c>
      <c r="R302" t="s">
        <v>3310</v>
      </c>
      <c r="S302" t="s">
        <v>3366</v>
      </c>
      <c r="T302">
        <f>MONTH(tbPedido[[#This Row],[Comprado Em]])</f>
        <v>10</v>
      </c>
    </row>
    <row r="303" spans="1:20" x14ac:dyDescent="0.3">
      <c r="A303" s="2">
        <v>518</v>
      </c>
      <c r="B303" t="s">
        <v>3257</v>
      </c>
      <c r="C303" t="s">
        <v>3219</v>
      </c>
      <c r="D303" s="2">
        <v>1</v>
      </c>
      <c r="E303" s="11" t="s">
        <v>977</v>
      </c>
      <c r="F303" t="s">
        <v>39</v>
      </c>
      <c r="G303" s="2" t="s">
        <v>31</v>
      </c>
      <c r="H303" s="1">
        <v>116.49400000000001</v>
      </c>
      <c r="M303" s="2">
        <v>800</v>
      </c>
      <c r="N303" s="4">
        <v>43749.304560185185</v>
      </c>
      <c r="O303" t="s">
        <v>3726</v>
      </c>
      <c r="P303" t="s">
        <v>3311</v>
      </c>
      <c r="Q303" s="1">
        <v>979.12200000000007</v>
      </c>
      <c r="R303" t="s">
        <v>3757</v>
      </c>
      <c r="S303" t="s">
        <v>3326</v>
      </c>
      <c r="T303">
        <f>MONTH(tbPedido[[#This Row],[Comprado Em]])</f>
        <v>10</v>
      </c>
    </row>
    <row r="304" spans="1:20" x14ac:dyDescent="0.3">
      <c r="A304" s="2">
        <v>518</v>
      </c>
      <c r="B304" t="s">
        <v>3256</v>
      </c>
      <c r="C304" t="s">
        <v>3219</v>
      </c>
      <c r="D304" s="2">
        <v>1</v>
      </c>
      <c r="E304" s="11" t="s">
        <v>977</v>
      </c>
      <c r="F304" t="s">
        <v>39</v>
      </c>
      <c r="G304" s="2" t="s">
        <v>23</v>
      </c>
      <c r="H304" s="1">
        <v>116.49400000000001</v>
      </c>
      <c r="M304" s="2">
        <v>801</v>
      </c>
      <c r="N304" s="4">
        <v>43749.332870370374</v>
      </c>
      <c r="O304" t="s">
        <v>3479</v>
      </c>
      <c r="P304" t="s">
        <v>3318</v>
      </c>
      <c r="Q304" s="1">
        <v>3442.5620000000004</v>
      </c>
      <c r="R304" t="s">
        <v>3310</v>
      </c>
      <c r="S304" t="s">
        <v>3314</v>
      </c>
      <c r="T304">
        <f>MONTH(tbPedido[[#This Row],[Comprado Em]])</f>
        <v>10</v>
      </c>
    </row>
    <row r="305" spans="1:20" x14ac:dyDescent="0.3">
      <c r="A305" s="2">
        <v>518</v>
      </c>
      <c r="B305" t="s">
        <v>3413</v>
      </c>
      <c r="C305" t="s">
        <v>0</v>
      </c>
      <c r="D305" s="2">
        <v>1</v>
      </c>
      <c r="E305" s="11" t="s">
        <v>2509</v>
      </c>
      <c r="F305" t="s">
        <v>39</v>
      </c>
      <c r="G305" s="2" t="s">
        <v>4</v>
      </c>
      <c r="H305" s="1">
        <v>153.59400000000002</v>
      </c>
      <c r="M305" s="2">
        <v>802</v>
      </c>
      <c r="N305" s="4">
        <v>43749.691435185188</v>
      </c>
      <c r="O305" t="s">
        <v>3458</v>
      </c>
      <c r="P305" t="s">
        <v>3311</v>
      </c>
      <c r="Q305" s="1">
        <v>1424.3220000000001</v>
      </c>
      <c r="R305" t="s">
        <v>3310</v>
      </c>
      <c r="S305" t="s">
        <v>3320</v>
      </c>
      <c r="T305">
        <f>MONTH(tbPedido[[#This Row],[Comprado Em]])</f>
        <v>10</v>
      </c>
    </row>
    <row r="306" spans="1:20" x14ac:dyDescent="0.3">
      <c r="A306" s="2">
        <v>518</v>
      </c>
      <c r="B306" t="s">
        <v>3411</v>
      </c>
      <c r="C306" t="s">
        <v>3219</v>
      </c>
      <c r="D306" s="2">
        <v>1</v>
      </c>
      <c r="E306" s="11" t="s">
        <v>2271</v>
      </c>
      <c r="F306" t="s">
        <v>28</v>
      </c>
      <c r="G306" s="2" t="s">
        <v>4</v>
      </c>
      <c r="H306" s="1">
        <v>121.79400000000001</v>
      </c>
      <c r="M306" s="2">
        <v>803</v>
      </c>
      <c r="N306" s="4">
        <v>43749.703067129631</v>
      </c>
      <c r="O306" t="s">
        <v>3481</v>
      </c>
      <c r="P306" t="s">
        <v>3318</v>
      </c>
      <c r="Q306" s="1">
        <v>592.32799999999986</v>
      </c>
      <c r="R306" t="s">
        <v>3315</v>
      </c>
      <c r="S306" t="s">
        <v>3314</v>
      </c>
      <c r="T306">
        <f>MONTH(tbPedido[[#This Row],[Comprado Em]])</f>
        <v>10</v>
      </c>
    </row>
    <row r="307" spans="1:20" x14ac:dyDescent="0.3">
      <c r="A307" s="2">
        <v>518</v>
      </c>
      <c r="B307" t="s">
        <v>2453</v>
      </c>
      <c r="C307" t="s">
        <v>3219</v>
      </c>
      <c r="D307" s="2">
        <v>1</v>
      </c>
      <c r="E307" s="11" t="s">
        <v>2271</v>
      </c>
      <c r="F307" t="s">
        <v>28</v>
      </c>
      <c r="G307" s="2" t="s">
        <v>31</v>
      </c>
      <c r="H307" s="1">
        <v>121.79400000000001</v>
      </c>
      <c r="M307" s="2">
        <v>804</v>
      </c>
      <c r="N307" s="4">
        <v>43749.716365740744</v>
      </c>
      <c r="O307" t="s">
        <v>3534</v>
      </c>
      <c r="P307" t="s">
        <v>3311</v>
      </c>
      <c r="Q307" s="1">
        <v>2476.902</v>
      </c>
      <c r="R307" t="s">
        <v>3315</v>
      </c>
      <c r="S307" t="s">
        <v>3405</v>
      </c>
      <c r="T307">
        <f>MONTH(tbPedido[[#This Row],[Comprado Em]])</f>
        <v>10</v>
      </c>
    </row>
    <row r="308" spans="1:20" x14ac:dyDescent="0.3">
      <c r="A308" s="2">
        <v>519</v>
      </c>
      <c r="B308" t="s">
        <v>2608</v>
      </c>
      <c r="C308" t="s">
        <v>3224</v>
      </c>
      <c r="D308" s="2">
        <v>1</v>
      </c>
      <c r="E308" s="11" t="s">
        <v>2600</v>
      </c>
      <c r="F308" t="s">
        <v>114</v>
      </c>
      <c r="G308" s="2" t="s">
        <v>23</v>
      </c>
      <c r="H308" s="1">
        <v>42.294000000000004</v>
      </c>
      <c r="M308" s="2">
        <v>805</v>
      </c>
      <c r="N308" s="4">
        <v>43749.942858796298</v>
      </c>
      <c r="O308" t="s">
        <v>3383</v>
      </c>
      <c r="P308" t="s">
        <v>3316</v>
      </c>
      <c r="Q308" s="1">
        <v>1551.6279999999999</v>
      </c>
      <c r="R308" t="s">
        <v>3310</v>
      </c>
      <c r="S308" t="s">
        <v>3360</v>
      </c>
      <c r="T308">
        <f>MONTH(tbPedido[[#This Row],[Comprado Em]])</f>
        <v>10</v>
      </c>
    </row>
    <row r="309" spans="1:20" x14ac:dyDescent="0.3">
      <c r="A309" s="2">
        <v>519</v>
      </c>
      <c r="B309" t="s">
        <v>3409</v>
      </c>
      <c r="C309" t="s">
        <v>3219</v>
      </c>
      <c r="D309" s="2">
        <v>1</v>
      </c>
      <c r="E309" s="11" t="s">
        <v>3134</v>
      </c>
      <c r="F309" t="s">
        <v>114</v>
      </c>
      <c r="G309" s="2" t="s">
        <v>23</v>
      </c>
      <c r="H309" s="1">
        <v>116.49400000000001</v>
      </c>
      <c r="M309" s="2">
        <v>806</v>
      </c>
      <c r="N309" s="4">
        <v>43751.662731481483</v>
      </c>
      <c r="O309" t="s">
        <v>3463</v>
      </c>
      <c r="P309" t="s">
        <v>3311</v>
      </c>
      <c r="Q309" s="1">
        <v>1921.9920000000002</v>
      </c>
      <c r="R309" t="s">
        <v>3310</v>
      </c>
      <c r="S309" t="s">
        <v>3320</v>
      </c>
      <c r="T309">
        <f>MONTH(tbPedido[[#This Row],[Comprado Em]])</f>
        <v>10</v>
      </c>
    </row>
    <row r="310" spans="1:20" x14ac:dyDescent="0.3">
      <c r="A310" s="2">
        <v>519</v>
      </c>
      <c r="B310" t="s">
        <v>3407</v>
      </c>
      <c r="C310" t="s">
        <v>3224</v>
      </c>
      <c r="D310" s="2">
        <v>1</v>
      </c>
      <c r="E310" s="11" t="s">
        <v>2898</v>
      </c>
      <c r="F310" t="s">
        <v>36</v>
      </c>
      <c r="G310" s="2" t="s">
        <v>23</v>
      </c>
      <c r="H310" s="1">
        <v>74.094000000000008</v>
      </c>
      <c r="M310" s="2">
        <v>807</v>
      </c>
      <c r="N310" s="4">
        <v>43752.368356481478</v>
      </c>
      <c r="O310" t="s">
        <v>3495</v>
      </c>
      <c r="P310" t="s">
        <v>3316</v>
      </c>
      <c r="Q310" s="1">
        <v>1678.722</v>
      </c>
      <c r="R310" t="s">
        <v>3315</v>
      </c>
      <c r="S310" t="s">
        <v>3405</v>
      </c>
      <c r="T310">
        <f>MONTH(tbPedido[[#This Row],[Comprado Em]])</f>
        <v>10</v>
      </c>
    </row>
    <row r="311" spans="1:20" x14ac:dyDescent="0.3">
      <c r="A311" s="2">
        <v>519</v>
      </c>
      <c r="B311" t="s">
        <v>3404</v>
      </c>
      <c r="C311" t="s">
        <v>3715</v>
      </c>
      <c r="D311" s="2">
        <v>1</v>
      </c>
      <c r="E311" s="11" t="s">
        <v>2896</v>
      </c>
      <c r="F311" t="s">
        <v>36</v>
      </c>
      <c r="G311" s="2" t="s">
        <v>23</v>
      </c>
      <c r="H311" s="1">
        <v>84.694000000000017</v>
      </c>
      <c r="M311" s="2">
        <v>808</v>
      </c>
      <c r="N311" s="4">
        <v>43752.395613425928</v>
      </c>
      <c r="O311" t="s">
        <v>3624</v>
      </c>
      <c r="P311" t="s">
        <v>3318</v>
      </c>
      <c r="Q311" s="1">
        <v>1376.7280000000001</v>
      </c>
      <c r="R311" t="s">
        <v>3315</v>
      </c>
      <c r="S311" t="s">
        <v>3314</v>
      </c>
      <c r="T311">
        <f>MONTH(tbPedido[[#This Row],[Comprado Em]])</f>
        <v>10</v>
      </c>
    </row>
    <row r="312" spans="1:20" x14ac:dyDescent="0.3">
      <c r="A312" s="2">
        <v>519</v>
      </c>
      <c r="B312" t="s">
        <v>3341</v>
      </c>
      <c r="C312" t="s">
        <v>3224</v>
      </c>
      <c r="D312" s="2">
        <v>1</v>
      </c>
      <c r="E312" s="11" t="s">
        <v>3340</v>
      </c>
      <c r="F312" t="s">
        <v>78</v>
      </c>
      <c r="G312" s="2" t="s">
        <v>23</v>
      </c>
      <c r="H312" s="1">
        <v>63.494000000000007</v>
      </c>
      <c r="M312" s="2">
        <v>809</v>
      </c>
      <c r="N312" s="4">
        <v>43752.397673611114</v>
      </c>
      <c r="O312" t="s">
        <v>3377</v>
      </c>
      <c r="P312" t="s">
        <v>3316</v>
      </c>
      <c r="Q312" s="1">
        <v>2219.0040000000008</v>
      </c>
      <c r="R312" t="s">
        <v>3757</v>
      </c>
      <c r="S312" t="s">
        <v>3320</v>
      </c>
      <c r="T312">
        <f>MONTH(tbPedido[[#This Row],[Comprado Em]])</f>
        <v>10</v>
      </c>
    </row>
    <row r="313" spans="1:20" x14ac:dyDescent="0.3">
      <c r="A313" s="2">
        <v>519</v>
      </c>
      <c r="B313" t="s">
        <v>3338</v>
      </c>
      <c r="C313" t="s">
        <v>3661</v>
      </c>
      <c r="D313" s="2">
        <v>1</v>
      </c>
      <c r="E313" s="11" t="s">
        <v>3337</v>
      </c>
      <c r="F313" t="s">
        <v>78</v>
      </c>
      <c r="G313" s="2" t="s">
        <v>23</v>
      </c>
      <c r="H313" s="1">
        <v>127.09400000000001</v>
      </c>
      <c r="M313" s="2">
        <v>810</v>
      </c>
      <c r="N313" s="4">
        <v>43752.405740740738</v>
      </c>
      <c r="O313" t="s">
        <v>3424</v>
      </c>
      <c r="P313" t="s">
        <v>3318</v>
      </c>
      <c r="Q313" s="1">
        <v>2568.38</v>
      </c>
      <c r="R313" t="s">
        <v>3310</v>
      </c>
      <c r="S313" t="s">
        <v>3324</v>
      </c>
      <c r="T313">
        <f>MONTH(tbPedido[[#This Row],[Comprado Em]])</f>
        <v>10</v>
      </c>
    </row>
    <row r="314" spans="1:20" x14ac:dyDescent="0.3">
      <c r="A314" s="2">
        <v>519</v>
      </c>
      <c r="B314" t="s">
        <v>3401</v>
      </c>
      <c r="C314" t="s">
        <v>3224</v>
      </c>
      <c r="D314" s="2">
        <v>1</v>
      </c>
      <c r="E314" s="11" t="s">
        <v>3340</v>
      </c>
      <c r="F314" t="s">
        <v>47</v>
      </c>
      <c r="G314" s="2" t="s">
        <v>31</v>
      </c>
      <c r="H314" s="1">
        <v>63.494000000000007</v>
      </c>
      <c r="M314" s="2">
        <v>811</v>
      </c>
      <c r="N314" s="4">
        <v>43752.413425925923</v>
      </c>
      <c r="O314" t="s">
        <v>3649</v>
      </c>
      <c r="P314" t="s">
        <v>3318</v>
      </c>
      <c r="Q314" s="1">
        <v>459.61599999999993</v>
      </c>
      <c r="R314" t="s">
        <v>3315</v>
      </c>
      <c r="S314" t="s">
        <v>3314</v>
      </c>
      <c r="T314">
        <f>MONTH(tbPedido[[#This Row],[Comprado Em]])</f>
        <v>10</v>
      </c>
    </row>
    <row r="315" spans="1:20" x14ac:dyDescent="0.3">
      <c r="A315" s="2">
        <v>519</v>
      </c>
      <c r="B315" t="s">
        <v>3399</v>
      </c>
      <c r="C315" t="s">
        <v>3661</v>
      </c>
      <c r="D315" s="2">
        <v>1</v>
      </c>
      <c r="E315" s="11" t="s">
        <v>3337</v>
      </c>
      <c r="F315" t="s">
        <v>47</v>
      </c>
      <c r="G315" s="2" t="s">
        <v>31</v>
      </c>
      <c r="H315" s="1">
        <v>127.09400000000001</v>
      </c>
      <c r="M315" s="2">
        <v>812</v>
      </c>
      <c r="N315" s="4">
        <v>43752.541562500002</v>
      </c>
      <c r="O315" t="s">
        <v>3558</v>
      </c>
      <c r="P315" t="s">
        <v>3316</v>
      </c>
      <c r="Q315" s="1">
        <v>1488.0280000000002</v>
      </c>
      <c r="R315" t="s">
        <v>3310</v>
      </c>
      <c r="S315" t="s">
        <v>3322</v>
      </c>
      <c r="T315">
        <f>MONTH(tbPedido[[#This Row],[Comprado Em]])</f>
        <v>10</v>
      </c>
    </row>
    <row r="316" spans="1:20" x14ac:dyDescent="0.3">
      <c r="A316" s="2">
        <v>519</v>
      </c>
      <c r="B316" t="s">
        <v>3256</v>
      </c>
      <c r="C316" t="s">
        <v>3219</v>
      </c>
      <c r="D316" s="2">
        <v>1</v>
      </c>
      <c r="E316" s="11" t="s">
        <v>977</v>
      </c>
      <c r="F316" t="s">
        <v>39</v>
      </c>
      <c r="G316" s="2" t="s">
        <v>23</v>
      </c>
      <c r="H316" s="1">
        <v>116.49400000000001</v>
      </c>
      <c r="M316" s="2">
        <v>813</v>
      </c>
      <c r="N316" s="4">
        <v>43752.595509259256</v>
      </c>
      <c r="O316" t="s">
        <v>3470</v>
      </c>
      <c r="P316" t="s">
        <v>3311</v>
      </c>
      <c r="Q316" s="1">
        <v>2007.4280000000001</v>
      </c>
      <c r="R316" t="s">
        <v>3310</v>
      </c>
      <c r="S316" t="s">
        <v>3392</v>
      </c>
      <c r="T316">
        <f>MONTH(tbPedido[[#This Row],[Comprado Em]])</f>
        <v>10</v>
      </c>
    </row>
    <row r="317" spans="1:20" x14ac:dyDescent="0.3">
      <c r="A317" s="2">
        <v>519</v>
      </c>
      <c r="B317" t="s">
        <v>3257</v>
      </c>
      <c r="C317" t="s">
        <v>3219</v>
      </c>
      <c r="D317" s="2">
        <v>1</v>
      </c>
      <c r="E317" s="11" t="s">
        <v>977</v>
      </c>
      <c r="F317" t="s">
        <v>39</v>
      </c>
      <c r="G317" s="2" t="s">
        <v>31</v>
      </c>
      <c r="H317" s="1">
        <v>116.49400000000001</v>
      </c>
      <c r="M317" s="2">
        <v>814</v>
      </c>
      <c r="N317" s="4">
        <v>43752.602048611108</v>
      </c>
      <c r="O317" t="s">
        <v>3511</v>
      </c>
      <c r="P317" t="s">
        <v>3316</v>
      </c>
      <c r="Q317" s="1">
        <v>1682.75</v>
      </c>
      <c r="R317" t="s">
        <v>3315</v>
      </c>
      <c r="S317" t="s">
        <v>3322</v>
      </c>
      <c r="T317">
        <f>MONTH(tbPedido[[#This Row],[Comprado Em]])</f>
        <v>10</v>
      </c>
    </row>
    <row r="318" spans="1:20" x14ac:dyDescent="0.3">
      <c r="A318" s="2">
        <v>519</v>
      </c>
      <c r="B318" t="s">
        <v>1937</v>
      </c>
      <c r="C318" t="s">
        <v>3221</v>
      </c>
      <c r="D318" s="2">
        <v>1</v>
      </c>
      <c r="E318" s="11" t="s">
        <v>383</v>
      </c>
      <c r="F318" t="s">
        <v>39</v>
      </c>
      <c r="G318" s="2" t="s">
        <v>23</v>
      </c>
      <c r="H318" s="1">
        <v>164.19400000000002</v>
      </c>
      <c r="M318" s="2">
        <v>815</v>
      </c>
      <c r="N318" s="4">
        <v>43752.963912037034</v>
      </c>
      <c r="O318" t="s">
        <v>3558</v>
      </c>
      <c r="P318" t="s">
        <v>3316</v>
      </c>
      <c r="Q318" s="1">
        <v>3133.0419999999999</v>
      </c>
      <c r="R318" t="s">
        <v>3315</v>
      </c>
      <c r="S318" t="s">
        <v>3331</v>
      </c>
      <c r="T318">
        <f>MONTH(tbPedido[[#This Row],[Comprado Em]])</f>
        <v>10</v>
      </c>
    </row>
    <row r="319" spans="1:20" x14ac:dyDescent="0.3">
      <c r="A319" s="2">
        <v>519</v>
      </c>
      <c r="B319" t="s">
        <v>2017</v>
      </c>
      <c r="C319" t="s">
        <v>3224</v>
      </c>
      <c r="D319" s="2">
        <v>1</v>
      </c>
      <c r="E319" s="11" t="s">
        <v>191</v>
      </c>
      <c r="F319" t="s">
        <v>39</v>
      </c>
      <c r="G319" s="2" t="s">
        <v>31</v>
      </c>
      <c r="H319" s="1">
        <v>63.494000000000007</v>
      </c>
      <c r="M319" s="2">
        <v>816</v>
      </c>
      <c r="N319" s="4">
        <v>43753.006435185183</v>
      </c>
      <c r="O319" t="s">
        <v>3408</v>
      </c>
      <c r="P319" t="s">
        <v>3316</v>
      </c>
      <c r="Q319" s="1">
        <v>4094.25</v>
      </c>
      <c r="R319" t="s">
        <v>3757</v>
      </c>
      <c r="S319" t="s">
        <v>3396</v>
      </c>
      <c r="T319">
        <f>MONTH(tbPedido[[#This Row],[Comprado Em]])</f>
        <v>10</v>
      </c>
    </row>
    <row r="320" spans="1:20" x14ac:dyDescent="0.3">
      <c r="A320" s="2">
        <v>520</v>
      </c>
      <c r="B320" t="s">
        <v>3395</v>
      </c>
      <c r="C320" t="s">
        <v>3219</v>
      </c>
      <c r="D320" s="2">
        <v>1</v>
      </c>
      <c r="E320" s="11" t="s">
        <v>3394</v>
      </c>
      <c r="F320" t="s">
        <v>55</v>
      </c>
      <c r="G320" s="2" t="s">
        <v>4</v>
      </c>
      <c r="H320" s="1">
        <v>100.59400000000001</v>
      </c>
      <c r="M320" s="2">
        <v>817</v>
      </c>
      <c r="N320" s="4">
        <v>43753.33489583333</v>
      </c>
      <c r="O320" t="s">
        <v>3481</v>
      </c>
      <c r="P320" t="s">
        <v>3316</v>
      </c>
      <c r="Q320" s="1">
        <v>1037.104</v>
      </c>
      <c r="R320" t="s">
        <v>3757</v>
      </c>
      <c r="S320" t="s">
        <v>3392</v>
      </c>
      <c r="T320">
        <f>MONTH(tbPedido[[#This Row],[Comprado Em]])</f>
        <v>10</v>
      </c>
    </row>
    <row r="321" spans="1:20" x14ac:dyDescent="0.3">
      <c r="A321" s="2">
        <v>520</v>
      </c>
      <c r="B321" t="s">
        <v>278</v>
      </c>
      <c r="C321" t="s">
        <v>3220</v>
      </c>
      <c r="D321" s="2">
        <v>1</v>
      </c>
      <c r="E321" s="11" t="s">
        <v>204</v>
      </c>
      <c r="F321" t="s">
        <v>55</v>
      </c>
      <c r="G321" s="2" t="s">
        <v>31</v>
      </c>
      <c r="H321" s="1">
        <v>42.294000000000004</v>
      </c>
      <c r="M321" s="2">
        <v>818</v>
      </c>
      <c r="N321" s="4">
        <v>43753.406886574077</v>
      </c>
      <c r="O321" t="s">
        <v>3348</v>
      </c>
      <c r="P321" t="s">
        <v>3316</v>
      </c>
      <c r="Q321" s="1">
        <v>1445.6280000000004</v>
      </c>
      <c r="R321" t="s">
        <v>3315</v>
      </c>
      <c r="S321" t="s">
        <v>3320</v>
      </c>
      <c r="T321">
        <f>MONTH(tbPedido[[#This Row],[Comprado Em]])</f>
        <v>10</v>
      </c>
    </row>
    <row r="322" spans="1:20" x14ac:dyDescent="0.3">
      <c r="A322" s="2">
        <v>520</v>
      </c>
      <c r="B322" t="s">
        <v>3390</v>
      </c>
      <c r="C322" t="s">
        <v>3224</v>
      </c>
      <c r="D322" s="2">
        <v>1</v>
      </c>
      <c r="E322" s="11" t="s">
        <v>3375</v>
      </c>
      <c r="F322" t="s">
        <v>65</v>
      </c>
      <c r="G322" s="2" t="s">
        <v>31</v>
      </c>
      <c r="H322" s="1">
        <v>95.294000000000011</v>
      </c>
      <c r="M322" s="2">
        <v>819</v>
      </c>
      <c r="N322" s="4">
        <v>43753.601273148146</v>
      </c>
      <c r="O322" t="s">
        <v>3730</v>
      </c>
      <c r="P322" t="s">
        <v>3318</v>
      </c>
      <c r="Q322" s="1">
        <v>1736.9160000000004</v>
      </c>
      <c r="R322" t="s">
        <v>3315</v>
      </c>
      <c r="S322" t="s">
        <v>3314</v>
      </c>
      <c r="T322">
        <f>MONTH(tbPedido[[#This Row],[Comprado Em]])</f>
        <v>10</v>
      </c>
    </row>
    <row r="323" spans="1:20" x14ac:dyDescent="0.3">
      <c r="A323" s="2">
        <v>520</v>
      </c>
      <c r="B323" t="s">
        <v>3389</v>
      </c>
      <c r="C323" t="s">
        <v>3715</v>
      </c>
      <c r="D323" s="2">
        <v>1</v>
      </c>
      <c r="E323" s="11" t="s">
        <v>2896</v>
      </c>
      <c r="F323" t="s">
        <v>65</v>
      </c>
      <c r="G323" s="2" t="s">
        <v>31</v>
      </c>
      <c r="H323" s="1">
        <v>84.694000000000017</v>
      </c>
      <c r="M323" s="2">
        <v>820</v>
      </c>
      <c r="N323" s="4">
        <v>43753.94972222222</v>
      </c>
      <c r="O323" t="s">
        <v>3398</v>
      </c>
      <c r="P323" t="s">
        <v>3318</v>
      </c>
      <c r="Q323" s="1">
        <v>1604.5220000000006</v>
      </c>
      <c r="R323" t="s">
        <v>3310</v>
      </c>
      <c r="S323" t="s">
        <v>3342</v>
      </c>
      <c r="T323">
        <f>MONTH(tbPedido[[#This Row],[Comprado Em]])</f>
        <v>10</v>
      </c>
    </row>
    <row r="324" spans="1:20" x14ac:dyDescent="0.3">
      <c r="A324" s="2">
        <v>520</v>
      </c>
      <c r="B324" t="s">
        <v>3388</v>
      </c>
      <c r="C324" t="s">
        <v>3219</v>
      </c>
      <c r="D324" s="2">
        <v>1</v>
      </c>
      <c r="E324" s="11" t="s">
        <v>3387</v>
      </c>
      <c r="F324" t="s">
        <v>65</v>
      </c>
      <c r="G324" s="2" t="s">
        <v>4</v>
      </c>
      <c r="H324" s="1">
        <v>121.79400000000001</v>
      </c>
      <c r="M324" s="2">
        <v>821</v>
      </c>
      <c r="N324" s="4">
        <v>43754.460810185185</v>
      </c>
      <c r="O324" t="s">
        <v>3381</v>
      </c>
      <c r="P324" t="s">
        <v>3311</v>
      </c>
      <c r="Q324" s="1">
        <v>2170.9860000000008</v>
      </c>
      <c r="R324" t="s">
        <v>3310</v>
      </c>
      <c r="S324" t="s">
        <v>3366</v>
      </c>
      <c r="T324">
        <f>MONTH(tbPedido[[#This Row],[Comprado Em]])</f>
        <v>10</v>
      </c>
    </row>
    <row r="325" spans="1:20" x14ac:dyDescent="0.3">
      <c r="A325" s="2">
        <v>520</v>
      </c>
      <c r="B325" t="s">
        <v>3385</v>
      </c>
      <c r="C325" t="s">
        <v>1</v>
      </c>
      <c r="D325" s="2">
        <v>1</v>
      </c>
      <c r="E325" s="11" t="s">
        <v>285</v>
      </c>
      <c r="F325" t="s">
        <v>126</v>
      </c>
      <c r="G325" s="2" t="s">
        <v>31</v>
      </c>
      <c r="H325" s="1">
        <v>68.794000000000011</v>
      </c>
      <c r="M325" s="2">
        <v>822</v>
      </c>
      <c r="N325" s="4">
        <v>43754.600428240738</v>
      </c>
      <c r="O325" t="s">
        <v>3695</v>
      </c>
      <c r="P325" t="s">
        <v>3318</v>
      </c>
      <c r="Q325" s="1">
        <v>677.76400000000012</v>
      </c>
      <c r="R325" t="s">
        <v>3757</v>
      </c>
      <c r="S325" t="s">
        <v>3314</v>
      </c>
      <c r="T325">
        <f>MONTH(tbPedido[[#This Row],[Comprado Em]])</f>
        <v>10</v>
      </c>
    </row>
    <row r="326" spans="1:20" x14ac:dyDescent="0.3">
      <c r="A326" s="2">
        <v>520</v>
      </c>
      <c r="B326" t="s">
        <v>3384</v>
      </c>
      <c r="C326" t="s">
        <v>3224</v>
      </c>
      <c r="D326" s="2">
        <v>1</v>
      </c>
      <c r="E326" s="11" t="s">
        <v>3167</v>
      </c>
      <c r="F326" t="s">
        <v>126</v>
      </c>
      <c r="G326" s="2" t="s">
        <v>31</v>
      </c>
      <c r="H326" s="1">
        <v>105.89400000000001</v>
      </c>
      <c r="M326" s="2">
        <v>823</v>
      </c>
      <c r="N326" s="4">
        <v>43754.616354166668</v>
      </c>
      <c r="O326" t="s">
        <v>3673</v>
      </c>
      <c r="P326" t="s">
        <v>3316</v>
      </c>
      <c r="Q326" s="1">
        <v>884.46400000000006</v>
      </c>
      <c r="R326" t="s">
        <v>3757</v>
      </c>
      <c r="S326" t="s">
        <v>3322</v>
      </c>
      <c r="T326">
        <f>MONTH(tbPedido[[#This Row],[Comprado Em]])</f>
        <v>10</v>
      </c>
    </row>
    <row r="327" spans="1:20" x14ac:dyDescent="0.3">
      <c r="A327" s="2">
        <v>520</v>
      </c>
      <c r="B327" t="s">
        <v>3382</v>
      </c>
      <c r="C327" t="s">
        <v>1</v>
      </c>
      <c r="D327" s="2">
        <v>1</v>
      </c>
      <c r="E327" s="11" t="s">
        <v>3379</v>
      </c>
      <c r="F327" t="s">
        <v>28</v>
      </c>
      <c r="G327" s="2" t="s">
        <v>31</v>
      </c>
      <c r="H327" s="1">
        <v>95.294000000000011</v>
      </c>
      <c r="M327" s="2">
        <v>824</v>
      </c>
      <c r="N327" s="4">
        <v>43754.638935185183</v>
      </c>
      <c r="O327" t="s">
        <v>3354</v>
      </c>
      <c r="P327" t="s">
        <v>3316</v>
      </c>
      <c r="Q327" s="1">
        <v>2937.0480000000011</v>
      </c>
      <c r="R327" t="s">
        <v>3315</v>
      </c>
      <c r="S327" t="s">
        <v>3320</v>
      </c>
      <c r="T327">
        <f>MONTH(tbPedido[[#This Row],[Comprado Em]])</f>
        <v>10</v>
      </c>
    </row>
    <row r="328" spans="1:20" x14ac:dyDescent="0.3">
      <c r="A328" s="2">
        <v>520</v>
      </c>
      <c r="B328" t="s">
        <v>3380</v>
      </c>
      <c r="C328" t="s">
        <v>1</v>
      </c>
      <c r="D328" s="2">
        <v>1</v>
      </c>
      <c r="E328" s="11" t="s">
        <v>3379</v>
      </c>
      <c r="F328" t="s">
        <v>114</v>
      </c>
      <c r="G328" s="2" t="s">
        <v>31</v>
      </c>
      <c r="H328" s="1">
        <v>95.294000000000011</v>
      </c>
      <c r="M328" s="2">
        <v>825</v>
      </c>
      <c r="N328" s="4">
        <v>43754.681087962963</v>
      </c>
      <c r="O328" t="s">
        <v>3644</v>
      </c>
      <c r="P328" t="s">
        <v>3311</v>
      </c>
      <c r="Q328" s="1">
        <v>2083.9600000000009</v>
      </c>
      <c r="R328" t="s">
        <v>3310</v>
      </c>
      <c r="S328" t="s">
        <v>3366</v>
      </c>
      <c r="T328">
        <f>MONTH(tbPedido[[#This Row],[Comprado Em]])</f>
        <v>10</v>
      </c>
    </row>
    <row r="329" spans="1:20" x14ac:dyDescent="0.3">
      <c r="A329" s="2">
        <v>520</v>
      </c>
      <c r="B329" t="s">
        <v>1161</v>
      </c>
      <c r="C329" t="s">
        <v>1</v>
      </c>
      <c r="D329" s="2">
        <v>1</v>
      </c>
      <c r="E329" s="11" t="s">
        <v>285</v>
      </c>
      <c r="F329" t="s">
        <v>47</v>
      </c>
      <c r="G329" s="2" t="s">
        <v>31</v>
      </c>
      <c r="H329" s="1">
        <v>68.794000000000011</v>
      </c>
      <c r="M329" s="2">
        <v>826</v>
      </c>
      <c r="N329" s="4">
        <v>43755.608877314815</v>
      </c>
      <c r="O329" t="s">
        <v>3599</v>
      </c>
      <c r="P329" t="s">
        <v>3316</v>
      </c>
      <c r="Q329" s="1">
        <v>1286.6279999999999</v>
      </c>
      <c r="R329" t="s">
        <v>3310</v>
      </c>
      <c r="S329" t="s">
        <v>3326</v>
      </c>
      <c r="T329">
        <f>MONTH(tbPedido[[#This Row],[Comprado Em]])</f>
        <v>10</v>
      </c>
    </row>
    <row r="330" spans="1:20" x14ac:dyDescent="0.3">
      <c r="A330" s="2">
        <v>520</v>
      </c>
      <c r="B330" t="s">
        <v>3376</v>
      </c>
      <c r="C330" t="s">
        <v>3224</v>
      </c>
      <c r="D330" s="2">
        <v>1</v>
      </c>
      <c r="E330" s="11" t="s">
        <v>3375</v>
      </c>
      <c r="F330" t="s">
        <v>39</v>
      </c>
      <c r="G330" s="2" t="s">
        <v>31</v>
      </c>
      <c r="H330" s="1">
        <v>95.294000000000011</v>
      </c>
      <c r="M330" s="2">
        <v>827</v>
      </c>
      <c r="N330" s="4">
        <v>43756.227222222224</v>
      </c>
      <c r="O330" t="s">
        <v>3348</v>
      </c>
      <c r="P330" t="s">
        <v>3318</v>
      </c>
      <c r="Q330" s="1">
        <v>1360.0860000000005</v>
      </c>
      <c r="R330" t="s">
        <v>3315</v>
      </c>
      <c r="S330" t="s">
        <v>3373</v>
      </c>
      <c r="T330">
        <f>MONTH(tbPedido[[#This Row],[Comprado Em]])</f>
        <v>10</v>
      </c>
    </row>
    <row r="331" spans="1:20" x14ac:dyDescent="0.3">
      <c r="A331" s="2">
        <v>520</v>
      </c>
      <c r="B331" t="s">
        <v>2627</v>
      </c>
      <c r="C331" t="s">
        <v>3219</v>
      </c>
      <c r="D331" s="2">
        <v>1</v>
      </c>
      <c r="E331" s="11" t="s">
        <v>2123</v>
      </c>
      <c r="F331" t="s">
        <v>24</v>
      </c>
      <c r="G331" s="2" t="s">
        <v>31</v>
      </c>
      <c r="H331" s="1">
        <v>142.994</v>
      </c>
      <c r="M331" s="2">
        <v>828</v>
      </c>
      <c r="N331" s="4">
        <v>43756.651307870372</v>
      </c>
      <c r="O331" t="s">
        <v>3636</v>
      </c>
      <c r="P331" t="s">
        <v>3311</v>
      </c>
      <c r="Q331" s="1">
        <v>1408.5279999999998</v>
      </c>
      <c r="R331" t="s">
        <v>3310</v>
      </c>
      <c r="S331" t="s">
        <v>3314</v>
      </c>
      <c r="T331">
        <f>MONTH(tbPedido[[#This Row],[Comprado Em]])</f>
        <v>10</v>
      </c>
    </row>
    <row r="332" spans="1:20" x14ac:dyDescent="0.3">
      <c r="A332" s="2">
        <v>521</v>
      </c>
      <c r="B332" t="s">
        <v>3222</v>
      </c>
      <c r="C332" t="s">
        <v>0</v>
      </c>
      <c r="D332" s="2">
        <v>2</v>
      </c>
      <c r="E332" s="11" t="s">
        <v>3089</v>
      </c>
      <c r="F332" t="s">
        <v>254</v>
      </c>
      <c r="G332" s="2" t="s">
        <v>4</v>
      </c>
      <c r="H332" s="1">
        <v>195.99400000000003</v>
      </c>
      <c r="M332" s="2">
        <v>829</v>
      </c>
      <c r="N332" s="4">
        <v>43756.765983796293</v>
      </c>
      <c r="O332" t="s">
        <v>3489</v>
      </c>
      <c r="P332" t="s">
        <v>3311</v>
      </c>
      <c r="Q332" s="1">
        <v>1779.1040000000003</v>
      </c>
      <c r="R332" t="s">
        <v>3310</v>
      </c>
      <c r="S332" t="s">
        <v>3314</v>
      </c>
      <c r="T332">
        <f>MONTH(tbPedido[[#This Row],[Comprado Em]])</f>
        <v>10</v>
      </c>
    </row>
    <row r="333" spans="1:20" x14ac:dyDescent="0.3">
      <c r="A333" s="2">
        <v>521</v>
      </c>
      <c r="B333" t="s">
        <v>3371</v>
      </c>
      <c r="C333" t="s">
        <v>0</v>
      </c>
      <c r="D333" s="2">
        <v>3</v>
      </c>
      <c r="E333" s="11" t="s">
        <v>3089</v>
      </c>
      <c r="F333" t="s">
        <v>254</v>
      </c>
      <c r="G333" s="2" t="s">
        <v>23</v>
      </c>
      <c r="H333" s="1">
        <v>195.99400000000003</v>
      </c>
      <c r="M333" s="2">
        <v>830</v>
      </c>
      <c r="N333" s="4">
        <v>43757.382939814815</v>
      </c>
      <c r="O333" t="s">
        <v>3482</v>
      </c>
      <c r="P333" t="s">
        <v>3316</v>
      </c>
      <c r="Q333" s="1">
        <v>359.12800000000004</v>
      </c>
      <c r="R333" t="s">
        <v>3315</v>
      </c>
      <c r="S333" t="s">
        <v>3320</v>
      </c>
      <c r="T333">
        <f>MONTH(tbPedido[[#This Row],[Comprado Em]])</f>
        <v>10</v>
      </c>
    </row>
    <row r="334" spans="1:20" x14ac:dyDescent="0.3">
      <c r="A334" s="2">
        <v>521</v>
      </c>
      <c r="B334" t="s">
        <v>3369</v>
      </c>
      <c r="C334" t="s">
        <v>3224</v>
      </c>
      <c r="D334" s="2">
        <v>1</v>
      </c>
      <c r="E334" s="11" t="s">
        <v>3368</v>
      </c>
      <c r="F334" t="s">
        <v>254</v>
      </c>
      <c r="G334" s="2" t="s">
        <v>4</v>
      </c>
      <c r="H334" s="1">
        <v>79.394000000000005</v>
      </c>
      <c r="M334" s="2">
        <v>831</v>
      </c>
      <c r="N334" s="4">
        <v>43757.626076388886</v>
      </c>
      <c r="O334" t="s">
        <v>3538</v>
      </c>
      <c r="P334" t="s">
        <v>3318</v>
      </c>
      <c r="Q334" s="1">
        <v>3510.7200000000012</v>
      </c>
      <c r="R334" t="s">
        <v>3310</v>
      </c>
      <c r="S334" t="s">
        <v>3366</v>
      </c>
      <c r="T334">
        <f>MONTH(tbPedido[[#This Row],[Comprado Em]])</f>
        <v>10</v>
      </c>
    </row>
    <row r="335" spans="1:20" x14ac:dyDescent="0.3">
      <c r="A335" s="2">
        <v>521</v>
      </c>
      <c r="B335" t="s">
        <v>3090</v>
      </c>
      <c r="C335" t="s">
        <v>0</v>
      </c>
      <c r="D335" s="2">
        <v>1</v>
      </c>
      <c r="E335" s="11" t="s">
        <v>3089</v>
      </c>
      <c r="F335" t="s">
        <v>28</v>
      </c>
      <c r="G335" s="2" t="s">
        <v>4</v>
      </c>
      <c r="H335" s="1">
        <v>195.99400000000003</v>
      </c>
      <c r="M335" s="2">
        <v>832</v>
      </c>
      <c r="N335" s="4">
        <v>43757.896087962959</v>
      </c>
      <c r="O335" t="s">
        <v>3467</v>
      </c>
      <c r="P335" t="s">
        <v>3316</v>
      </c>
      <c r="Q335" s="1">
        <v>3631.4540000000011</v>
      </c>
      <c r="R335" t="s">
        <v>3315</v>
      </c>
      <c r="S335" t="s">
        <v>3314</v>
      </c>
      <c r="T335">
        <f>MONTH(tbPedido[[#This Row],[Comprado Em]])</f>
        <v>10</v>
      </c>
    </row>
    <row r="336" spans="1:20" x14ac:dyDescent="0.3">
      <c r="A336" s="2">
        <v>521</v>
      </c>
      <c r="B336" t="s">
        <v>3363</v>
      </c>
      <c r="C336" t="s">
        <v>0</v>
      </c>
      <c r="D336" s="2">
        <v>2</v>
      </c>
      <c r="E336" s="11" t="s">
        <v>3089</v>
      </c>
      <c r="F336" t="s">
        <v>28</v>
      </c>
      <c r="G336" s="2" t="s">
        <v>31</v>
      </c>
      <c r="H336" s="1">
        <v>195.99400000000003</v>
      </c>
      <c r="M336" s="2">
        <v>833</v>
      </c>
      <c r="N336" s="4">
        <v>43758.788773148146</v>
      </c>
      <c r="O336" t="s">
        <v>3355</v>
      </c>
      <c r="P336" t="s">
        <v>3316</v>
      </c>
      <c r="Q336" s="1">
        <v>2302.0160000000005</v>
      </c>
      <c r="R336" t="s">
        <v>3315</v>
      </c>
      <c r="S336" t="s">
        <v>3309</v>
      </c>
      <c r="T336">
        <f>MONTH(tbPedido[[#This Row],[Comprado Em]])</f>
        <v>10</v>
      </c>
    </row>
    <row r="337" spans="1:20" x14ac:dyDescent="0.3">
      <c r="A337" s="2">
        <v>522</v>
      </c>
      <c r="B337" t="s">
        <v>3362</v>
      </c>
      <c r="C337" t="s">
        <v>3334</v>
      </c>
      <c r="D337" s="2">
        <v>1</v>
      </c>
      <c r="E337" s="11" t="s">
        <v>2486</v>
      </c>
      <c r="F337" t="s">
        <v>55</v>
      </c>
      <c r="G337" s="2" t="s">
        <v>23</v>
      </c>
      <c r="H337" s="1">
        <v>105.89400000000001</v>
      </c>
      <c r="M337" s="2">
        <v>834</v>
      </c>
      <c r="N337" s="4">
        <v>43759.348182870373</v>
      </c>
      <c r="O337" t="s">
        <v>3584</v>
      </c>
      <c r="P337" t="s">
        <v>3318</v>
      </c>
      <c r="Q337" s="1">
        <v>1281.3280000000002</v>
      </c>
      <c r="R337" t="s">
        <v>3315</v>
      </c>
      <c r="S337" t="s">
        <v>3314</v>
      </c>
      <c r="T337">
        <f>MONTH(tbPedido[[#This Row],[Comprado Em]])</f>
        <v>10</v>
      </c>
    </row>
    <row r="338" spans="1:20" x14ac:dyDescent="0.3">
      <c r="A338" s="2">
        <v>522</v>
      </c>
      <c r="B338" t="s">
        <v>3034</v>
      </c>
      <c r="C338" t="s">
        <v>3219</v>
      </c>
      <c r="D338" s="2">
        <v>1</v>
      </c>
      <c r="E338" s="11" t="s">
        <v>2338</v>
      </c>
      <c r="F338" t="s">
        <v>65</v>
      </c>
      <c r="G338" s="2" t="s">
        <v>23</v>
      </c>
      <c r="H338" s="1">
        <v>153.59400000000002</v>
      </c>
      <c r="M338" s="2">
        <v>835</v>
      </c>
      <c r="N338" s="4">
        <v>43759.427546296298</v>
      </c>
      <c r="O338" t="s">
        <v>3336</v>
      </c>
      <c r="P338" t="s">
        <v>3318</v>
      </c>
      <c r="Q338" s="1">
        <v>1795.4280000000001</v>
      </c>
      <c r="R338" t="s">
        <v>3310</v>
      </c>
      <c r="S338" t="s">
        <v>3360</v>
      </c>
      <c r="T338">
        <f>MONTH(tbPedido[[#This Row],[Comprado Em]])</f>
        <v>10</v>
      </c>
    </row>
    <row r="339" spans="1:20" x14ac:dyDescent="0.3">
      <c r="A339" s="2">
        <v>522</v>
      </c>
      <c r="B339" t="s">
        <v>3359</v>
      </c>
      <c r="C339" t="s">
        <v>1</v>
      </c>
      <c r="D339" s="2">
        <v>1</v>
      </c>
      <c r="E339" s="11" t="s">
        <v>3358</v>
      </c>
      <c r="F339" t="s">
        <v>65</v>
      </c>
      <c r="G339" s="2" t="s">
        <v>23</v>
      </c>
      <c r="H339" s="1">
        <v>105.89400000000001</v>
      </c>
      <c r="M339" s="2">
        <v>836</v>
      </c>
      <c r="N339" s="4">
        <v>43759.569201388891</v>
      </c>
      <c r="O339" t="s">
        <v>3381</v>
      </c>
      <c r="P339" t="s">
        <v>3316</v>
      </c>
      <c r="Q339" s="1">
        <v>1609.9280000000003</v>
      </c>
      <c r="R339" t="s">
        <v>3757</v>
      </c>
      <c r="S339" t="s">
        <v>3320</v>
      </c>
      <c r="T339">
        <f>MONTH(tbPedido[[#This Row],[Comprado Em]])</f>
        <v>10</v>
      </c>
    </row>
    <row r="340" spans="1:20" x14ac:dyDescent="0.3">
      <c r="A340" s="2">
        <v>522</v>
      </c>
      <c r="B340" t="s">
        <v>3209</v>
      </c>
      <c r="C340" t="s">
        <v>3</v>
      </c>
      <c r="D340" s="2">
        <v>1</v>
      </c>
      <c r="E340" s="11" t="s">
        <v>3038</v>
      </c>
      <c r="F340" t="s">
        <v>65</v>
      </c>
      <c r="G340" s="2" t="s">
        <v>23</v>
      </c>
      <c r="H340" s="1">
        <v>100.59400000000001</v>
      </c>
      <c r="M340" s="2">
        <v>837</v>
      </c>
      <c r="N340" s="4">
        <v>43759.585462962961</v>
      </c>
      <c r="O340" t="s">
        <v>3632</v>
      </c>
      <c r="P340" t="s">
        <v>3316</v>
      </c>
      <c r="Q340" s="1">
        <v>1435.0280000000002</v>
      </c>
      <c r="R340" t="s">
        <v>3310</v>
      </c>
      <c r="S340" t="s">
        <v>3320</v>
      </c>
      <c r="T340">
        <f>MONTH(tbPedido[[#This Row],[Comprado Em]])</f>
        <v>10</v>
      </c>
    </row>
    <row r="341" spans="1:20" x14ac:dyDescent="0.3">
      <c r="A341" s="2">
        <v>522</v>
      </c>
      <c r="B341" t="s">
        <v>3308</v>
      </c>
      <c r="C341" t="s">
        <v>3224</v>
      </c>
      <c r="D341" s="2">
        <v>1</v>
      </c>
      <c r="E341" s="11" t="s">
        <v>3170</v>
      </c>
      <c r="F341" t="s">
        <v>114</v>
      </c>
      <c r="G341" s="2" t="s">
        <v>23</v>
      </c>
      <c r="H341" s="1">
        <v>105.89400000000001</v>
      </c>
      <c r="M341" s="2">
        <v>838</v>
      </c>
      <c r="N341" s="4">
        <v>43759.691527777781</v>
      </c>
      <c r="O341" t="s">
        <v>3484</v>
      </c>
      <c r="P341" t="s">
        <v>3316</v>
      </c>
      <c r="Q341" s="1">
        <v>2610.7799999999997</v>
      </c>
      <c r="R341" t="s">
        <v>3310</v>
      </c>
      <c r="S341" t="s">
        <v>3314</v>
      </c>
      <c r="T341">
        <f>MONTH(tbPedido[[#This Row],[Comprado Em]])</f>
        <v>10</v>
      </c>
    </row>
    <row r="342" spans="1:20" x14ac:dyDescent="0.3">
      <c r="A342" s="2">
        <v>522</v>
      </c>
      <c r="B342" t="s">
        <v>3356</v>
      </c>
      <c r="C342" t="s">
        <v>3334</v>
      </c>
      <c r="D342" s="2">
        <v>1</v>
      </c>
      <c r="E342" s="11" t="s">
        <v>2486</v>
      </c>
      <c r="F342" t="s">
        <v>78</v>
      </c>
      <c r="G342" s="2" t="s">
        <v>23</v>
      </c>
      <c r="H342" s="1">
        <v>105.89400000000001</v>
      </c>
      <c r="M342" s="2">
        <v>839</v>
      </c>
      <c r="N342" s="4">
        <v>43760.604525462964</v>
      </c>
      <c r="O342" t="s">
        <v>3540</v>
      </c>
      <c r="P342" t="s">
        <v>3318</v>
      </c>
      <c r="Q342" s="1">
        <v>1737.0220000000002</v>
      </c>
      <c r="R342" t="s">
        <v>3757</v>
      </c>
      <c r="S342" t="s">
        <v>3314</v>
      </c>
      <c r="T342">
        <f>MONTH(tbPedido[[#This Row],[Comprado Em]])</f>
        <v>10</v>
      </c>
    </row>
    <row r="343" spans="1:20" x14ac:dyDescent="0.3">
      <c r="A343" s="2">
        <v>522</v>
      </c>
      <c r="B343" t="s">
        <v>2991</v>
      </c>
      <c r="C343" t="s">
        <v>3</v>
      </c>
      <c r="D343" s="2">
        <v>1</v>
      </c>
      <c r="E343" s="11" t="s">
        <v>2769</v>
      </c>
      <c r="F343" t="s">
        <v>78</v>
      </c>
      <c r="G343" s="2" t="s">
        <v>23</v>
      </c>
      <c r="H343" s="1">
        <v>95.294000000000011</v>
      </c>
      <c r="M343" s="2">
        <v>840</v>
      </c>
      <c r="N343" s="4">
        <v>43760.708321759259</v>
      </c>
      <c r="O343" t="s">
        <v>3348</v>
      </c>
      <c r="P343" t="s">
        <v>3316</v>
      </c>
      <c r="Q343" s="1">
        <v>709.56400000000008</v>
      </c>
      <c r="R343" t="s">
        <v>3310</v>
      </c>
      <c r="S343" t="s">
        <v>3314</v>
      </c>
      <c r="T343">
        <f>MONTH(tbPedido[[#This Row],[Comprado Em]])</f>
        <v>10</v>
      </c>
    </row>
    <row r="344" spans="1:20" x14ac:dyDescent="0.3">
      <c r="A344" s="2">
        <v>522</v>
      </c>
      <c r="B344" t="s">
        <v>3353</v>
      </c>
      <c r="C344" t="s">
        <v>3219</v>
      </c>
      <c r="D344" s="2">
        <v>1</v>
      </c>
      <c r="E344" s="11" t="s">
        <v>3164</v>
      </c>
      <c r="F344" t="s">
        <v>47</v>
      </c>
      <c r="G344" s="2" t="s">
        <v>23</v>
      </c>
      <c r="H344" s="1">
        <v>142.994</v>
      </c>
      <c r="M344" s="2">
        <v>841</v>
      </c>
      <c r="N344" s="4">
        <v>43761.472280092596</v>
      </c>
      <c r="O344" t="s">
        <v>3713</v>
      </c>
      <c r="P344" t="s">
        <v>3318</v>
      </c>
      <c r="Q344" s="1">
        <v>1191.2280000000003</v>
      </c>
      <c r="R344" t="s">
        <v>3310</v>
      </c>
      <c r="S344" t="s">
        <v>3314</v>
      </c>
      <c r="T344">
        <f>MONTH(tbPedido[[#This Row],[Comprado Em]])</f>
        <v>10</v>
      </c>
    </row>
    <row r="345" spans="1:20" x14ac:dyDescent="0.3">
      <c r="A345" s="2">
        <v>522</v>
      </c>
      <c r="B345" t="s">
        <v>3333</v>
      </c>
      <c r="C345" t="s">
        <v>3217</v>
      </c>
      <c r="D345" s="2">
        <v>1</v>
      </c>
      <c r="E345" s="11" t="s">
        <v>3113</v>
      </c>
      <c r="F345" t="s">
        <v>47</v>
      </c>
      <c r="G345" s="2" t="s">
        <v>23</v>
      </c>
      <c r="H345" s="1">
        <v>68.794000000000011</v>
      </c>
      <c r="M345" s="2">
        <v>842</v>
      </c>
      <c r="N345" s="4">
        <v>43761.48474537037</v>
      </c>
      <c r="O345" t="s">
        <v>3352</v>
      </c>
      <c r="P345" t="s">
        <v>3316</v>
      </c>
      <c r="Q345" s="1">
        <v>2361.6800000000003</v>
      </c>
      <c r="R345" t="s">
        <v>3315</v>
      </c>
      <c r="S345" t="s">
        <v>3331</v>
      </c>
      <c r="T345">
        <f>MONTH(tbPedido[[#This Row],[Comprado Em]])</f>
        <v>10</v>
      </c>
    </row>
    <row r="346" spans="1:20" x14ac:dyDescent="0.3">
      <c r="A346" s="2">
        <v>522</v>
      </c>
      <c r="B346" t="s">
        <v>2581</v>
      </c>
      <c r="C346" t="s">
        <v>3225</v>
      </c>
      <c r="D346" s="2">
        <v>1</v>
      </c>
      <c r="E346" s="11" t="s">
        <v>2511</v>
      </c>
      <c r="F346" t="s">
        <v>47</v>
      </c>
      <c r="G346" s="2" t="s">
        <v>23</v>
      </c>
      <c r="H346" s="1">
        <v>164.19400000000002</v>
      </c>
      <c r="M346" s="2">
        <v>843</v>
      </c>
      <c r="N346" s="4">
        <v>43761.638611111113</v>
      </c>
      <c r="O346" t="s">
        <v>3343</v>
      </c>
      <c r="P346" t="s">
        <v>3316</v>
      </c>
      <c r="Q346" s="1">
        <v>1291.5040000000004</v>
      </c>
      <c r="R346" t="s">
        <v>3315</v>
      </c>
      <c r="S346" t="s">
        <v>3320</v>
      </c>
      <c r="T346">
        <f>MONTH(tbPedido[[#This Row],[Comprado Em]])</f>
        <v>10</v>
      </c>
    </row>
    <row r="347" spans="1:20" x14ac:dyDescent="0.3">
      <c r="A347" s="2">
        <v>522</v>
      </c>
      <c r="B347" t="s">
        <v>3350</v>
      </c>
      <c r="C347" t="s">
        <v>0</v>
      </c>
      <c r="D347" s="2">
        <v>1</v>
      </c>
      <c r="E347" s="11" t="s">
        <v>3349</v>
      </c>
      <c r="F347" t="s">
        <v>47</v>
      </c>
      <c r="G347" s="2" t="s">
        <v>23</v>
      </c>
      <c r="H347" s="1">
        <v>100.59400000000001</v>
      </c>
      <c r="M347" s="2">
        <v>844</v>
      </c>
      <c r="N347" s="4">
        <v>43762.388981481483</v>
      </c>
      <c r="O347" t="s">
        <v>3467</v>
      </c>
      <c r="P347" t="s">
        <v>3316</v>
      </c>
      <c r="Q347" s="1">
        <v>799.66400000000021</v>
      </c>
      <c r="R347" t="s">
        <v>3315</v>
      </c>
      <c r="S347" t="s">
        <v>3320</v>
      </c>
      <c r="T347">
        <f>MONTH(tbPedido[[#This Row],[Comprado Em]])</f>
        <v>10</v>
      </c>
    </row>
    <row r="348" spans="1:20" x14ac:dyDescent="0.3">
      <c r="A348" s="2">
        <v>522</v>
      </c>
      <c r="B348" t="s">
        <v>2549</v>
      </c>
      <c r="C348" t="s">
        <v>3221</v>
      </c>
      <c r="D348" s="2">
        <v>1</v>
      </c>
      <c r="E348" s="11" t="s">
        <v>383</v>
      </c>
      <c r="F348" t="s">
        <v>47</v>
      </c>
      <c r="G348" s="2" t="s">
        <v>23</v>
      </c>
      <c r="H348" s="1">
        <v>164.19400000000002</v>
      </c>
      <c r="M348" s="2">
        <v>845</v>
      </c>
      <c r="N348" s="4">
        <v>43764.480428240742</v>
      </c>
      <c r="O348" t="s">
        <v>3536</v>
      </c>
      <c r="P348" t="s">
        <v>3316</v>
      </c>
      <c r="Q348" s="1">
        <v>1429.0920000000001</v>
      </c>
      <c r="R348" t="s">
        <v>3315</v>
      </c>
      <c r="S348" t="s">
        <v>3322</v>
      </c>
      <c r="T348">
        <f>MONTH(tbPedido[[#This Row],[Comprado Em]])</f>
        <v>10</v>
      </c>
    </row>
    <row r="349" spans="1:20" x14ac:dyDescent="0.3">
      <c r="A349" s="2">
        <v>522</v>
      </c>
      <c r="B349" t="s">
        <v>3166</v>
      </c>
      <c r="C349" t="s">
        <v>3224</v>
      </c>
      <c r="D349" s="2">
        <v>1</v>
      </c>
      <c r="E349" s="11" t="s">
        <v>3066</v>
      </c>
      <c r="F349" t="s">
        <v>47</v>
      </c>
      <c r="G349" s="2" t="s">
        <v>23</v>
      </c>
      <c r="H349" s="1">
        <v>95.294000000000011</v>
      </c>
      <c r="M349" s="2">
        <v>846</v>
      </c>
      <c r="N349" s="4">
        <v>43764.724594907406</v>
      </c>
      <c r="O349" t="s">
        <v>3511</v>
      </c>
      <c r="P349" t="s">
        <v>3316</v>
      </c>
      <c r="Q349" s="1">
        <v>3444.9679999999998</v>
      </c>
      <c r="R349" t="s">
        <v>3315</v>
      </c>
      <c r="S349" t="s">
        <v>3309</v>
      </c>
      <c r="T349">
        <f>MONTH(tbPedido[[#This Row],[Comprado Em]])</f>
        <v>10</v>
      </c>
    </row>
    <row r="350" spans="1:20" x14ac:dyDescent="0.3">
      <c r="A350" s="2">
        <v>522</v>
      </c>
      <c r="B350" t="s">
        <v>1800</v>
      </c>
      <c r="C350" t="s">
        <v>3221</v>
      </c>
      <c r="D350" s="2">
        <v>1</v>
      </c>
      <c r="E350" s="11" t="s">
        <v>642</v>
      </c>
      <c r="F350" t="s">
        <v>47</v>
      </c>
      <c r="G350" s="2" t="s">
        <v>23</v>
      </c>
      <c r="H350" s="1">
        <v>95.294000000000011</v>
      </c>
      <c r="M350" s="2">
        <v>847</v>
      </c>
      <c r="N350" s="4">
        <v>43764.960798611108</v>
      </c>
      <c r="O350" t="s">
        <v>3456</v>
      </c>
      <c r="P350" t="s">
        <v>3318</v>
      </c>
      <c r="Q350" s="1">
        <v>1630.9160000000004</v>
      </c>
      <c r="R350" t="s">
        <v>3757</v>
      </c>
      <c r="S350" t="s">
        <v>3342</v>
      </c>
      <c r="T350">
        <f>MONTH(tbPedido[[#This Row],[Comprado Em]])</f>
        <v>10</v>
      </c>
    </row>
    <row r="351" spans="1:20" x14ac:dyDescent="0.3">
      <c r="A351" s="2">
        <v>523</v>
      </c>
      <c r="B351" t="s">
        <v>540</v>
      </c>
      <c r="C351" t="s">
        <v>3219</v>
      </c>
      <c r="D351" s="2">
        <v>1</v>
      </c>
      <c r="E351" s="11" t="s">
        <v>534</v>
      </c>
      <c r="F351" t="s">
        <v>65</v>
      </c>
      <c r="G351" s="2" t="s">
        <v>23</v>
      </c>
      <c r="H351" s="1">
        <v>89.994000000000014</v>
      </c>
      <c r="M351" s="2">
        <v>848</v>
      </c>
      <c r="N351" s="4">
        <v>43765.465439814812</v>
      </c>
      <c r="O351" t="s">
        <v>3538</v>
      </c>
      <c r="P351" t="s">
        <v>3311</v>
      </c>
      <c r="Q351" s="1">
        <v>1984.3800000000006</v>
      </c>
      <c r="R351" t="s">
        <v>3310</v>
      </c>
      <c r="S351" t="s">
        <v>3322</v>
      </c>
      <c r="T351">
        <f>MONTH(tbPedido[[#This Row],[Comprado Em]])</f>
        <v>10</v>
      </c>
    </row>
    <row r="352" spans="1:20" x14ac:dyDescent="0.3">
      <c r="A352" s="2">
        <v>523</v>
      </c>
      <c r="B352" t="s">
        <v>3033</v>
      </c>
      <c r="C352" t="s">
        <v>3224</v>
      </c>
      <c r="D352" s="2">
        <v>2</v>
      </c>
      <c r="E352" s="11" t="s">
        <v>191</v>
      </c>
      <c r="F352" t="s">
        <v>126</v>
      </c>
      <c r="G352" s="2" t="s">
        <v>23</v>
      </c>
      <c r="H352" s="1">
        <v>63.494000000000007</v>
      </c>
      <c r="M352" s="2">
        <v>849</v>
      </c>
      <c r="N352" s="4">
        <v>43765.845405092594</v>
      </c>
      <c r="O352" t="s">
        <v>3343</v>
      </c>
      <c r="P352" t="s">
        <v>3316</v>
      </c>
      <c r="Q352" s="1">
        <v>1339.5219999999999</v>
      </c>
      <c r="R352" t="s">
        <v>3310</v>
      </c>
      <c r="S352" t="s">
        <v>3324</v>
      </c>
      <c r="T352">
        <f>MONTH(tbPedido[[#This Row],[Comprado Em]])</f>
        <v>10</v>
      </c>
    </row>
    <row r="353" spans="1:20" x14ac:dyDescent="0.3">
      <c r="A353" s="2">
        <v>523</v>
      </c>
      <c r="B353" t="s">
        <v>3083</v>
      </c>
      <c r="C353" t="s">
        <v>3</v>
      </c>
      <c r="D353" s="2">
        <v>1</v>
      </c>
      <c r="E353" s="11" t="s">
        <v>3082</v>
      </c>
      <c r="F353" t="s">
        <v>114</v>
      </c>
      <c r="G353" s="2" t="s">
        <v>23</v>
      </c>
      <c r="H353" s="1">
        <v>84.694000000000017</v>
      </c>
      <c r="M353" s="2">
        <v>850</v>
      </c>
      <c r="N353" s="4">
        <v>43766.377442129633</v>
      </c>
      <c r="O353" t="s">
        <v>3740</v>
      </c>
      <c r="P353" t="s">
        <v>3318</v>
      </c>
      <c r="Q353" s="1">
        <v>1720.6980000000001</v>
      </c>
      <c r="R353" t="s">
        <v>3310</v>
      </c>
      <c r="S353" t="s">
        <v>3342</v>
      </c>
      <c r="T353">
        <f>MONTH(tbPedido[[#This Row],[Comprado Em]])</f>
        <v>10</v>
      </c>
    </row>
    <row r="354" spans="1:20" x14ac:dyDescent="0.3">
      <c r="A354" s="2">
        <v>523</v>
      </c>
      <c r="B354" t="s">
        <v>3341</v>
      </c>
      <c r="C354" t="s">
        <v>3224</v>
      </c>
      <c r="D354" s="2">
        <v>1</v>
      </c>
      <c r="E354" s="11" t="s">
        <v>3340</v>
      </c>
      <c r="F354" t="s">
        <v>78</v>
      </c>
      <c r="G354" s="2" t="s">
        <v>23</v>
      </c>
      <c r="H354" s="1">
        <v>63.494000000000007</v>
      </c>
      <c r="M354" s="2">
        <v>851</v>
      </c>
      <c r="N354" s="4">
        <v>43766.50141203704</v>
      </c>
      <c r="O354" t="s">
        <v>3332</v>
      </c>
      <c r="P354" t="s">
        <v>3318</v>
      </c>
      <c r="Q354" s="1">
        <v>4236.0780000000013</v>
      </c>
      <c r="R354" t="s">
        <v>3310</v>
      </c>
      <c r="S354" t="s">
        <v>3326</v>
      </c>
      <c r="T354">
        <f>MONTH(tbPedido[[#This Row],[Comprado Em]])</f>
        <v>10</v>
      </c>
    </row>
    <row r="355" spans="1:20" x14ac:dyDescent="0.3">
      <c r="A355" s="2">
        <v>523</v>
      </c>
      <c r="B355" t="s">
        <v>3338</v>
      </c>
      <c r="C355" t="s">
        <v>3661</v>
      </c>
      <c r="D355" s="2">
        <v>1</v>
      </c>
      <c r="E355" s="11" t="s">
        <v>3337</v>
      </c>
      <c r="F355" t="s">
        <v>78</v>
      </c>
      <c r="G355" s="2" t="s">
        <v>23</v>
      </c>
      <c r="H355" s="1">
        <v>127.09400000000001</v>
      </c>
      <c r="M355" s="2">
        <v>852</v>
      </c>
      <c r="N355" s="4">
        <v>43766.544108796297</v>
      </c>
      <c r="O355" t="s">
        <v>3540</v>
      </c>
      <c r="P355" t="s">
        <v>3316</v>
      </c>
      <c r="Q355" s="1">
        <v>1742.4280000000003</v>
      </c>
      <c r="R355" t="s">
        <v>3315</v>
      </c>
      <c r="S355" t="s">
        <v>3320</v>
      </c>
      <c r="T355">
        <f>MONTH(tbPedido[[#This Row],[Comprado Em]])</f>
        <v>10</v>
      </c>
    </row>
    <row r="356" spans="1:20" x14ac:dyDescent="0.3">
      <c r="A356" s="2">
        <v>523</v>
      </c>
      <c r="B356" t="s">
        <v>2340</v>
      </c>
      <c r="C356" t="s">
        <v>3219</v>
      </c>
      <c r="D356" s="2">
        <v>1</v>
      </c>
      <c r="E356" s="11" t="s">
        <v>2338</v>
      </c>
      <c r="F356" t="s">
        <v>47</v>
      </c>
      <c r="G356" s="2" t="s">
        <v>4</v>
      </c>
      <c r="H356" s="1">
        <v>153.59400000000002</v>
      </c>
      <c r="M356" s="2">
        <v>853</v>
      </c>
      <c r="N356" s="4">
        <v>43766.624525462961</v>
      </c>
      <c r="O356" t="s">
        <v>3488</v>
      </c>
      <c r="P356" t="s">
        <v>3316</v>
      </c>
      <c r="Q356" s="1">
        <v>2270.3679999999999</v>
      </c>
      <c r="R356" t="s">
        <v>3315</v>
      </c>
      <c r="S356" t="s">
        <v>3331</v>
      </c>
      <c r="T356">
        <f>MONTH(tbPedido[[#This Row],[Comprado Em]])</f>
        <v>10</v>
      </c>
    </row>
    <row r="357" spans="1:20" x14ac:dyDescent="0.3">
      <c r="A357" s="2">
        <v>523</v>
      </c>
      <c r="B357" t="s">
        <v>925</v>
      </c>
      <c r="C357" t="s">
        <v>3219</v>
      </c>
      <c r="D357" s="2">
        <v>2</v>
      </c>
      <c r="E357" s="11" t="s">
        <v>534</v>
      </c>
      <c r="F357" t="s">
        <v>47</v>
      </c>
      <c r="G357" s="2" t="s">
        <v>23</v>
      </c>
      <c r="H357" s="1">
        <v>89.994000000000014</v>
      </c>
      <c r="M357" s="2">
        <v>854</v>
      </c>
      <c r="N357" s="4">
        <v>43766.702152777776</v>
      </c>
      <c r="O357" t="s">
        <v>3346</v>
      </c>
      <c r="P357" t="s">
        <v>3311</v>
      </c>
      <c r="Q357" s="1">
        <v>1534.3040000000005</v>
      </c>
      <c r="R357" t="s">
        <v>3310</v>
      </c>
      <c r="S357" t="s">
        <v>3322</v>
      </c>
      <c r="T357">
        <f>MONTH(tbPedido[[#This Row],[Comprado Em]])</f>
        <v>10</v>
      </c>
    </row>
    <row r="358" spans="1:20" x14ac:dyDescent="0.3">
      <c r="A358" s="2">
        <v>523</v>
      </c>
      <c r="B358" t="s">
        <v>3333</v>
      </c>
      <c r="C358" t="s">
        <v>3217</v>
      </c>
      <c r="D358" s="2">
        <v>1</v>
      </c>
      <c r="E358" s="11" t="s">
        <v>3113</v>
      </c>
      <c r="F358" t="s">
        <v>47</v>
      </c>
      <c r="G358" s="2" t="s">
        <v>23</v>
      </c>
      <c r="H358" s="1">
        <v>68.794000000000011</v>
      </c>
      <c r="M358" s="2">
        <v>855</v>
      </c>
      <c r="N358" s="4">
        <v>43766.706909722219</v>
      </c>
      <c r="O358" t="s">
        <v>3456</v>
      </c>
      <c r="P358" t="s">
        <v>3316</v>
      </c>
      <c r="Q358" s="1">
        <v>221.964</v>
      </c>
      <c r="R358" t="s">
        <v>3757</v>
      </c>
      <c r="S358" t="s">
        <v>3331</v>
      </c>
      <c r="T358">
        <f>MONTH(tbPedido[[#This Row],[Comprado Em]])</f>
        <v>10</v>
      </c>
    </row>
    <row r="359" spans="1:20" x14ac:dyDescent="0.3">
      <c r="A359" s="2">
        <v>523</v>
      </c>
      <c r="B359" t="s">
        <v>3330</v>
      </c>
      <c r="C359" t="s">
        <v>3</v>
      </c>
      <c r="D359" s="2">
        <v>1</v>
      </c>
      <c r="E359" s="11" t="s">
        <v>3082</v>
      </c>
      <c r="F359" t="s">
        <v>47</v>
      </c>
      <c r="G359" s="2" t="s">
        <v>4</v>
      </c>
      <c r="H359" s="1">
        <v>84.694000000000017</v>
      </c>
      <c r="M359" s="2">
        <v>856</v>
      </c>
      <c r="N359" s="4">
        <v>43766.753055555557</v>
      </c>
      <c r="O359" t="s">
        <v>3347</v>
      </c>
      <c r="P359" t="s">
        <v>3316</v>
      </c>
      <c r="Q359" s="1">
        <v>1302.3160000000005</v>
      </c>
      <c r="R359" t="s">
        <v>3310</v>
      </c>
      <c r="S359" t="s">
        <v>3314</v>
      </c>
      <c r="T359">
        <f>MONTH(tbPedido[[#This Row],[Comprado Em]])</f>
        <v>10</v>
      </c>
    </row>
    <row r="360" spans="1:20" x14ac:dyDescent="0.3">
      <c r="A360" s="2">
        <v>523</v>
      </c>
      <c r="B360" t="s">
        <v>3328</v>
      </c>
      <c r="C360" t="s">
        <v>2</v>
      </c>
      <c r="D360" s="2">
        <v>1</v>
      </c>
      <c r="E360" s="11" t="s">
        <v>3190</v>
      </c>
      <c r="F360" t="s">
        <v>47</v>
      </c>
      <c r="G360" s="2" t="s">
        <v>4</v>
      </c>
      <c r="H360" s="1">
        <v>36.994</v>
      </c>
      <c r="M360" s="2">
        <v>857</v>
      </c>
      <c r="N360" s="4">
        <v>43767.402488425927</v>
      </c>
      <c r="O360" t="s">
        <v>3346</v>
      </c>
      <c r="P360" t="s">
        <v>3318</v>
      </c>
      <c r="Q360" s="1">
        <v>777.61599999999999</v>
      </c>
      <c r="R360" t="s">
        <v>3315</v>
      </c>
      <c r="S360" t="s">
        <v>3326</v>
      </c>
      <c r="T360">
        <f>MONTH(tbPedido[[#This Row],[Comprado Em]])</f>
        <v>10</v>
      </c>
    </row>
    <row r="361" spans="1:20" x14ac:dyDescent="0.3">
      <c r="A361" s="2">
        <v>523</v>
      </c>
      <c r="B361" t="s">
        <v>2166</v>
      </c>
      <c r="C361" t="s">
        <v>3219</v>
      </c>
      <c r="D361" s="2">
        <v>1</v>
      </c>
      <c r="E361" s="11" t="s">
        <v>2123</v>
      </c>
      <c r="F361" t="s">
        <v>39</v>
      </c>
      <c r="G361" s="2" t="s">
        <v>31</v>
      </c>
      <c r="H361" s="1">
        <v>142.994</v>
      </c>
      <c r="M361" s="2">
        <v>858</v>
      </c>
      <c r="N361" s="4">
        <v>43767.474432870367</v>
      </c>
      <c r="O361" t="s">
        <v>3332</v>
      </c>
      <c r="P361" t="s">
        <v>3318</v>
      </c>
      <c r="Q361" s="1">
        <v>1238.9280000000001</v>
      </c>
      <c r="R361" t="s">
        <v>3310</v>
      </c>
      <c r="S361" t="s">
        <v>3324</v>
      </c>
      <c r="T361">
        <f>MONTH(tbPedido[[#This Row],[Comprado Em]])</f>
        <v>10</v>
      </c>
    </row>
    <row r="362" spans="1:20" x14ac:dyDescent="0.3">
      <c r="A362" s="2">
        <v>523</v>
      </c>
      <c r="B362" t="s">
        <v>3053</v>
      </c>
      <c r="C362" t="s">
        <v>3219</v>
      </c>
      <c r="D362" s="2">
        <v>1</v>
      </c>
      <c r="E362" s="11" t="s">
        <v>2123</v>
      </c>
      <c r="F362" t="s">
        <v>39</v>
      </c>
      <c r="G362" s="2" t="s">
        <v>23</v>
      </c>
      <c r="H362" s="1">
        <v>142.994</v>
      </c>
      <c r="M362" s="2">
        <v>859</v>
      </c>
      <c r="N362" s="4">
        <v>43767.585439814815</v>
      </c>
      <c r="O362" t="s">
        <v>3348</v>
      </c>
      <c r="P362" t="s">
        <v>3316</v>
      </c>
      <c r="Q362" s="1">
        <v>5611.170000000001</v>
      </c>
      <c r="R362" t="s">
        <v>3310</v>
      </c>
      <c r="S362" t="s">
        <v>3322</v>
      </c>
      <c r="T362">
        <f>MONTH(tbPedido[[#This Row],[Comprado Em]])</f>
        <v>10</v>
      </c>
    </row>
    <row r="363" spans="1:20" x14ac:dyDescent="0.3">
      <c r="A363" s="2">
        <v>523</v>
      </c>
      <c r="B363" t="s">
        <v>3053</v>
      </c>
      <c r="C363" t="s">
        <v>3219</v>
      </c>
      <c r="D363" s="2">
        <v>1</v>
      </c>
      <c r="E363" s="11" t="s">
        <v>2123</v>
      </c>
      <c r="F363" t="s">
        <v>39</v>
      </c>
      <c r="G363" s="2" t="s">
        <v>23</v>
      </c>
      <c r="H363" s="1">
        <v>142.994</v>
      </c>
      <c r="M363" s="2">
        <v>860</v>
      </c>
      <c r="N363" s="4">
        <v>43768.435555555552</v>
      </c>
      <c r="O363" t="s">
        <v>3329</v>
      </c>
      <c r="P363" t="s">
        <v>3311</v>
      </c>
      <c r="Q363" s="1">
        <v>2715.9320000000002</v>
      </c>
      <c r="R363" t="s">
        <v>3310</v>
      </c>
      <c r="S363" t="s">
        <v>3320</v>
      </c>
      <c r="T363">
        <f>MONTH(tbPedido[[#This Row],[Comprado Em]])</f>
        <v>10</v>
      </c>
    </row>
    <row r="364" spans="1:20" x14ac:dyDescent="0.3">
      <c r="A364" s="2">
        <v>523</v>
      </c>
      <c r="B364" t="s">
        <v>3092</v>
      </c>
      <c r="C364" t="s">
        <v>3219</v>
      </c>
      <c r="D364" s="2">
        <v>1</v>
      </c>
      <c r="E364" s="11" t="s">
        <v>2251</v>
      </c>
      <c r="F364" t="s">
        <v>36</v>
      </c>
      <c r="G364" s="2" t="s">
        <v>31</v>
      </c>
      <c r="H364" s="1">
        <v>169.49400000000003</v>
      </c>
      <c r="M364" s="2">
        <v>861</v>
      </c>
      <c r="N364" s="4">
        <v>43768.740613425929</v>
      </c>
      <c r="O364" t="s">
        <v>3468</v>
      </c>
      <c r="P364" t="s">
        <v>3318</v>
      </c>
      <c r="Q364" s="1">
        <v>3705.8659999999986</v>
      </c>
      <c r="R364" t="s">
        <v>3310</v>
      </c>
      <c r="S364" t="s">
        <v>3314</v>
      </c>
      <c r="T364">
        <f>MONTH(tbPedido[[#This Row],[Comprado Em]])</f>
        <v>10</v>
      </c>
    </row>
    <row r="365" spans="1:20" x14ac:dyDescent="0.3">
      <c r="A365" s="2">
        <v>523</v>
      </c>
      <c r="B365" t="s">
        <v>822</v>
      </c>
      <c r="C365" t="s">
        <v>3224</v>
      </c>
      <c r="D365" s="2">
        <v>1</v>
      </c>
      <c r="E365" s="11" t="s">
        <v>191</v>
      </c>
      <c r="F365" t="s">
        <v>36</v>
      </c>
      <c r="G365" s="2" t="s">
        <v>31</v>
      </c>
      <c r="H365" s="1">
        <v>63.494000000000007</v>
      </c>
      <c r="M365" s="2">
        <v>862</v>
      </c>
      <c r="N365" s="4">
        <v>43769.651817129627</v>
      </c>
      <c r="O365" t="s">
        <v>3681</v>
      </c>
      <c r="P365" t="s">
        <v>3316</v>
      </c>
      <c r="Q365" s="1">
        <v>1466.7220000000004</v>
      </c>
      <c r="R365" t="s">
        <v>3757</v>
      </c>
      <c r="S365" t="s">
        <v>3314</v>
      </c>
      <c r="T365">
        <f>MONTH(tbPedido[[#This Row],[Comprado Em]])</f>
        <v>10</v>
      </c>
    </row>
    <row r="366" spans="1:20" x14ac:dyDescent="0.3">
      <c r="A366" s="2">
        <v>524</v>
      </c>
      <c r="B366" t="s">
        <v>3313</v>
      </c>
      <c r="C366" t="s">
        <v>3224</v>
      </c>
      <c r="D366" s="2">
        <v>1</v>
      </c>
      <c r="E366" s="11" t="s">
        <v>3170</v>
      </c>
      <c r="F366" t="s">
        <v>114</v>
      </c>
      <c r="G366" s="2" t="s">
        <v>31</v>
      </c>
      <c r="H366" s="1">
        <v>105.89400000000001</v>
      </c>
      <c r="M366" s="2">
        <v>863</v>
      </c>
      <c r="N366" s="4">
        <v>43769.702002314814</v>
      </c>
      <c r="O366" t="s">
        <v>3355</v>
      </c>
      <c r="P366" t="s">
        <v>3311</v>
      </c>
      <c r="Q366" s="1">
        <v>1868.8860000000004</v>
      </c>
      <c r="R366" t="s">
        <v>3310</v>
      </c>
      <c r="S366" t="s">
        <v>3309</v>
      </c>
      <c r="T366">
        <f>MONTH(tbPedido[[#This Row],[Comprado Em]])</f>
        <v>10</v>
      </c>
    </row>
    <row r="367" spans="1:20" x14ac:dyDescent="0.3">
      <c r="A367" s="2">
        <v>524</v>
      </c>
      <c r="B367" t="s">
        <v>3308</v>
      </c>
      <c r="C367" t="s">
        <v>3224</v>
      </c>
      <c r="D367" s="2">
        <v>2</v>
      </c>
      <c r="E367" s="11" t="s">
        <v>3170</v>
      </c>
      <c r="F367" t="s">
        <v>114</v>
      </c>
      <c r="G367" s="2" t="s">
        <v>23</v>
      </c>
      <c r="H367" s="1">
        <v>105.89400000000001</v>
      </c>
    </row>
    <row r="368" spans="1:20" x14ac:dyDescent="0.3">
      <c r="A368" s="2">
        <v>524</v>
      </c>
      <c r="B368" t="s">
        <v>3307</v>
      </c>
      <c r="C368" t="s">
        <v>3219</v>
      </c>
      <c r="D368" s="2">
        <v>1</v>
      </c>
      <c r="E368" s="11" t="s">
        <v>3012</v>
      </c>
      <c r="F368" t="s">
        <v>254</v>
      </c>
      <c r="G368" s="2" t="s">
        <v>4</v>
      </c>
      <c r="H368" s="1">
        <v>137.69400000000002</v>
      </c>
    </row>
    <row r="369" spans="1:8" x14ac:dyDescent="0.3">
      <c r="A369" s="2">
        <v>524</v>
      </c>
      <c r="B369" t="s">
        <v>3013</v>
      </c>
      <c r="C369" t="s">
        <v>3219</v>
      </c>
      <c r="D369" s="2">
        <v>1</v>
      </c>
      <c r="E369" s="11" t="s">
        <v>3012</v>
      </c>
      <c r="F369" t="s">
        <v>254</v>
      </c>
      <c r="G369" s="2" t="s">
        <v>31</v>
      </c>
      <c r="H369" s="1">
        <v>137.69400000000002</v>
      </c>
    </row>
    <row r="370" spans="1:8" x14ac:dyDescent="0.3">
      <c r="A370" s="2">
        <v>524</v>
      </c>
      <c r="B370" t="s">
        <v>3306</v>
      </c>
      <c r="C370" t="s">
        <v>3219</v>
      </c>
      <c r="D370" s="2">
        <v>2</v>
      </c>
      <c r="E370" s="11" t="s">
        <v>3012</v>
      </c>
      <c r="F370" t="s">
        <v>254</v>
      </c>
      <c r="G370" s="2" t="s">
        <v>23</v>
      </c>
      <c r="H370" s="1">
        <v>137.69400000000002</v>
      </c>
    </row>
    <row r="371" spans="1:8" x14ac:dyDescent="0.3">
      <c r="A371" s="2">
        <v>524</v>
      </c>
      <c r="B371" t="s">
        <v>3305</v>
      </c>
      <c r="C371" t="s">
        <v>3</v>
      </c>
      <c r="D371" s="2">
        <v>2</v>
      </c>
      <c r="E371" s="11" t="s">
        <v>3302</v>
      </c>
      <c r="F371" t="s">
        <v>254</v>
      </c>
      <c r="G371" s="2" t="s">
        <v>4</v>
      </c>
      <c r="H371" s="1">
        <v>52.893999999999998</v>
      </c>
    </row>
    <row r="372" spans="1:8" x14ac:dyDescent="0.3">
      <c r="A372" s="2">
        <v>524</v>
      </c>
      <c r="B372" t="s">
        <v>3304</v>
      </c>
      <c r="C372" t="s">
        <v>3</v>
      </c>
      <c r="D372" s="2">
        <v>1</v>
      </c>
      <c r="E372" s="11" t="s">
        <v>3302</v>
      </c>
      <c r="F372" t="s">
        <v>254</v>
      </c>
      <c r="G372" s="2" t="s">
        <v>31</v>
      </c>
      <c r="H372" s="1">
        <v>52.893999999999998</v>
      </c>
    </row>
    <row r="373" spans="1:8" x14ac:dyDescent="0.3">
      <c r="A373" s="2">
        <v>524</v>
      </c>
      <c r="B373" t="s">
        <v>3303</v>
      </c>
      <c r="C373" t="s">
        <v>3</v>
      </c>
      <c r="D373" s="2">
        <v>2</v>
      </c>
      <c r="E373" s="11" t="s">
        <v>3302</v>
      </c>
      <c r="F373" t="s">
        <v>254</v>
      </c>
      <c r="G373" s="2" t="s">
        <v>23</v>
      </c>
      <c r="H373" s="1">
        <v>52.893999999999998</v>
      </c>
    </row>
    <row r="374" spans="1:8" x14ac:dyDescent="0.3">
      <c r="A374" s="2">
        <v>525</v>
      </c>
      <c r="B374" t="s">
        <v>3259</v>
      </c>
      <c r="C374" t="s">
        <v>0</v>
      </c>
      <c r="D374" s="2">
        <v>1</v>
      </c>
      <c r="E374" s="11" t="s">
        <v>3089</v>
      </c>
      <c r="F374" t="s">
        <v>254</v>
      </c>
      <c r="G374" s="2" t="s">
        <v>31</v>
      </c>
      <c r="H374" s="1">
        <v>195.99400000000003</v>
      </c>
    </row>
    <row r="375" spans="1:8" x14ac:dyDescent="0.3">
      <c r="A375" s="2">
        <v>525</v>
      </c>
      <c r="B375" t="s">
        <v>3263</v>
      </c>
      <c r="C375" t="s">
        <v>3219</v>
      </c>
      <c r="D375" s="2">
        <v>1</v>
      </c>
      <c r="E375" s="11" t="s">
        <v>3262</v>
      </c>
      <c r="F375" t="s">
        <v>28</v>
      </c>
      <c r="G375" s="2" t="s">
        <v>23</v>
      </c>
      <c r="H375" s="1">
        <v>111.19400000000002</v>
      </c>
    </row>
    <row r="376" spans="1:8" x14ac:dyDescent="0.3">
      <c r="A376" s="2">
        <v>525</v>
      </c>
      <c r="B376" t="s">
        <v>3301</v>
      </c>
      <c r="C376" t="s">
        <v>3224</v>
      </c>
      <c r="D376" s="2">
        <v>1</v>
      </c>
      <c r="E376" s="11" t="s">
        <v>2554</v>
      </c>
      <c r="F376" t="s">
        <v>959</v>
      </c>
      <c r="G376" s="2" t="s">
        <v>31</v>
      </c>
      <c r="H376" s="1">
        <v>74.094000000000008</v>
      </c>
    </row>
    <row r="377" spans="1:8" x14ac:dyDescent="0.3">
      <c r="A377" s="2">
        <v>525</v>
      </c>
      <c r="B377" t="s">
        <v>2899</v>
      </c>
      <c r="C377" t="s">
        <v>3224</v>
      </c>
      <c r="D377" s="2">
        <v>1</v>
      </c>
      <c r="E377" s="11" t="s">
        <v>2898</v>
      </c>
      <c r="F377" t="s">
        <v>36</v>
      </c>
      <c r="G377" s="2" t="s">
        <v>4</v>
      </c>
      <c r="H377" s="1">
        <v>74.094000000000008</v>
      </c>
    </row>
    <row r="378" spans="1:8" x14ac:dyDescent="0.3">
      <c r="A378" s="2">
        <v>525</v>
      </c>
      <c r="B378" t="s">
        <v>2897</v>
      </c>
      <c r="C378" t="s">
        <v>3715</v>
      </c>
      <c r="D378" s="2">
        <v>1</v>
      </c>
      <c r="E378" s="11" t="s">
        <v>2896</v>
      </c>
      <c r="F378" t="s">
        <v>36</v>
      </c>
      <c r="G378" s="2" t="s">
        <v>4</v>
      </c>
      <c r="H378" s="1">
        <v>84.694000000000017</v>
      </c>
    </row>
    <row r="379" spans="1:8" x14ac:dyDescent="0.3">
      <c r="A379" s="2">
        <v>525</v>
      </c>
      <c r="B379" t="s">
        <v>3300</v>
      </c>
      <c r="C379" t="s">
        <v>3219</v>
      </c>
      <c r="D379" s="2">
        <v>1</v>
      </c>
      <c r="E379" s="11" t="s">
        <v>2338</v>
      </c>
      <c r="F379" t="s">
        <v>78</v>
      </c>
      <c r="G379" s="2" t="s">
        <v>4</v>
      </c>
      <c r="H379" s="1">
        <v>153.59400000000002</v>
      </c>
    </row>
    <row r="380" spans="1:8" x14ac:dyDescent="0.3">
      <c r="A380" s="2">
        <v>525</v>
      </c>
      <c r="B380" t="s">
        <v>3227</v>
      </c>
      <c r="C380" t="s">
        <v>3225</v>
      </c>
      <c r="D380" s="2">
        <v>2</v>
      </c>
      <c r="E380" s="11" t="s">
        <v>1394</v>
      </c>
      <c r="F380" t="s">
        <v>47</v>
      </c>
      <c r="G380" s="2" t="s">
        <v>31</v>
      </c>
      <c r="H380" s="1">
        <v>190.69400000000002</v>
      </c>
    </row>
    <row r="381" spans="1:8" x14ac:dyDescent="0.3">
      <c r="A381" s="2">
        <v>525</v>
      </c>
      <c r="B381" t="s">
        <v>3226</v>
      </c>
      <c r="C381" t="s">
        <v>3225</v>
      </c>
      <c r="D381" s="2">
        <v>1</v>
      </c>
      <c r="E381" s="11" t="s">
        <v>1394</v>
      </c>
      <c r="F381" t="s">
        <v>47</v>
      </c>
      <c r="G381" s="2" t="s">
        <v>23</v>
      </c>
      <c r="H381" s="1">
        <v>190.69400000000002</v>
      </c>
    </row>
    <row r="382" spans="1:8" x14ac:dyDescent="0.3">
      <c r="A382" s="2">
        <v>525</v>
      </c>
      <c r="B382" t="s">
        <v>3257</v>
      </c>
      <c r="C382" t="s">
        <v>3219</v>
      </c>
      <c r="D382" s="2">
        <v>1</v>
      </c>
      <c r="E382" s="11" t="s">
        <v>977</v>
      </c>
      <c r="F382" t="s">
        <v>39</v>
      </c>
      <c r="G382" s="2" t="s">
        <v>31</v>
      </c>
      <c r="H382" s="1">
        <v>116.49400000000001</v>
      </c>
    </row>
    <row r="383" spans="1:8" x14ac:dyDescent="0.3">
      <c r="A383" s="2">
        <v>525</v>
      </c>
      <c r="B383" t="s">
        <v>3256</v>
      </c>
      <c r="C383" t="s">
        <v>3219</v>
      </c>
      <c r="D383" s="2">
        <v>1</v>
      </c>
      <c r="E383" s="11" t="s">
        <v>977</v>
      </c>
      <c r="F383" t="s">
        <v>39</v>
      </c>
      <c r="G383" s="2" t="s">
        <v>23</v>
      </c>
      <c r="H383" s="1">
        <v>116.49400000000001</v>
      </c>
    </row>
    <row r="384" spans="1:8" x14ac:dyDescent="0.3">
      <c r="A384" s="2">
        <v>525</v>
      </c>
      <c r="B384" t="s">
        <v>1937</v>
      </c>
      <c r="C384" t="s">
        <v>3221</v>
      </c>
      <c r="D384" s="2">
        <v>1</v>
      </c>
      <c r="E384" s="11" t="s">
        <v>383</v>
      </c>
      <c r="F384" t="s">
        <v>39</v>
      </c>
      <c r="G384" s="2" t="s">
        <v>23</v>
      </c>
      <c r="H384" s="1">
        <v>164.19400000000002</v>
      </c>
    </row>
    <row r="385" spans="1:8" x14ac:dyDescent="0.3">
      <c r="A385" s="2">
        <v>525</v>
      </c>
      <c r="B385" t="s">
        <v>1937</v>
      </c>
      <c r="C385" t="s">
        <v>3221</v>
      </c>
      <c r="D385" s="2">
        <v>1</v>
      </c>
      <c r="E385" s="11" t="s">
        <v>383</v>
      </c>
      <c r="F385" t="s">
        <v>39</v>
      </c>
      <c r="G385" s="2" t="s">
        <v>23</v>
      </c>
      <c r="H385" s="1">
        <v>164.19400000000002</v>
      </c>
    </row>
    <row r="386" spans="1:8" x14ac:dyDescent="0.3">
      <c r="A386" s="2">
        <v>525</v>
      </c>
      <c r="B386" t="s">
        <v>3092</v>
      </c>
      <c r="C386" t="s">
        <v>3219</v>
      </c>
      <c r="D386" s="2">
        <v>1</v>
      </c>
      <c r="E386" s="11" t="s">
        <v>2251</v>
      </c>
      <c r="F386" t="s">
        <v>36</v>
      </c>
      <c r="G386" s="2" t="s">
        <v>31</v>
      </c>
      <c r="H386" s="1">
        <v>169.49400000000003</v>
      </c>
    </row>
    <row r="387" spans="1:8" x14ac:dyDescent="0.3">
      <c r="A387" s="2">
        <v>525</v>
      </c>
      <c r="B387" t="s">
        <v>822</v>
      </c>
      <c r="C387" t="s">
        <v>3224</v>
      </c>
      <c r="D387" s="2">
        <v>1</v>
      </c>
      <c r="E387" s="11" t="s">
        <v>191</v>
      </c>
      <c r="F387" t="s">
        <v>36</v>
      </c>
      <c r="G387" s="2" t="s">
        <v>31</v>
      </c>
      <c r="H387" s="1">
        <v>63.494000000000007</v>
      </c>
    </row>
    <row r="388" spans="1:8" x14ac:dyDescent="0.3">
      <c r="A388" s="2">
        <v>526</v>
      </c>
      <c r="B388" t="s">
        <v>3299</v>
      </c>
      <c r="C388" t="s">
        <v>3220</v>
      </c>
      <c r="D388" s="2">
        <v>1</v>
      </c>
      <c r="E388" s="11" t="s">
        <v>3152</v>
      </c>
      <c r="F388" t="s">
        <v>55</v>
      </c>
      <c r="G388" s="2" t="s">
        <v>4</v>
      </c>
      <c r="H388" s="1">
        <v>47.594000000000001</v>
      </c>
    </row>
    <row r="389" spans="1:8" x14ac:dyDescent="0.3">
      <c r="A389" s="2">
        <v>526</v>
      </c>
      <c r="B389" t="s">
        <v>3298</v>
      </c>
      <c r="C389" t="s">
        <v>3</v>
      </c>
      <c r="D389" s="2">
        <v>1</v>
      </c>
      <c r="E389" s="11" t="s">
        <v>3149</v>
      </c>
      <c r="F389" t="s">
        <v>55</v>
      </c>
      <c r="G389" s="2" t="s">
        <v>4</v>
      </c>
      <c r="H389" s="1">
        <v>100.59400000000001</v>
      </c>
    </row>
    <row r="390" spans="1:8" x14ac:dyDescent="0.3">
      <c r="A390" s="2">
        <v>526</v>
      </c>
      <c r="B390" t="s">
        <v>3188</v>
      </c>
      <c r="C390" t="s">
        <v>1</v>
      </c>
      <c r="D390" s="2">
        <v>1</v>
      </c>
      <c r="E390" s="11" t="s">
        <v>3099</v>
      </c>
      <c r="F390" t="s">
        <v>65</v>
      </c>
      <c r="G390" s="2" t="s">
        <v>4</v>
      </c>
      <c r="H390" s="1">
        <v>79.394000000000005</v>
      </c>
    </row>
    <row r="391" spans="1:8" x14ac:dyDescent="0.3">
      <c r="A391" s="2">
        <v>526</v>
      </c>
      <c r="B391" t="s">
        <v>3297</v>
      </c>
      <c r="C391" t="s">
        <v>3</v>
      </c>
      <c r="D391" s="2">
        <v>1</v>
      </c>
      <c r="E391" s="11" t="s">
        <v>3038</v>
      </c>
      <c r="F391" t="s">
        <v>65</v>
      </c>
      <c r="G391" s="2" t="s">
        <v>4</v>
      </c>
      <c r="H391" s="1">
        <v>100.59400000000001</v>
      </c>
    </row>
    <row r="392" spans="1:8" x14ac:dyDescent="0.3">
      <c r="A392" s="2">
        <v>526</v>
      </c>
      <c r="B392" t="s">
        <v>1125</v>
      </c>
      <c r="C392" t="s">
        <v>1</v>
      </c>
      <c r="D392" s="2">
        <v>1</v>
      </c>
      <c r="E392" s="11" t="s">
        <v>281</v>
      </c>
      <c r="F392" t="s">
        <v>65</v>
      </c>
      <c r="G392" s="2" t="s">
        <v>23</v>
      </c>
      <c r="H392" s="1">
        <v>58.194000000000003</v>
      </c>
    </row>
    <row r="393" spans="1:8" x14ac:dyDescent="0.3">
      <c r="A393" s="2">
        <v>526</v>
      </c>
      <c r="B393" t="s">
        <v>3296</v>
      </c>
      <c r="C393" t="s">
        <v>3220</v>
      </c>
      <c r="D393" s="2">
        <v>1</v>
      </c>
      <c r="E393" s="11" t="s">
        <v>3295</v>
      </c>
      <c r="F393" t="s">
        <v>62</v>
      </c>
      <c r="G393" s="2" t="s">
        <v>31</v>
      </c>
      <c r="H393" s="1">
        <v>42.294000000000004</v>
      </c>
    </row>
    <row r="394" spans="1:8" x14ac:dyDescent="0.3">
      <c r="A394" s="2">
        <v>526</v>
      </c>
      <c r="B394" t="s">
        <v>3294</v>
      </c>
      <c r="C394" t="s">
        <v>3</v>
      </c>
      <c r="D394" s="2">
        <v>1</v>
      </c>
      <c r="E394" s="11" t="s">
        <v>3155</v>
      </c>
      <c r="F394" t="s">
        <v>62</v>
      </c>
      <c r="G394" s="2" t="s">
        <v>31</v>
      </c>
      <c r="H394" s="1">
        <v>68.794000000000011</v>
      </c>
    </row>
    <row r="395" spans="1:8" x14ac:dyDescent="0.3">
      <c r="A395" s="2">
        <v>526</v>
      </c>
      <c r="B395" t="s">
        <v>3293</v>
      </c>
      <c r="C395" t="s">
        <v>3</v>
      </c>
      <c r="D395" s="2">
        <v>1</v>
      </c>
      <c r="E395" s="11" t="s">
        <v>3155</v>
      </c>
      <c r="F395" t="s">
        <v>55</v>
      </c>
      <c r="G395" s="2" t="s">
        <v>4</v>
      </c>
      <c r="H395" s="1">
        <v>68.794000000000011</v>
      </c>
    </row>
    <row r="396" spans="1:8" x14ac:dyDescent="0.3">
      <c r="A396" s="2">
        <v>526</v>
      </c>
      <c r="B396" t="s">
        <v>3292</v>
      </c>
      <c r="C396" t="s">
        <v>3217</v>
      </c>
      <c r="D396" s="2">
        <v>1</v>
      </c>
      <c r="E396" s="11" t="s">
        <v>3291</v>
      </c>
      <c r="F396" t="s">
        <v>55</v>
      </c>
      <c r="G396" s="2" t="s">
        <v>4</v>
      </c>
      <c r="H396" s="1">
        <v>52.893999999999998</v>
      </c>
    </row>
    <row r="397" spans="1:8" x14ac:dyDescent="0.3">
      <c r="A397" s="2">
        <v>526</v>
      </c>
      <c r="B397" t="s">
        <v>2537</v>
      </c>
      <c r="C397" t="s">
        <v>3219</v>
      </c>
      <c r="D397" s="2">
        <v>1</v>
      </c>
      <c r="E397" s="11" t="s">
        <v>534</v>
      </c>
      <c r="F397" t="s">
        <v>28</v>
      </c>
      <c r="G397" s="2" t="s">
        <v>4</v>
      </c>
      <c r="H397" s="1">
        <v>89.994000000000014</v>
      </c>
    </row>
    <row r="398" spans="1:8" x14ac:dyDescent="0.3">
      <c r="A398" s="2">
        <v>526</v>
      </c>
      <c r="B398" t="s">
        <v>3290</v>
      </c>
      <c r="C398" t="s">
        <v>1</v>
      </c>
      <c r="D398" s="2">
        <v>1</v>
      </c>
      <c r="E398" s="11" t="s">
        <v>3115</v>
      </c>
      <c r="F398" t="s">
        <v>28</v>
      </c>
      <c r="G398" s="2" t="s">
        <v>31</v>
      </c>
      <c r="H398" s="1">
        <v>79.394000000000005</v>
      </c>
    </row>
    <row r="399" spans="1:8" x14ac:dyDescent="0.3">
      <c r="A399" s="2">
        <v>526</v>
      </c>
      <c r="B399" t="s">
        <v>3289</v>
      </c>
      <c r="C399" t="s">
        <v>0</v>
      </c>
      <c r="D399" s="2">
        <v>1</v>
      </c>
      <c r="E399" s="11" t="s">
        <v>3288</v>
      </c>
      <c r="F399" t="s">
        <v>28</v>
      </c>
      <c r="G399" s="2" t="s">
        <v>4</v>
      </c>
      <c r="H399" s="1">
        <v>148.29400000000001</v>
      </c>
    </row>
    <row r="400" spans="1:8" x14ac:dyDescent="0.3">
      <c r="A400" s="2">
        <v>526</v>
      </c>
      <c r="B400" t="s">
        <v>3154</v>
      </c>
      <c r="C400" t="s">
        <v>3220</v>
      </c>
      <c r="D400" s="2">
        <v>1</v>
      </c>
      <c r="E400" s="11" t="s">
        <v>3152</v>
      </c>
      <c r="F400" t="s">
        <v>959</v>
      </c>
      <c r="G400" s="2" t="s">
        <v>31</v>
      </c>
      <c r="H400" s="1">
        <v>47.594000000000001</v>
      </c>
    </row>
    <row r="401" spans="1:8" x14ac:dyDescent="0.3">
      <c r="A401" s="2">
        <v>526</v>
      </c>
      <c r="B401" t="s">
        <v>3151</v>
      </c>
      <c r="C401" t="s">
        <v>3</v>
      </c>
      <c r="D401" s="2">
        <v>1</v>
      </c>
      <c r="E401" s="11" t="s">
        <v>3149</v>
      </c>
      <c r="F401" t="s">
        <v>959</v>
      </c>
      <c r="G401" s="2" t="s">
        <v>31</v>
      </c>
      <c r="H401" s="1">
        <v>100.59400000000001</v>
      </c>
    </row>
    <row r="402" spans="1:8" x14ac:dyDescent="0.3">
      <c r="A402" s="2">
        <v>526</v>
      </c>
      <c r="B402" t="s">
        <v>3287</v>
      </c>
      <c r="C402" t="s">
        <v>1</v>
      </c>
      <c r="D402" s="2">
        <v>1</v>
      </c>
      <c r="E402" s="11" t="s">
        <v>3115</v>
      </c>
      <c r="F402" t="s">
        <v>81</v>
      </c>
      <c r="G402" s="2" t="s">
        <v>4</v>
      </c>
      <c r="H402" s="1">
        <v>79.394000000000005</v>
      </c>
    </row>
    <row r="403" spans="1:8" x14ac:dyDescent="0.3">
      <c r="A403" s="2">
        <v>526</v>
      </c>
      <c r="B403" t="s">
        <v>3127</v>
      </c>
      <c r="C403" t="s">
        <v>3219</v>
      </c>
      <c r="D403" s="2">
        <v>1</v>
      </c>
      <c r="E403" s="11" t="s">
        <v>102</v>
      </c>
      <c r="F403" t="s">
        <v>28</v>
      </c>
      <c r="G403" s="2" t="s">
        <v>23</v>
      </c>
      <c r="H403" s="1">
        <v>121.79400000000001</v>
      </c>
    </row>
    <row r="404" spans="1:8" x14ac:dyDescent="0.3">
      <c r="A404" s="2">
        <v>526</v>
      </c>
      <c r="B404" t="s">
        <v>3119</v>
      </c>
      <c r="C404" t="s">
        <v>3225</v>
      </c>
      <c r="D404" s="2">
        <v>1</v>
      </c>
      <c r="E404" s="11" t="s">
        <v>2511</v>
      </c>
      <c r="F404" t="s">
        <v>28</v>
      </c>
      <c r="G404" s="2" t="s">
        <v>31</v>
      </c>
      <c r="H404" s="1">
        <v>164.19400000000002</v>
      </c>
    </row>
    <row r="405" spans="1:8" x14ac:dyDescent="0.3">
      <c r="A405" s="2">
        <v>526</v>
      </c>
      <c r="B405" t="s">
        <v>1957</v>
      </c>
      <c r="C405" t="s">
        <v>3225</v>
      </c>
      <c r="D405" s="2">
        <v>1</v>
      </c>
      <c r="E405" s="11" t="s">
        <v>1394</v>
      </c>
      <c r="F405" t="s">
        <v>28</v>
      </c>
      <c r="G405" s="2" t="s">
        <v>4</v>
      </c>
      <c r="H405" s="1">
        <v>190.69400000000002</v>
      </c>
    </row>
    <row r="406" spans="1:8" x14ac:dyDescent="0.3">
      <c r="A406" s="2">
        <v>526</v>
      </c>
      <c r="B406" t="s">
        <v>3286</v>
      </c>
      <c r="C406" t="s">
        <v>2</v>
      </c>
      <c r="D406" s="2">
        <v>1</v>
      </c>
      <c r="E406" s="11" t="s">
        <v>3285</v>
      </c>
      <c r="F406" t="s">
        <v>24</v>
      </c>
      <c r="G406" s="2" t="s">
        <v>23</v>
      </c>
      <c r="H406" s="1">
        <v>132.39400000000001</v>
      </c>
    </row>
    <row r="407" spans="1:8" x14ac:dyDescent="0.3">
      <c r="A407" s="2">
        <v>527</v>
      </c>
      <c r="B407" t="s">
        <v>2537</v>
      </c>
      <c r="C407" t="s">
        <v>3219</v>
      </c>
      <c r="D407" s="2">
        <v>1</v>
      </c>
      <c r="E407" s="11" t="s">
        <v>534</v>
      </c>
      <c r="F407" t="s">
        <v>28</v>
      </c>
      <c r="G407" s="2" t="s">
        <v>4</v>
      </c>
      <c r="H407" s="1">
        <v>89.994000000000014</v>
      </c>
    </row>
    <row r="408" spans="1:8" x14ac:dyDescent="0.3">
      <c r="A408" s="2">
        <v>527</v>
      </c>
      <c r="B408" t="s">
        <v>1115</v>
      </c>
      <c r="C408" t="s">
        <v>1</v>
      </c>
      <c r="D408" s="2">
        <v>1</v>
      </c>
      <c r="E408" s="11" t="s">
        <v>281</v>
      </c>
      <c r="F408" t="s">
        <v>28</v>
      </c>
      <c r="G408" s="2" t="s">
        <v>31</v>
      </c>
      <c r="H408" s="1">
        <v>58.194000000000003</v>
      </c>
    </row>
    <row r="409" spans="1:8" x14ac:dyDescent="0.3">
      <c r="A409" s="2">
        <v>527</v>
      </c>
      <c r="B409" t="s">
        <v>1114</v>
      </c>
      <c r="C409" t="s">
        <v>1</v>
      </c>
      <c r="D409" s="2">
        <v>1</v>
      </c>
      <c r="E409" s="11" t="s">
        <v>281</v>
      </c>
      <c r="F409" t="s">
        <v>28</v>
      </c>
      <c r="G409" s="2" t="s">
        <v>23</v>
      </c>
      <c r="H409" s="1">
        <v>58.194000000000003</v>
      </c>
    </row>
    <row r="410" spans="1:8" x14ac:dyDescent="0.3">
      <c r="A410" s="2">
        <v>527</v>
      </c>
      <c r="B410" t="s">
        <v>717</v>
      </c>
      <c r="C410" t="s">
        <v>3220</v>
      </c>
      <c r="D410" s="2">
        <v>1</v>
      </c>
      <c r="E410" s="11" t="s">
        <v>204</v>
      </c>
      <c r="F410" t="s">
        <v>28</v>
      </c>
      <c r="G410" s="2" t="s">
        <v>31</v>
      </c>
      <c r="H410" s="1">
        <v>42.294000000000004</v>
      </c>
    </row>
    <row r="411" spans="1:8" x14ac:dyDescent="0.3">
      <c r="A411" s="2">
        <v>527</v>
      </c>
      <c r="B411" t="s">
        <v>2890</v>
      </c>
      <c r="C411" t="s">
        <v>3</v>
      </c>
      <c r="D411" s="2">
        <v>1</v>
      </c>
      <c r="E411" s="11" t="s">
        <v>2417</v>
      </c>
      <c r="F411" t="s">
        <v>959</v>
      </c>
      <c r="G411" s="2" t="s">
        <v>4</v>
      </c>
      <c r="H411" s="1">
        <v>74.094000000000008</v>
      </c>
    </row>
    <row r="412" spans="1:8" x14ac:dyDescent="0.3">
      <c r="A412" s="2">
        <v>527</v>
      </c>
      <c r="B412" t="s">
        <v>2418</v>
      </c>
      <c r="C412" t="s">
        <v>3</v>
      </c>
      <c r="D412" s="2">
        <v>1</v>
      </c>
      <c r="E412" s="11" t="s">
        <v>2417</v>
      </c>
      <c r="F412" t="s">
        <v>959</v>
      </c>
      <c r="G412" s="2" t="s">
        <v>31</v>
      </c>
      <c r="H412" s="1">
        <v>74.094000000000008</v>
      </c>
    </row>
    <row r="413" spans="1:8" x14ac:dyDescent="0.3">
      <c r="A413" s="2">
        <v>527</v>
      </c>
      <c r="B413" t="s">
        <v>2730</v>
      </c>
      <c r="C413" t="s">
        <v>3220</v>
      </c>
      <c r="D413" s="2">
        <v>1</v>
      </c>
      <c r="E413" s="11" t="s">
        <v>2419</v>
      </c>
      <c r="F413" t="s">
        <v>114</v>
      </c>
      <c r="G413" s="2" t="s">
        <v>4</v>
      </c>
      <c r="H413" s="1">
        <v>47.594000000000001</v>
      </c>
    </row>
    <row r="414" spans="1:8" x14ac:dyDescent="0.3">
      <c r="A414" s="2">
        <v>527</v>
      </c>
      <c r="B414" t="s">
        <v>2729</v>
      </c>
      <c r="C414" t="s">
        <v>3220</v>
      </c>
      <c r="D414" s="2">
        <v>1</v>
      </c>
      <c r="E414" s="11" t="s">
        <v>2419</v>
      </c>
      <c r="F414" t="s">
        <v>114</v>
      </c>
      <c r="G414" s="2" t="s">
        <v>31</v>
      </c>
      <c r="H414" s="1">
        <v>47.594000000000001</v>
      </c>
    </row>
    <row r="415" spans="1:8" x14ac:dyDescent="0.3">
      <c r="A415" s="2">
        <v>527</v>
      </c>
      <c r="B415" t="s">
        <v>3284</v>
      </c>
      <c r="C415" t="s">
        <v>3219</v>
      </c>
      <c r="D415" s="2">
        <v>1</v>
      </c>
      <c r="E415" s="11" t="s">
        <v>977</v>
      </c>
      <c r="F415" t="s">
        <v>47</v>
      </c>
      <c r="G415" s="2" t="s">
        <v>31</v>
      </c>
      <c r="H415" s="1">
        <v>116.49400000000001</v>
      </c>
    </row>
    <row r="416" spans="1:8" x14ac:dyDescent="0.3">
      <c r="A416" s="2">
        <v>527</v>
      </c>
      <c r="B416" t="s">
        <v>2548</v>
      </c>
      <c r="C416" t="s">
        <v>3</v>
      </c>
      <c r="D416" s="2">
        <v>1</v>
      </c>
      <c r="E416" s="11" t="s">
        <v>2417</v>
      </c>
      <c r="F416" t="s">
        <v>47</v>
      </c>
      <c r="G416" s="2" t="s">
        <v>31</v>
      </c>
      <c r="H416" s="1">
        <v>74.094000000000008</v>
      </c>
    </row>
    <row r="417" spans="1:8" x14ac:dyDescent="0.3">
      <c r="A417" s="2">
        <v>527</v>
      </c>
      <c r="B417" t="s">
        <v>225</v>
      </c>
      <c r="C417" t="s">
        <v>3224</v>
      </c>
      <c r="D417" s="2">
        <v>1</v>
      </c>
      <c r="E417" s="11" t="s">
        <v>191</v>
      </c>
      <c r="F417" t="s">
        <v>47</v>
      </c>
      <c r="G417" s="2" t="s">
        <v>31</v>
      </c>
      <c r="H417" s="1">
        <v>63.494000000000007</v>
      </c>
    </row>
    <row r="418" spans="1:8" x14ac:dyDescent="0.3">
      <c r="A418" s="2">
        <v>527</v>
      </c>
      <c r="B418" t="s">
        <v>224</v>
      </c>
      <c r="C418" t="s">
        <v>3224</v>
      </c>
      <c r="D418" s="2">
        <v>1</v>
      </c>
      <c r="E418" s="11" t="s">
        <v>191</v>
      </c>
      <c r="F418" t="s">
        <v>47</v>
      </c>
      <c r="G418" s="2" t="s">
        <v>23</v>
      </c>
      <c r="H418" s="1">
        <v>63.494000000000007</v>
      </c>
    </row>
    <row r="419" spans="1:8" x14ac:dyDescent="0.3">
      <c r="A419" s="2">
        <v>527</v>
      </c>
      <c r="B419" t="s">
        <v>1237</v>
      </c>
      <c r="C419" t="s">
        <v>1</v>
      </c>
      <c r="D419" s="2">
        <v>1</v>
      </c>
      <c r="E419" s="11" t="s">
        <v>281</v>
      </c>
      <c r="F419" t="s">
        <v>47</v>
      </c>
      <c r="G419" s="2" t="s">
        <v>31</v>
      </c>
      <c r="H419" s="1">
        <v>58.194000000000003</v>
      </c>
    </row>
    <row r="420" spans="1:8" x14ac:dyDescent="0.3">
      <c r="A420" s="2">
        <v>527</v>
      </c>
      <c r="B420" t="s">
        <v>206</v>
      </c>
      <c r="C420" t="s">
        <v>3220</v>
      </c>
      <c r="D420" s="2">
        <v>1</v>
      </c>
      <c r="E420" s="11" t="s">
        <v>204</v>
      </c>
      <c r="F420" t="s">
        <v>47</v>
      </c>
      <c r="G420" s="2" t="s">
        <v>4</v>
      </c>
      <c r="H420" s="1">
        <v>42.294000000000004</v>
      </c>
    </row>
    <row r="421" spans="1:8" x14ac:dyDescent="0.3">
      <c r="A421" s="2">
        <v>527</v>
      </c>
      <c r="B421" t="s">
        <v>266</v>
      </c>
      <c r="C421" t="s">
        <v>3220</v>
      </c>
      <c r="D421" s="2">
        <v>1</v>
      </c>
      <c r="E421" s="11" t="s">
        <v>204</v>
      </c>
      <c r="F421" t="s">
        <v>47</v>
      </c>
      <c r="G421" s="2" t="s">
        <v>31</v>
      </c>
      <c r="H421" s="1">
        <v>42.294000000000004</v>
      </c>
    </row>
    <row r="422" spans="1:8" x14ac:dyDescent="0.3">
      <c r="A422" s="2">
        <v>527</v>
      </c>
      <c r="B422" t="s">
        <v>955</v>
      </c>
      <c r="C422" t="s">
        <v>1</v>
      </c>
      <c r="D422" s="2">
        <v>1</v>
      </c>
      <c r="E422" s="11" t="s">
        <v>279</v>
      </c>
      <c r="F422" t="s">
        <v>47</v>
      </c>
      <c r="G422" s="2" t="s">
        <v>4</v>
      </c>
      <c r="H422" s="1">
        <v>47.594000000000001</v>
      </c>
    </row>
    <row r="423" spans="1:8" x14ac:dyDescent="0.3">
      <c r="A423" s="2">
        <v>527</v>
      </c>
      <c r="B423" t="s">
        <v>2166</v>
      </c>
      <c r="C423" t="s">
        <v>3219</v>
      </c>
      <c r="D423" s="2">
        <v>2</v>
      </c>
      <c r="E423" s="11" t="s">
        <v>2123</v>
      </c>
      <c r="F423" t="s">
        <v>39</v>
      </c>
      <c r="G423" s="2" t="s">
        <v>31</v>
      </c>
      <c r="H423" s="1">
        <v>142.994</v>
      </c>
    </row>
    <row r="424" spans="1:8" x14ac:dyDescent="0.3">
      <c r="A424" s="2">
        <v>527</v>
      </c>
      <c r="B424" t="s">
        <v>3053</v>
      </c>
      <c r="C424" t="s">
        <v>3219</v>
      </c>
      <c r="D424" s="2">
        <v>1</v>
      </c>
      <c r="E424" s="11" t="s">
        <v>2123</v>
      </c>
      <c r="F424" t="s">
        <v>39</v>
      </c>
      <c r="G424" s="2" t="s">
        <v>23</v>
      </c>
      <c r="H424" s="1">
        <v>142.994</v>
      </c>
    </row>
    <row r="425" spans="1:8" x14ac:dyDescent="0.3">
      <c r="A425" s="2">
        <v>527</v>
      </c>
      <c r="B425" t="s">
        <v>2204</v>
      </c>
      <c r="C425" t="s">
        <v>3</v>
      </c>
      <c r="D425" s="2">
        <v>1</v>
      </c>
      <c r="E425" s="11" t="s">
        <v>2203</v>
      </c>
      <c r="F425" t="s">
        <v>39</v>
      </c>
      <c r="G425" s="2" t="s">
        <v>4</v>
      </c>
      <c r="H425" s="1">
        <v>79.394000000000005</v>
      </c>
    </row>
    <row r="426" spans="1:8" x14ac:dyDescent="0.3">
      <c r="A426" s="2">
        <v>527</v>
      </c>
      <c r="B426" t="s">
        <v>3093</v>
      </c>
      <c r="C426" t="s">
        <v>3</v>
      </c>
      <c r="D426" s="2">
        <v>1</v>
      </c>
      <c r="E426" s="11" t="s">
        <v>2203</v>
      </c>
      <c r="F426" t="s">
        <v>39</v>
      </c>
      <c r="G426" s="2" t="s">
        <v>31</v>
      </c>
      <c r="H426" s="1">
        <v>79.394000000000005</v>
      </c>
    </row>
    <row r="427" spans="1:8" x14ac:dyDescent="0.3">
      <c r="A427" s="2">
        <v>527</v>
      </c>
      <c r="B427" t="s">
        <v>2574</v>
      </c>
      <c r="C427" t="s">
        <v>3</v>
      </c>
      <c r="D427" s="2">
        <v>1</v>
      </c>
      <c r="E427" s="11" t="s">
        <v>2203</v>
      </c>
      <c r="F427" t="s">
        <v>39</v>
      </c>
      <c r="G427" s="2" t="s">
        <v>23</v>
      </c>
      <c r="H427" s="1">
        <v>79.394000000000005</v>
      </c>
    </row>
    <row r="428" spans="1:8" x14ac:dyDescent="0.3">
      <c r="A428" s="2">
        <v>527</v>
      </c>
      <c r="B428" t="s">
        <v>1695</v>
      </c>
      <c r="C428" t="s">
        <v>3219</v>
      </c>
      <c r="D428" s="2">
        <v>1</v>
      </c>
      <c r="E428" s="11" t="s">
        <v>977</v>
      </c>
      <c r="F428" t="s">
        <v>39</v>
      </c>
      <c r="G428" s="2" t="s">
        <v>4</v>
      </c>
      <c r="H428" s="1">
        <v>116.49400000000001</v>
      </c>
    </row>
    <row r="429" spans="1:8" x14ac:dyDescent="0.3">
      <c r="A429" s="2">
        <v>527</v>
      </c>
      <c r="B429" t="s">
        <v>2017</v>
      </c>
      <c r="C429" t="s">
        <v>3224</v>
      </c>
      <c r="D429" s="2">
        <v>1</v>
      </c>
      <c r="E429" s="11" t="s">
        <v>191</v>
      </c>
      <c r="F429" t="s">
        <v>39</v>
      </c>
      <c r="G429" s="2" t="s">
        <v>31</v>
      </c>
      <c r="H429" s="1">
        <v>63.494000000000007</v>
      </c>
    </row>
    <row r="430" spans="1:8" x14ac:dyDescent="0.3">
      <c r="A430" s="2">
        <v>527</v>
      </c>
      <c r="B430" t="s">
        <v>1457</v>
      </c>
      <c r="C430" t="s">
        <v>1</v>
      </c>
      <c r="D430" s="2">
        <v>1</v>
      </c>
      <c r="E430" s="11" t="s">
        <v>281</v>
      </c>
      <c r="F430" t="s">
        <v>39</v>
      </c>
      <c r="G430" s="2" t="s">
        <v>4</v>
      </c>
      <c r="H430" s="1">
        <v>58.194000000000003</v>
      </c>
    </row>
    <row r="431" spans="1:8" x14ac:dyDescent="0.3">
      <c r="A431" s="2">
        <v>527</v>
      </c>
      <c r="B431" t="s">
        <v>1308</v>
      </c>
      <c r="C431" t="s">
        <v>1</v>
      </c>
      <c r="D431" s="2">
        <v>1</v>
      </c>
      <c r="E431" s="11" t="s">
        <v>281</v>
      </c>
      <c r="F431" t="s">
        <v>39</v>
      </c>
      <c r="G431" s="2" t="s">
        <v>31</v>
      </c>
      <c r="H431" s="1">
        <v>58.194000000000003</v>
      </c>
    </row>
    <row r="432" spans="1:8" x14ac:dyDescent="0.3">
      <c r="A432" s="2">
        <v>527</v>
      </c>
      <c r="B432" t="s">
        <v>2052</v>
      </c>
      <c r="C432" t="s">
        <v>3224</v>
      </c>
      <c r="D432" s="2">
        <v>1</v>
      </c>
      <c r="E432" s="11" t="s">
        <v>191</v>
      </c>
      <c r="F432" t="s">
        <v>36</v>
      </c>
      <c r="G432" s="2" t="s">
        <v>4</v>
      </c>
      <c r="H432" s="1">
        <v>63.494000000000007</v>
      </c>
    </row>
    <row r="433" spans="1:8" x14ac:dyDescent="0.3">
      <c r="A433" s="2">
        <v>527</v>
      </c>
      <c r="B433" t="s">
        <v>1261</v>
      </c>
      <c r="C433" t="s">
        <v>3220</v>
      </c>
      <c r="D433" s="2">
        <v>1</v>
      </c>
      <c r="E433" s="11" t="s">
        <v>204</v>
      </c>
      <c r="F433" t="s">
        <v>36</v>
      </c>
      <c r="G433" s="2" t="s">
        <v>4</v>
      </c>
      <c r="H433" s="1">
        <v>42.294000000000004</v>
      </c>
    </row>
    <row r="434" spans="1:8" x14ac:dyDescent="0.3">
      <c r="A434" s="2">
        <v>527</v>
      </c>
      <c r="B434" t="s">
        <v>1816</v>
      </c>
      <c r="C434" t="s">
        <v>3220</v>
      </c>
      <c r="D434" s="2">
        <v>1</v>
      </c>
      <c r="E434" s="11" t="s">
        <v>204</v>
      </c>
      <c r="F434" t="s">
        <v>1116</v>
      </c>
      <c r="G434" s="2" t="s">
        <v>4</v>
      </c>
      <c r="H434" s="1">
        <v>42.294000000000004</v>
      </c>
    </row>
    <row r="435" spans="1:8" x14ac:dyDescent="0.3">
      <c r="A435" s="2">
        <v>527</v>
      </c>
      <c r="B435" t="s">
        <v>2453</v>
      </c>
      <c r="C435" t="s">
        <v>3219</v>
      </c>
      <c r="D435" s="2">
        <v>1</v>
      </c>
      <c r="E435" s="11" t="s">
        <v>2271</v>
      </c>
      <c r="F435" t="s">
        <v>28</v>
      </c>
      <c r="G435" s="2" t="s">
        <v>31</v>
      </c>
      <c r="H435" s="1">
        <v>121.79400000000001</v>
      </c>
    </row>
    <row r="436" spans="1:8" x14ac:dyDescent="0.3">
      <c r="A436" s="2">
        <v>527</v>
      </c>
      <c r="B436" t="s">
        <v>1452</v>
      </c>
      <c r="C436" t="s">
        <v>1</v>
      </c>
      <c r="D436" s="2">
        <v>1</v>
      </c>
      <c r="E436" s="11" t="s">
        <v>281</v>
      </c>
      <c r="F436" t="s">
        <v>24</v>
      </c>
      <c r="G436" s="2" t="s">
        <v>31</v>
      </c>
      <c r="H436" s="1">
        <v>58.194000000000003</v>
      </c>
    </row>
    <row r="437" spans="1:8" x14ac:dyDescent="0.3">
      <c r="A437" s="2">
        <v>528</v>
      </c>
      <c r="B437" t="s">
        <v>3056</v>
      </c>
      <c r="C437" t="s">
        <v>3</v>
      </c>
      <c r="D437" s="2">
        <v>1</v>
      </c>
      <c r="E437" s="11" t="s">
        <v>2203</v>
      </c>
      <c r="F437" t="s">
        <v>65</v>
      </c>
      <c r="G437" s="2" t="s">
        <v>4</v>
      </c>
      <c r="H437" s="1">
        <v>79.394000000000005</v>
      </c>
    </row>
    <row r="438" spans="1:8" x14ac:dyDescent="0.3">
      <c r="A438" s="2">
        <v>528</v>
      </c>
      <c r="B438" t="s">
        <v>2346</v>
      </c>
      <c r="C438" t="s">
        <v>3</v>
      </c>
      <c r="D438" s="2">
        <v>1</v>
      </c>
      <c r="E438" s="11" t="s">
        <v>2203</v>
      </c>
      <c r="F438" t="s">
        <v>65</v>
      </c>
      <c r="G438" s="2" t="s">
        <v>31</v>
      </c>
      <c r="H438" s="1">
        <v>79.394000000000005</v>
      </c>
    </row>
    <row r="439" spans="1:8" x14ac:dyDescent="0.3">
      <c r="A439" s="2">
        <v>528</v>
      </c>
      <c r="B439" t="s">
        <v>3283</v>
      </c>
      <c r="C439" t="s">
        <v>3</v>
      </c>
      <c r="D439" s="2">
        <v>1</v>
      </c>
      <c r="E439" s="11" t="s">
        <v>2203</v>
      </c>
      <c r="F439" t="s">
        <v>65</v>
      </c>
      <c r="G439" s="2" t="s">
        <v>23</v>
      </c>
      <c r="H439" s="1">
        <v>79.394000000000005</v>
      </c>
    </row>
    <row r="440" spans="1:8" x14ac:dyDescent="0.3">
      <c r="A440" s="2">
        <v>528</v>
      </c>
      <c r="B440" t="s">
        <v>3282</v>
      </c>
      <c r="C440" t="s">
        <v>3224</v>
      </c>
      <c r="D440" s="2">
        <v>1</v>
      </c>
      <c r="E440" s="11" t="s">
        <v>3066</v>
      </c>
      <c r="F440" t="s">
        <v>126</v>
      </c>
      <c r="G440" s="2" t="s">
        <v>4</v>
      </c>
      <c r="H440" s="1">
        <v>95.294000000000011</v>
      </c>
    </row>
    <row r="441" spans="1:8" x14ac:dyDescent="0.3">
      <c r="A441" s="2">
        <v>528</v>
      </c>
      <c r="B441" t="s">
        <v>3033</v>
      </c>
      <c r="C441" t="s">
        <v>3224</v>
      </c>
      <c r="D441" s="2">
        <v>1</v>
      </c>
      <c r="E441" s="11" t="s">
        <v>191</v>
      </c>
      <c r="F441" t="s">
        <v>126</v>
      </c>
      <c r="G441" s="2" t="s">
        <v>23</v>
      </c>
      <c r="H441" s="1">
        <v>63.494000000000007</v>
      </c>
    </row>
    <row r="442" spans="1:8" x14ac:dyDescent="0.3">
      <c r="A442" s="2">
        <v>528</v>
      </c>
      <c r="B442" t="s">
        <v>3281</v>
      </c>
      <c r="C442" t="s">
        <v>3</v>
      </c>
      <c r="D442" s="2">
        <v>1</v>
      </c>
      <c r="E442" s="11" t="s">
        <v>2667</v>
      </c>
      <c r="F442" t="s">
        <v>28</v>
      </c>
      <c r="G442" s="2" t="s">
        <v>31</v>
      </c>
      <c r="H442" s="1">
        <v>121.79400000000001</v>
      </c>
    </row>
    <row r="443" spans="1:8" x14ac:dyDescent="0.3">
      <c r="A443" s="2">
        <v>528</v>
      </c>
      <c r="B443" t="s">
        <v>2668</v>
      </c>
      <c r="C443" t="s">
        <v>3</v>
      </c>
      <c r="D443" s="2">
        <v>1</v>
      </c>
      <c r="E443" s="11" t="s">
        <v>2667</v>
      </c>
      <c r="F443" t="s">
        <v>28</v>
      </c>
      <c r="G443" s="2" t="s">
        <v>23</v>
      </c>
      <c r="H443" s="1">
        <v>121.79400000000001</v>
      </c>
    </row>
    <row r="444" spans="1:8" x14ac:dyDescent="0.3">
      <c r="A444" s="2">
        <v>528</v>
      </c>
      <c r="B444" t="s">
        <v>3280</v>
      </c>
      <c r="C444" t="s">
        <v>3224</v>
      </c>
      <c r="D444" s="2">
        <v>1</v>
      </c>
      <c r="E444" s="11" t="s">
        <v>3273</v>
      </c>
      <c r="F444" t="s">
        <v>28</v>
      </c>
      <c r="G444" s="2" t="s">
        <v>31</v>
      </c>
      <c r="H444" s="1">
        <v>121.79400000000001</v>
      </c>
    </row>
    <row r="445" spans="1:8" x14ac:dyDescent="0.3">
      <c r="A445" s="2">
        <v>528</v>
      </c>
      <c r="B445" t="s">
        <v>3279</v>
      </c>
      <c r="C445" t="s">
        <v>3224</v>
      </c>
      <c r="D445" s="2">
        <v>1</v>
      </c>
      <c r="E445" s="11" t="s">
        <v>3273</v>
      </c>
      <c r="F445" t="s">
        <v>28</v>
      </c>
      <c r="G445" s="2" t="s">
        <v>23</v>
      </c>
      <c r="H445" s="1">
        <v>121.79400000000001</v>
      </c>
    </row>
    <row r="446" spans="1:8" x14ac:dyDescent="0.3">
      <c r="A446" s="2">
        <v>528</v>
      </c>
      <c r="B446" t="s">
        <v>3278</v>
      </c>
      <c r="C446" t="s">
        <v>3220</v>
      </c>
      <c r="D446" s="2">
        <v>1</v>
      </c>
      <c r="E446" s="11" t="s">
        <v>3266</v>
      </c>
      <c r="F446" t="s">
        <v>114</v>
      </c>
      <c r="G446" s="2" t="s">
        <v>4</v>
      </c>
      <c r="H446" s="1">
        <v>47.594000000000001</v>
      </c>
    </row>
    <row r="447" spans="1:8" x14ac:dyDescent="0.3">
      <c r="A447" s="2">
        <v>528</v>
      </c>
      <c r="B447" t="s">
        <v>3277</v>
      </c>
      <c r="C447" t="s">
        <v>3220</v>
      </c>
      <c r="D447" s="2">
        <v>1</v>
      </c>
      <c r="E447" s="11" t="s">
        <v>3266</v>
      </c>
      <c r="F447" t="s">
        <v>114</v>
      </c>
      <c r="G447" s="2" t="s">
        <v>31</v>
      </c>
      <c r="H447" s="1">
        <v>47.594000000000001</v>
      </c>
    </row>
    <row r="448" spans="1:8" x14ac:dyDescent="0.3">
      <c r="A448" s="2">
        <v>528</v>
      </c>
      <c r="B448" t="s">
        <v>3276</v>
      </c>
      <c r="C448" t="s">
        <v>3220</v>
      </c>
      <c r="D448" s="2">
        <v>1</v>
      </c>
      <c r="E448" s="11" t="s">
        <v>3266</v>
      </c>
      <c r="F448" t="s">
        <v>114</v>
      </c>
      <c r="G448" s="2" t="s">
        <v>23</v>
      </c>
      <c r="H448" s="1">
        <v>47.594000000000001</v>
      </c>
    </row>
    <row r="449" spans="1:8" x14ac:dyDescent="0.3">
      <c r="A449" s="2">
        <v>528</v>
      </c>
      <c r="B449" t="s">
        <v>3275</v>
      </c>
      <c r="C449" t="s">
        <v>3224</v>
      </c>
      <c r="D449" s="2">
        <v>1</v>
      </c>
      <c r="E449" s="11" t="s">
        <v>3273</v>
      </c>
      <c r="F449" t="s">
        <v>114</v>
      </c>
      <c r="G449" s="2" t="s">
        <v>31</v>
      </c>
      <c r="H449" s="1">
        <v>121.79400000000001</v>
      </c>
    </row>
    <row r="450" spans="1:8" x14ac:dyDescent="0.3">
      <c r="A450" s="2">
        <v>528</v>
      </c>
      <c r="B450" t="s">
        <v>3274</v>
      </c>
      <c r="C450" t="s">
        <v>3224</v>
      </c>
      <c r="D450" s="2">
        <v>1</v>
      </c>
      <c r="E450" s="11" t="s">
        <v>3273</v>
      </c>
      <c r="F450" t="s">
        <v>114</v>
      </c>
      <c r="G450" s="2" t="s">
        <v>23</v>
      </c>
      <c r="H450" s="1">
        <v>121.79400000000001</v>
      </c>
    </row>
    <row r="451" spans="1:8" x14ac:dyDescent="0.3">
      <c r="A451" s="2">
        <v>528</v>
      </c>
      <c r="B451" t="s">
        <v>2791</v>
      </c>
      <c r="C451" t="s">
        <v>3</v>
      </c>
      <c r="D451" s="2">
        <v>1</v>
      </c>
      <c r="E451" s="11" t="s">
        <v>2769</v>
      </c>
      <c r="F451" t="s">
        <v>114</v>
      </c>
      <c r="G451" s="2" t="s">
        <v>31</v>
      </c>
      <c r="H451" s="1">
        <v>95.294000000000011</v>
      </c>
    </row>
    <row r="452" spans="1:8" x14ac:dyDescent="0.3">
      <c r="A452" s="2">
        <v>528</v>
      </c>
      <c r="B452" t="s">
        <v>3272</v>
      </c>
      <c r="C452" t="s">
        <v>3</v>
      </c>
      <c r="D452" s="2">
        <v>1</v>
      </c>
      <c r="E452" s="11" t="s">
        <v>2769</v>
      </c>
      <c r="F452" t="s">
        <v>114</v>
      </c>
      <c r="G452" s="2" t="s">
        <v>23</v>
      </c>
      <c r="H452" s="1">
        <v>95.294000000000011</v>
      </c>
    </row>
    <row r="453" spans="1:8" x14ac:dyDescent="0.3">
      <c r="A453" s="2">
        <v>528</v>
      </c>
      <c r="B453" t="s">
        <v>3271</v>
      </c>
      <c r="C453" t="s">
        <v>3224</v>
      </c>
      <c r="D453" s="2">
        <v>1</v>
      </c>
      <c r="E453" s="11" t="s">
        <v>3066</v>
      </c>
      <c r="F453" t="s">
        <v>114</v>
      </c>
      <c r="G453" s="2" t="s">
        <v>4</v>
      </c>
      <c r="H453" s="1">
        <v>95.294000000000011</v>
      </c>
    </row>
    <row r="454" spans="1:8" x14ac:dyDescent="0.3">
      <c r="A454" s="2">
        <v>528</v>
      </c>
      <c r="B454" t="s">
        <v>3270</v>
      </c>
      <c r="C454" t="s">
        <v>3224</v>
      </c>
      <c r="D454" s="2">
        <v>1</v>
      </c>
      <c r="E454" s="11" t="s">
        <v>3066</v>
      </c>
      <c r="F454" t="s">
        <v>114</v>
      </c>
      <c r="G454" s="2" t="s">
        <v>31</v>
      </c>
      <c r="H454" s="1">
        <v>95.294000000000011</v>
      </c>
    </row>
    <row r="455" spans="1:8" x14ac:dyDescent="0.3">
      <c r="A455" s="2">
        <v>528</v>
      </c>
      <c r="B455" t="s">
        <v>3067</v>
      </c>
      <c r="C455" t="s">
        <v>3224</v>
      </c>
      <c r="D455" s="2">
        <v>1</v>
      </c>
      <c r="E455" s="11" t="s">
        <v>3066</v>
      </c>
      <c r="F455" t="s">
        <v>114</v>
      </c>
      <c r="G455" s="2" t="s">
        <v>23</v>
      </c>
      <c r="H455" s="1">
        <v>95.294000000000011</v>
      </c>
    </row>
    <row r="456" spans="1:8" x14ac:dyDescent="0.3">
      <c r="A456" s="2">
        <v>528</v>
      </c>
      <c r="B456" t="s">
        <v>2991</v>
      </c>
      <c r="C456" t="s">
        <v>3</v>
      </c>
      <c r="D456" s="2">
        <v>1</v>
      </c>
      <c r="E456" s="11" t="s">
        <v>2769</v>
      </c>
      <c r="F456" t="s">
        <v>78</v>
      </c>
      <c r="G456" s="2" t="s">
        <v>23</v>
      </c>
      <c r="H456" s="1">
        <v>95.294000000000011</v>
      </c>
    </row>
    <row r="457" spans="1:8" x14ac:dyDescent="0.3">
      <c r="A457" s="2">
        <v>528</v>
      </c>
      <c r="B457" t="s">
        <v>3269</v>
      </c>
      <c r="C457" t="s">
        <v>3220</v>
      </c>
      <c r="D457" s="2">
        <v>1</v>
      </c>
      <c r="E457" s="11" t="s">
        <v>3266</v>
      </c>
      <c r="F457" t="s">
        <v>47</v>
      </c>
      <c r="G457" s="2" t="s">
        <v>4</v>
      </c>
      <c r="H457" s="1">
        <v>47.594000000000001</v>
      </c>
    </row>
    <row r="458" spans="1:8" x14ac:dyDescent="0.3">
      <c r="A458" s="2">
        <v>528</v>
      </c>
      <c r="B458" t="s">
        <v>3268</v>
      </c>
      <c r="C458" t="s">
        <v>3220</v>
      </c>
      <c r="D458" s="2">
        <v>1</v>
      </c>
      <c r="E458" s="11" t="s">
        <v>3266</v>
      </c>
      <c r="F458" t="s">
        <v>47</v>
      </c>
      <c r="G458" s="2" t="s">
        <v>31</v>
      </c>
      <c r="H458" s="1">
        <v>47.594000000000001</v>
      </c>
    </row>
    <row r="459" spans="1:8" x14ac:dyDescent="0.3">
      <c r="A459" s="2">
        <v>528</v>
      </c>
      <c r="B459" t="s">
        <v>3267</v>
      </c>
      <c r="C459" t="s">
        <v>3220</v>
      </c>
      <c r="D459" s="2">
        <v>1</v>
      </c>
      <c r="E459" s="11" t="s">
        <v>3266</v>
      </c>
      <c r="F459" t="s">
        <v>47</v>
      </c>
      <c r="G459" s="2" t="s">
        <v>23</v>
      </c>
      <c r="H459" s="1">
        <v>47.594000000000001</v>
      </c>
    </row>
    <row r="460" spans="1:8" x14ac:dyDescent="0.3">
      <c r="A460" s="2">
        <v>528</v>
      </c>
      <c r="B460" t="s">
        <v>3265</v>
      </c>
      <c r="C460" t="s">
        <v>3</v>
      </c>
      <c r="D460" s="2">
        <v>1</v>
      </c>
      <c r="E460" s="11" t="s">
        <v>2769</v>
      </c>
      <c r="F460" t="s">
        <v>47</v>
      </c>
      <c r="G460" s="2" t="s">
        <v>4</v>
      </c>
      <c r="H460" s="1">
        <v>95.294000000000011</v>
      </c>
    </row>
    <row r="461" spans="1:8" x14ac:dyDescent="0.3">
      <c r="A461" s="2">
        <v>528</v>
      </c>
      <c r="B461" t="s">
        <v>2851</v>
      </c>
      <c r="C461" t="s">
        <v>3</v>
      </c>
      <c r="D461" s="2">
        <v>1</v>
      </c>
      <c r="E461" s="11" t="s">
        <v>2769</v>
      </c>
      <c r="F461" t="s">
        <v>47</v>
      </c>
      <c r="G461" s="2" t="s">
        <v>31</v>
      </c>
      <c r="H461" s="1">
        <v>95.294000000000011</v>
      </c>
    </row>
    <row r="462" spans="1:8" x14ac:dyDescent="0.3">
      <c r="A462" s="2">
        <v>528</v>
      </c>
      <c r="B462" t="s">
        <v>3264</v>
      </c>
      <c r="C462" t="s">
        <v>3</v>
      </c>
      <c r="D462" s="2">
        <v>1</v>
      </c>
      <c r="E462" s="11" t="s">
        <v>2769</v>
      </c>
      <c r="F462" t="s">
        <v>47</v>
      </c>
      <c r="G462" s="2" t="s">
        <v>23</v>
      </c>
      <c r="H462" s="1">
        <v>95.294000000000011</v>
      </c>
    </row>
    <row r="463" spans="1:8" x14ac:dyDescent="0.3">
      <c r="A463" s="2">
        <v>528</v>
      </c>
      <c r="B463" t="s">
        <v>3196</v>
      </c>
      <c r="C463" t="s">
        <v>3224</v>
      </c>
      <c r="D463" s="2">
        <v>1</v>
      </c>
      <c r="E463" s="11" t="s">
        <v>3066</v>
      </c>
      <c r="F463" t="s">
        <v>47</v>
      </c>
      <c r="G463" s="2" t="s">
        <v>31</v>
      </c>
      <c r="H463" s="1">
        <v>95.294000000000011</v>
      </c>
    </row>
    <row r="464" spans="1:8" x14ac:dyDescent="0.3">
      <c r="A464" s="2">
        <v>528</v>
      </c>
      <c r="B464" t="s">
        <v>3166</v>
      </c>
      <c r="C464" t="s">
        <v>3224</v>
      </c>
      <c r="D464" s="2">
        <v>1</v>
      </c>
      <c r="E464" s="11" t="s">
        <v>3066</v>
      </c>
      <c r="F464" t="s">
        <v>47</v>
      </c>
      <c r="G464" s="2" t="s">
        <v>23</v>
      </c>
      <c r="H464" s="1">
        <v>95.294000000000011</v>
      </c>
    </row>
    <row r="465" spans="1:8" x14ac:dyDescent="0.3">
      <c r="A465" s="2">
        <v>528</v>
      </c>
      <c r="B465" t="s">
        <v>2227</v>
      </c>
      <c r="C465" t="s">
        <v>3224</v>
      </c>
      <c r="D465" s="2">
        <v>1</v>
      </c>
      <c r="E465" s="11" t="s">
        <v>191</v>
      </c>
      <c r="F465" t="s">
        <v>47</v>
      </c>
      <c r="G465" s="2" t="s">
        <v>4</v>
      </c>
      <c r="H465" s="1">
        <v>63.494000000000007</v>
      </c>
    </row>
    <row r="466" spans="1:8" x14ac:dyDescent="0.3">
      <c r="A466" s="2">
        <v>528</v>
      </c>
      <c r="B466" t="s">
        <v>225</v>
      </c>
      <c r="C466" t="s">
        <v>3224</v>
      </c>
      <c r="D466" s="2">
        <v>1</v>
      </c>
      <c r="E466" s="11" t="s">
        <v>191</v>
      </c>
      <c r="F466" t="s">
        <v>47</v>
      </c>
      <c r="G466" s="2" t="s">
        <v>31</v>
      </c>
      <c r="H466" s="1">
        <v>63.494000000000007</v>
      </c>
    </row>
    <row r="467" spans="1:8" x14ac:dyDescent="0.3">
      <c r="A467" s="2">
        <v>528</v>
      </c>
      <c r="B467" t="s">
        <v>2055</v>
      </c>
      <c r="C467" t="s">
        <v>3224</v>
      </c>
      <c r="D467" s="2">
        <v>1</v>
      </c>
      <c r="E467" s="11" t="s">
        <v>191</v>
      </c>
      <c r="F467" t="s">
        <v>39</v>
      </c>
      <c r="G467" s="2" t="s">
        <v>23</v>
      </c>
      <c r="H467" s="1">
        <v>63.494000000000007</v>
      </c>
    </row>
    <row r="468" spans="1:8" x14ac:dyDescent="0.3">
      <c r="A468" s="2">
        <v>529</v>
      </c>
      <c r="B468" t="s">
        <v>3260</v>
      </c>
      <c r="C468" t="s">
        <v>3224</v>
      </c>
      <c r="D468" s="2">
        <v>1</v>
      </c>
      <c r="E468" s="11" t="s">
        <v>2554</v>
      </c>
      <c r="F468" t="s">
        <v>65</v>
      </c>
      <c r="G468" s="2" t="s">
        <v>31</v>
      </c>
      <c r="H468" s="1">
        <v>74.094000000000008</v>
      </c>
    </row>
    <row r="469" spans="1:8" x14ac:dyDescent="0.3">
      <c r="A469" s="2">
        <v>529</v>
      </c>
      <c r="B469" t="s">
        <v>3259</v>
      </c>
      <c r="C469" t="s">
        <v>0</v>
      </c>
      <c r="D469" s="2">
        <v>1</v>
      </c>
      <c r="E469" s="11" t="s">
        <v>3089</v>
      </c>
      <c r="F469" t="s">
        <v>254</v>
      </c>
      <c r="G469" s="2" t="s">
        <v>31</v>
      </c>
      <c r="H469" s="1">
        <v>195.99400000000003</v>
      </c>
    </row>
    <row r="470" spans="1:8" x14ac:dyDescent="0.3">
      <c r="A470" s="2">
        <v>529</v>
      </c>
      <c r="B470" t="s">
        <v>3263</v>
      </c>
      <c r="C470" t="s">
        <v>3219</v>
      </c>
      <c r="D470" s="2">
        <v>1</v>
      </c>
      <c r="E470" s="11" t="s">
        <v>3262</v>
      </c>
      <c r="F470" t="s">
        <v>28</v>
      </c>
      <c r="G470" s="2" t="s">
        <v>23</v>
      </c>
      <c r="H470" s="1">
        <v>111.19400000000002</v>
      </c>
    </row>
    <row r="471" spans="1:8" x14ac:dyDescent="0.3">
      <c r="A471" s="2">
        <v>529</v>
      </c>
      <c r="B471" t="s">
        <v>2899</v>
      </c>
      <c r="C471" t="s">
        <v>3224</v>
      </c>
      <c r="D471" s="2">
        <v>1</v>
      </c>
      <c r="E471" s="11" t="s">
        <v>2898</v>
      </c>
      <c r="F471" t="s">
        <v>36</v>
      </c>
      <c r="G471" s="2" t="s">
        <v>4</v>
      </c>
      <c r="H471" s="1">
        <v>74.094000000000008</v>
      </c>
    </row>
    <row r="472" spans="1:8" x14ac:dyDescent="0.3">
      <c r="A472" s="2">
        <v>529</v>
      </c>
      <c r="B472" t="s">
        <v>2897</v>
      </c>
      <c r="C472" t="s">
        <v>3715</v>
      </c>
      <c r="D472" s="2">
        <v>1</v>
      </c>
      <c r="E472" s="11" t="s">
        <v>2896</v>
      </c>
      <c r="F472" t="s">
        <v>36</v>
      </c>
      <c r="G472" s="2" t="s">
        <v>4</v>
      </c>
      <c r="H472" s="1">
        <v>84.694000000000017</v>
      </c>
    </row>
    <row r="473" spans="1:8" x14ac:dyDescent="0.3">
      <c r="A473" s="2">
        <v>529</v>
      </c>
      <c r="B473" t="s">
        <v>3258</v>
      </c>
      <c r="C473" t="s">
        <v>3219</v>
      </c>
      <c r="D473" s="2">
        <v>1</v>
      </c>
      <c r="E473" s="11" t="s">
        <v>2338</v>
      </c>
      <c r="F473" t="s">
        <v>2622</v>
      </c>
      <c r="G473" s="2" t="s">
        <v>4</v>
      </c>
      <c r="H473" s="1">
        <v>153.59400000000002</v>
      </c>
    </row>
    <row r="474" spans="1:8" x14ac:dyDescent="0.3">
      <c r="A474" s="2">
        <v>529</v>
      </c>
      <c r="B474" t="s">
        <v>3227</v>
      </c>
      <c r="C474" t="s">
        <v>3225</v>
      </c>
      <c r="D474" s="2">
        <v>2</v>
      </c>
      <c r="E474" s="11" t="s">
        <v>1394</v>
      </c>
      <c r="F474" t="s">
        <v>47</v>
      </c>
      <c r="G474" s="2" t="s">
        <v>31</v>
      </c>
      <c r="H474" s="1">
        <v>190.69400000000002</v>
      </c>
    </row>
    <row r="475" spans="1:8" x14ac:dyDescent="0.3">
      <c r="A475" s="2">
        <v>529</v>
      </c>
      <c r="B475" t="s">
        <v>3226</v>
      </c>
      <c r="C475" t="s">
        <v>3225</v>
      </c>
      <c r="D475" s="2">
        <v>1</v>
      </c>
      <c r="E475" s="11" t="s">
        <v>1394</v>
      </c>
      <c r="F475" t="s">
        <v>47</v>
      </c>
      <c r="G475" s="2" t="s">
        <v>23</v>
      </c>
      <c r="H475" s="1">
        <v>190.69400000000002</v>
      </c>
    </row>
    <row r="476" spans="1:8" x14ac:dyDescent="0.3">
      <c r="A476" s="2">
        <v>529</v>
      </c>
      <c r="B476" t="s">
        <v>3257</v>
      </c>
      <c r="C476" t="s">
        <v>3219</v>
      </c>
      <c r="D476" s="2">
        <v>1</v>
      </c>
      <c r="E476" s="11" t="s">
        <v>977</v>
      </c>
      <c r="F476" t="s">
        <v>39</v>
      </c>
      <c r="G476" s="2" t="s">
        <v>31</v>
      </c>
      <c r="H476" s="1">
        <v>116.49400000000001</v>
      </c>
    </row>
    <row r="477" spans="1:8" x14ac:dyDescent="0.3">
      <c r="A477" s="2">
        <v>529</v>
      </c>
      <c r="B477" t="s">
        <v>3256</v>
      </c>
      <c r="C477" t="s">
        <v>3219</v>
      </c>
      <c r="D477" s="2">
        <v>1</v>
      </c>
      <c r="E477" s="11" t="s">
        <v>977</v>
      </c>
      <c r="F477" t="s">
        <v>39</v>
      </c>
      <c r="G477" s="2" t="s">
        <v>23</v>
      </c>
      <c r="H477" s="1">
        <v>116.49400000000001</v>
      </c>
    </row>
    <row r="478" spans="1:8" x14ac:dyDescent="0.3">
      <c r="A478" s="2">
        <v>529</v>
      </c>
      <c r="B478" t="s">
        <v>1937</v>
      </c>
      <c r="C478" t="s">
        <v>3221</v>
      </c>
      <c r="D478" s="2">
        <v>1</v>
      </c>
      <c r="E478" s="11" t="s">
        <v>383</v>
      </c>
      <c r="F478" t="s">
        <v>39</v>
      </c>
      <c r="G478" s="2" t="s">
        <v>23</v>
      </c>
      <c r="H478" s="1">
        <v>164.19400000000002</v>
      </c>
    </row>
    <row r="479" spans="1:8" x14ac:dyDescent="0.3">
      <c r="A479" s="2">
        <v>529</v>
      </c>
      <c r="B479" t="s">
        <v>1937</v>
      </c>
      <c r="C479" t="s">
        <v>3221</v>
      </c>
      <c r="D479" s="2">
        <v>1</v>
      </c>
      <c r="E479" s="11" t="s">
        <v>383</v>
      </c>
      <c r="F479" t="s">
        <v>39</v>
      </c>
      <c r="G479" s="2" t="s">
        <v>23</v>
      </c>
      <c r="H479" s="1">
        <v>164.19400000000002</v>
      </c>
    </row>
    <row r="480" spans="1:8" x14ac:dyDescent="0.3">
      <c r="A480" s="2">
        <v>529</v>
      </c>
      <c r="B480" t="s">
        <v>3092</v>
      </c>
      <c r="C480" t="s">
        <v>3219</v>
      </c>
      <c r="D480" s="2">
        <v>1</v>
      </c>
      <c r="E480" s="11" t="s">
        <v>2251</v>
      </c>
      <c r="F480" t="s">
        <v>36</v>
      </c>
      <c r="G480" s="2" t="s">
        <v>31</v>
      </c>
      <c r="H480" s="1">
        <v>169.49400000000003</v>
      </c>
    </row>
    <row r="481" spans="1:8" x14ac:dyDescent="0.3">
      <c r="A481" s="2">
        <v>529</v>
      </c>
      <c r="B481" t="s">
        <v>822</v>
      </c>
      <c r="C481" t="s">
        <v>3224</v>
      </c>
      <c r="D481" s="2">
        <v>1</v>
      </c>
      <c r="E481" s="11" t="s">
        <v>191</v>
      </c>
      <c r="F481" t="s">
        <v>36</v>
      </c>
      <c r="G481" s="2" t="s">
        <v>31</v>
      </c>
      <c r="H481" s="1">
        <v>63.494000000000007</v>
      </c>
    </row>
    <row r="482" spans="1:8" x14ac:dyDescent="0.3">
      <c r="A482" s="2">
        <v>530</v>
      </c>
      <c r="B482" t="s">
        <v>3260</v>
      </c>
      <c r="C482" t="s">
        <v>3224</v>
      </c>
      <c r="D482" s="2">
        <v>1</v>
      </c>
      <c r="E482" s="11" t="s">
        <v>2554</v>
      </c>
      <c r="F482" t="s">
        <v>65</v>
      </c>
      <c r="G482" s="2" t="s">
        <v>31</v>
      </c>
      <c r="H482" s="1">
        <v>74.094000000000008</v>
      </c>
    </row>
    <row r="483" spans="1:8" x14ac:dyDescent="0.3">
      <c r="A483" s="2">
        <v>530</v>
      </c>
      <c r="B483" t="s">
        <v>3259</v>
      </c>
      <c r="C483" t="s">
        <v>0</v>
      </c>
      <c r="D483" s="2">
        <v>1</v>
      </c>
      <c r="E483" s="11" t="s">
        <v>3089</v>
      </c>
      <c r="F483" t="s">
        <v>254</v>
      </c>
      <c r="G483" s="2" t="s">
        <v>31</v>
      </c>
      <c r="H483" s="1">
        <v>195.99400000000003</v>
      </c>
    </row>
    <row r="484" spans="1:8" x14ac:dyDescent="0.3">
      <c r="A484" s="2">
        <v>530</v>
      </c>
      <c r="B484" t="s">
        <v>2899</v>
      </c>
      <c r="C484" t="s">
        <v>3224</v>
      </c>
      <c r="D484" s="2">
        <v>1</v>
      </c>
      <c r="E484" s="11" t="s">
        <v>2898</v>
      </c>
      <c r="F484" t="s">
        <v>36</v>
      </c>
      <c r="G484" s="2" t="s">
        <v>4</v>
      </c>
      <c r="H484" s="1">
        <v>74.094000000000008</v>
      </c>
    </row>
    <row r="485" spans="1:8" x14ac:dyDescent="0.3">
      <c r="A485" s="2">
        <v>530</v>
      </c>
      <c r="B485" t="s">
        <v>2897</v>
      </c>
      <c r="C485" t="s">
        <v>3715</v>
      </c>
      <c r="D485" s="2">
        <v>1</v>
      </c>
      <c r="E485" s="11" t="s">
        <v>2896</v>
      </c>
      <c r="F485" t="s">
        <v>36</v>
      </c>
      <c r="G485" s="2" t="s">
        <v>4</v>
      </c>
      <c r="H485" s="1">
        <v>84.694000000000017</v>
      </c>
    </row>
    <row r="486" spans="1:8" x14ac:dyDescent="0.3">
      <c r="A486" s="2">
        <v>530</v>
      </c>
      <c r="B486" t="s">
        <v>3258</v>
      </c>
      <c r="C486" t="s">
        <v>3219</v>
      </c>
      <c r="D486" s="2">
        <v>1</v>
      </c>
      <c r="E486" s="11" t="s">
        <v>2338</v>
      </c>
      <c r="F486" t="s">
        <v>2622</v>
      </c>
      <c r="G486" s="2" t="s">
        <v>4</v>
      </c>
      <c r="H486" s="1">
        <v>153.59400000000002</v>
      </c>
    </row>
    <row r="487" spans="1:8" x14ac:dyDescent="0.3">
      <c r="A487" s="2">
        <v>530</v>
      </c>
      <c r="B487" t="s">
        <v>3227</v>
      </c>
      <c r="C487" t="s">
        <v>3225</v>
      </c>
      <c r="D487" s="2">
        <v>2</v>
      </c>
      <c r="E487" s="11" t="s">
        <v>1394</v>
      </c>
      <c r="F487" t="s">
        <v>47</v>
      </c>
      <c r="G487" s="2" t="s">
        <v>31</v>
      </c>
      <c r="H487" s="1">
        <v>190.69400000000002</v>
      </c>
    </row>
    <row r="488" spans="1:8" x14ac:dyDescent="0.3">
      <c r="A488" s="2">
        <v>530</v>
      </c>
      <c r="B488" t="s">
        <v>3226</v>
      </c>
      <c r="C488" t="s">
        <v>3225</v>
      </c>
      <c r="D488" s="2">
        <v>1</v>
      </c>
      <c r="E488" s="11" t="s">
        <v>1394</v>
      </c>
      <c r="F488" t="s">
        <v>47</v>
      </c>
      <c r="G488" s="2" t="s">
        <v>23</v>
      </c>
      <c r="H488" s="1">
        <v>190.69400000000002</v>
      </c>
    </row>
    <row r="489" spans="1:8" x14ac:dyDescent="0.3">
      <c r="A489" s="2">
        <v>530</v>
      </c>
      <c r="B489" t="s">
        <v>3257</v>
      </c>
      <c r="C489" t="s">
        <v>3219</v>
      </c>
      <c r="D489" s="2">
        <v>1</v>
      </c>
      <c r="E489" s="11" t="s">
        <v>977</v>
      </c>
      <c r="F489" t="s">
        <v>39</v>
      </c>
      <c r="G489" s="2" t="s">
        <v>31</v>
      </c>
      <c r="H489" s="1">
        <v>116.49400000000001</v>
      </c>
    </row>
    <row r="490" spans="1:8" x14ac:dyDescent="0.3">
      <c r="A490" s="2">
        <v>530</v>
      </c>
      <c r="B490" t="s">
        <v>3256</v>
      </c>
      <c r="C490" t="s">
        <v>3219</v>
      </c>
      <c r="D490" s="2">
        <v>1</v>
      </c>
      <c r="E490" s="11" t="s">
        <v>977</v>
      </c>
      <c r="F490" t="s">
        <v>39</v>
      </c>
      <c r="G490" s="2" t="s">
        <v>23</v>
      </c>
      <c r="H490" s="1">
        <v>116.49400000000001</v>
      </c>
    </row>
    <row r="491" spans="1:8" x14ac:dyDescent="0.3">
      <c r="A491" s="2">
        <v>530</v>
      </c>
      <c r="B491" t="s">
        <v>1937</v>
      </c>
      <c r="C491" t="s">
        <v>3221</v>
      </c>
      <c r="D491" s="2">
        <v>1</v>
      </c>
      <c r="E491" s="11" t="s">
        <v>383</v>
      </c>
      <c r="F491" t="s">
        <v>39</v>
      </c>
      <c r="G491" s="2" t="s">
        <v>23</v>
      </c>
      <c r="H491" s="1">
        <v>164.19400000000002</v>
      </c>
    </row>
    <row r="492" spans="1:8" x14ac:dyDescent="0.3">
      <c r="A492" s="2">
        <v>530</v>
      </c>
      <c r="B492" t="s">
        <v>3092</v>
      </c>
      <c r="C492" t="s">
        <v>3219</v>
      </c>
      <c r="D492" s="2">
        <v>1</v>
      </c>
      <c r="E492" s="11" t="s">
        <v>2251</v>
      </c>
      <c r="F492" t="s">
        <v>36</v>
      </c>
      <c r="G492" s="2" t="s">
        <v>31</v>
      </c>
      <c r="H492" s="1">
        <v>169.49400000000003</v>
      </c>
    </row>
    <row r="493" spans="1:8" x14ac:dyDescent="0.3">
      <c r="A493" s="2">
        <v>530</v>
      </c>
      <c r="B493" t="s">
        <v>822</v>
      </c>
      <c r="C493" t="s">
        <v>3224</v>
      </c>
      <c r="D493" s="2">
        <v>1</v>
      </c>
      <c r="E493" s="11" t="s">
        <v>191</v>
      </c>
      <c r="F493" t="s">
        <v>36</v>
      </c>
      <c r="G493" s="2" t="s">
        <v>31</v>
      </c>
      <c r="H493" s="1">
        <v>63.494000000000007</v>
      </c>
    </row>
    <row r="494" spans="1:8" x14ac:dyDescent="0.3">
      <c r="A494" s="2">
        <v>531</v>
      </c>
      <c r="B494" t="s">
        <v>3160</v>
      </c>
      <c r="C494" t="s">
        <v>3220</v>
      </c>
      <c r="D494" s="2">
        <v>1</v>
      </c>
      <c r="E494" s="11" t="s">
        <v>3152</v>
      </c>
      <c r="F494" t="s">
        <v>55</v>
      </c>
      <c r="G494" s="2" t="s">
        <v>31</v>
      </c>
      <c r="H494" s="1">
        <v>47.594000000000001</v>
      </c>
    </row>
    <row r="495" spans="1:8" x14ac:dyDescent="0.3">
      <c r="A495" s="2">
        <v>531</v>
      </c>
      <c r="B495" t="s">
        <v>3158</v>
      </c>
      <c r="C495" t="s">
        <v>3</v>
      </c>
      <c r="D495" s="2">
        <v>1</v>
      </c>
      <c r="E495" s="11" t="s">
        <v>3149</v>
      </c>
      <c r="F495" t="s">
        <v>55</v>
      </c>
      <c r="G495" s="2" t="s">
        <v>31</v>
      </c>
      <c r="H495" s="1">
        <v>100.59400000000001</v>
      </c>
    </row>
    <row r="496" spans="1:8" x14ac:dyDescent="0.3">
      <c r="A496" s="2">
        <v>531</v>
      </c>
      <c r="B496" t="s">
        <v>3255</v>
      </c>
      <c r="C496" t="s">
        <v>3219</v>
      </c>
      <c r="D496" s="2">
        <v>1</v>
      </c>
      <c r="E496" s="11" t="s">
        <v>3254</v>
      </c>
      <c r="F496" t="s">
        <v>65</v>
      </c>
      <c r="G496" s="2" t="s">
        <v>31</v>
      </c>
      <c r="H496" s="1">
        <v>190.69400000000002</v>
      </c>
    </row>
    <row r="497" spans="1:8" x14ac:dyDescent="0.3">
      <c r="A497" s="2">
        <v>531</v>
      </c>
      <c r="B497" t="s">
        <v>3253</v>
      </c>
      <c r="C497" t="s">
        <v>3</v>
      </c>
      <c r="D497" s="2">
        <v>1</v>
      </c>
      <c r="E497" s="11" t="s">
        <v>3252</v>
      </c>
      <c r="F497" t="s">
        <v>65</v>
      </c>
      <c r="G497" s="2" t="s">
        <v>4</v>
      </c>
      <c r="H497" s="1">
        <v>95.294000000000011</v>
      </c>
    </row>
    <row r="498" spans="1:8" x14ac:dyDescent="0.3">
      <c r="A498" s="2">
        <v>531</v>
      </c>
      <c r="B498" t="s">
        <v>3251</v>
      </c>
      <c r="C498" t="s">
        <v>3220</v>
      </c>
      <c r="D498" s="2">
        <v>1</v>
      </c>
      <c r="E498" s="11" t="s">
        <v>3250</v>
      </c>
      <c r="F498" t="s">
        <v>65</v>
      </c>
      <c r="G498" s="2" t="s">
        <v>4</v>
      </c>
      <c r="H498" s="1">
        <v>42.294000000000004</v>
      </c>
    </row>
    <row r="499" spans="1:8" x14ac:dyDescent="0.3">
      <c r="A499" s="2">
        <v>531</v>
      </c>
      <c r="B499" t="s">
        <v>3105</v>
      </c>
      <c r="C499" t="s">
        <v>3224</v>
      </c>
      <c r="D499" s="2">
        <v>1</v>
      </c>
      <c r="E499" s="11" t="s">
        <v>3095</v>
      </c>
      <c r="F499" t="s">
        <v>28</v>
      </c>
      <c r="G499" s="2" t="s">
        <v>31</v>
      </c>
      <c r="H499" s="1">
        <v>58.19400000000001</v>
      </c>
    </row>
    <row r="500" spans="1:8" x14ac:dyDescent="0.3">
      <c r="A500" s="2">
        <v>531</v>
      </c>
      <c r="B500" t="s">
        <v>3105</v>
      </c>
      <c r="C500" t="s">
        <v>3224</v>
      </c>
      <c r="D500" s="2">
        <v>1</v>
      </c>
      <c r="E500" s="11" t="s">
        <v>3095</v>
      </c>
      <c r="F500" t="s">
        <v>28</v>
      </c>
      <c r="G500" s="2" t="s">
        <v>31</v>
      </c>
      <c r="H500" s="1">
        <v>58.19400000000001</v>
      </c>
    </row>
    <row r="501" spans="1:8" x14ac:dyDescent="0.3">
      <c r="A501" s="2">
        <v>531</v>
      </c>
      <c r="B501" t="s">
        <v>3249</v>
      </c>
      <c r="C501" t="s">
        <v>1</v>
      </c>
      <c r="D501" s="2">
        <v>1</v>
      </c>
      <c r="E501" s="11" t="s">
        <v>3248</v>
      </c>
      <c r="F501" t="s">
        <v>28</v>
      </c>
      <c r="G501" s="2" t="s">
        <v>31</v>
      </c>
      <c r="H501" s="1">
        <v>63.494000000000007</v>
      </c>
    </row>
    <row r="502" spans="1:8" x14ac:dyDescent="0.3">
      <c r="A502" s="2">
        <v>531</v>
      </c>
      <c r="B502" t="s">
        <v>962</v>
      </c>
      <c r="C502" t="s">
        <v>1</v>
      </c>
      <c r="D502" s="2">
        <v>1</v>
      </c>
      <c r="E502" s="11" t="s">
        <v>279</v>
      </c>
      <c r="F502" t="s">
        <v>55</v>
      </c>
      <c r="G502" s="2" t="s">
        <v>4</v>
      </c>
      <c r="H502" s="1">
        <v>47.594000000000001</v>
      </c>
    </row>
    <row r="503" spans="1:8" x14ac:dyDescent="0.3">
      <c r="A503" s="2">
        <v>531</v>
      </c>
      <c r="B503" t="s">
        <v>3247</v>
      </c>
      <c r="C503" t="s">
        <v>3</v>
      </c>
      <c r="D503" s="2">
        <v>1</v>
      </c>
      <c r="E503" s="11" t="s">
        <v>3246</v>
      </c>
      <c r="F503" t="s">
        <v>47</v>
      </c>
      <c r="G503" s="2" t="s">
        <v>31</v>
      </c>
      <c r="H503" s="1">
        <v>121.79400000000001</v>
      </c>
    </row>
    <row r="504" spans="1:8" x14ac:dyDescent="0.3">
      <c r="A504" s="2">
        <v>531</v>
      </c>
      <c r="B504" t="s">
        <v>3245</v>
      </c>
      <c r="C504" t="s">
        <v>3224</v>
      </c>
      <c r="D504" s="2">
        <v>1</v>
      </c>
      <c r="E504" s="11" t="s">
        <v>3128</v>
      </c>
      <c r="F504" t="s">
        <v>47</v>
      </c>
      <c r="G504" s="2" t="s">
        <v>31</v>
      </c>
      <c r="H504" s="1">
        <v>100.59400000000001</v>
      </c>
    </row>
    <row r="505" spans="1:8" x14ac:dyDescent="0.3">
      <c r="A505" s="2">
        <v>531</v>
      </c>
      <c r="B505" t="s">
        <v>3244</v>
      </c>
      <c r="C505" t="s">
        <v>3219</v>
      </c>
      <c r="D505" s="2">
        <v>1</v>
      </c>
      <c r="E505" s="11" t="s">
        <v>2338</v>
      </c>
      <c r="F505" t="s">
        <v>47</v>
      </c>
      <c r="G505" s="2" t="s">
        <v>31</v>
      </c>
      <c r="H505" s="1">
        <v>153.59400000000002</v>
      </c>
    </row>
    <row r="506" spans="1:8" x14ac:dyDescent="0.3">
      <c r="A506" s="2">
        <v>531</v>
      </c>
      <c r="B506" t="s">
        <v>3243</v>
      </c>
      <c r="C506" t="s">
        <v>3</v>
      </c>
      <c r="D506" s="2">
        <v>1</v>
      </c>
      <c r="E506" s="11" t="s">
        <v>3242</v>
      </c>
      <c r="F506" t="s">
        <v>47</v>
      </c>
      <c r="G506" s="2" t="s">
        <v>31</v>
      </c>
      <c r="H506" s="1">
        <v>95.294000000000011</v>
      </c>
    </row>
    <row r="507" spans="1:8" x14ac:dyDescent="0.3">
      <c r="A507" s="2">
        <v>531</v>
      </c>
      <c r="B507" t="s">
        <v>2888</v>
      </c>
      <c r="C507" t="s">
        <v>3219</v>
      </c>
      <c r="D507" s="2">
        <v>1</v>
      </c>
      <c r="E507" s="11" t="s">
        <v>2251</v>
      </c>
      <c r="F507" t="s">
        <v>47</v>
      </c>
      <c r="G507" s="2" t="s">
        <v>31</v>
      </c>
      <c r="H507" s="1">
        <v>169.49400000000003</v>
      </c>
    </row>
    <row r="508" spans="1:8" x14ac:dyDescent="0.3">
      <c r="A508" s="2">
        <v>531</v>
      </c>
      <c r="B508" t="s">
        <v>3241</v>
      </c>
      <c r="C508" t="s">
        <v>0</v>
      </c>
      <c r="D508" s="2">
        <v>1</v>
      </c>
      <c r="E508" s="11" t="s">
        <v>3240</v>
      </c>
      <c r="F508" t="s">
        <v>28</v>
      </c>
      <c r="G508" s="2" t="s">
        <v>23</v>
      </c>
      <c r="H508" s="1">
        <v>153.59400000000002</v>
      </c>
    </row>
    <row r="509" spans="1:8" x14ac:dyDescent="0.3">
      <c r="A509" s="2">
        <v>531</v>
      </c>
      <c r="B509" t="s">
        <v>3239</v>
      </c>
      <c r="C509" t="s">
        <v>3</v>
      </c>
      <c r="D509" s="2">
        <v>1</v>
      </c>
      <c r="E509" s="11" t="s">
        <v>2602</v>
      </c>
      <c r="F509" t="s">
        <v>28</v>
      </c>
      <c r="G509" s="2" t="s">
        <v>23</v>
      </c>
      <c r="H509" s="1">
        <v>100.59400000000001</v>
      </c>
    </row>
    <row r="510" spans="1:8" x14ac:dyDescent="0.3">
      <c r="A510" s="2">
        <v>531</v>
      </c>
      <c r="B510" t="s">
        <v>2601</v>
      </c>
      <c r="C510" t="s">
        <v>3224</v>
      </c>
      <c r="D510" s="2">
        <v>1</v>
      </c>
      <c r="E510" s="11" t="s">
        <v>2600</v>
      </c>
      <c r="F510" t="s">
        <v>28</v>
      </c>
      <c r="G510" s="2" t="s">
        <v>31</v>
      </c>
      <c r="H510" s="1">
        <v>42.294000000000004</v>
      </c>
    </row>
    <row r="511" spans="1:8" x14ac:dyDescent="0.3">
      <c r="A511" s="2">
        <v>531</v>
      </c>
      <c r="B511" t="s">
        <v>3237</v>
      </c>
      <c r="C511" t="s">
        <v>3217</v>
      </c>
      <c r="D511" s="2">
        <v>1</v>
      </c>
      <c r="E511" s="11" t="s">
        <v>3235</v>
      </c>
      <c r="F511" t="s">
        <v>24</v>
      </c>
      <c r="G511" s="2" t="s">
        <v>4</v>
      </c>
      <c r="H511" s="1">
        <v>68.794000000000011</v>
      </c>
    </row>
    <row r="512" spans="1:8" x14ac:dyDescent="0.3">
      <c r="A512" s="2">
        <v>531</v>
      </c>
      <c r="B512" t="s">
        <v>3236</v>
      </c>
      <c r="C512" t="s">
        <v>3217</v>
      </c>
      <c r="D512" s="2">
        <v>1</v>
      </c>
      <c r="E512" s="11" t="s">
        <v>3235</v>
      </c>
      <c r="F512" t="s">
        <v>24</v>
      </c>
      <c r="G512" s="2" t="s">
        <v>23</v>
      </c>
      <c r="H512" s="1">
        <v>68.794000000000011</v>
      </c>
    </row>
    <row r="513" spans="1:8" x14ac:dyDescent="0.3">
      <c r="A513" s="2">
        <v>531</v>
      </c>
      <c r="B513" t="s">
        <v>3234</v>
      </c>
      <c r="C513" t="s">
        <v>3</v>
      </c>
      <c r="D513" s="2">
        <v>1</v>
      </c>
      <c r="E513" s="11" t="s">
        <v>3231</v>
      </c>
      <c r="F513" t="s">
        <v>24</v>
      </c>
      <c r="G513" s="2" t="s">
        <v>4</v>
      </c>
      <c r="H513" s="1">
        <v>79.394000000000005</v>
      </c>
    </row>
    <row r="514" spans="1:8" x14ac:dyDescent="0.3">
      <c r="A514" s="2">
        <v>531</v>
      </c>
      <c r="B514" t="s">
        <v>3232</v>
      </c>
      <c r="C514" t="s">
        <v>3</v>
      </c>
      <c r="D514" s="2">
        <v>1</v>
      </c>
      <c r="E514" s="11" t="s">
        <v>3231</v>
      </c>
      <c r="F514" t="s">
        <v>24</v>
      </c>
      <c r="G514" s="2" t="s">
        <v>23</v>
      </c>
      <c r="H514" s="1">
        <v>79.394000000000005</v>
      </c>
    </row>
    <row r="515" spans="1:8" x14ac:dyDescent="0.3">
      <c r="A515" s="2">
        <v>532</v>
      </c>
      <c r="B515" t="s">
        <v>3139</v>
      </c>
      <c r="C515" t="s">
        <v>0</v>
      </c>
      <c r="D515" s="2">
        <v>1</v>
      </c>
      <c r="E515" s="11" t="s">
        <v>2463</v>
      </c>
      <c r="F515" t="s">
        <v>55</v>
      </c>
      <c r="G515" s="2" t="s">
        <v>4</v>
      </c>
      <c r="H515" s="1">
        <v>158.89400000000001</v>
      </c>
    </row>
    <row r="516" spans="1:8" x14ac:dyDescent="0.3">
      <c r="A516" s="2">
        <v>532</v>
      </c>
      <c r="B516" t="s">
        <v>3230</v>
      </c>
      <c r="C516" t="s">
        <v>0</v>
      </c>
      <c r="D516" s="2">
        <v>1</v>
      </c>
      <c r="E516" s="11" t="s">
        <v>2463</v>
      </c>
      <c r="F516" t="s">
        <v>55</v>
      </c>
      <c r="G516" s="2" t="s">
        <v>31</v>
      </c>
      <c r="H516" s="1">
        <v>158.89400000000001</v>
      </c>
    </row>
    <row r="517" spans="1:8" x14ac:dyDescent="0.3">
      <c r="A517" s="2">
        <v>532</v>
      </c>
      <c r="B517" t="s">
        <v>3229</v>
      </c>
      <c r="C517" t="s">
        <v>0</v>
      </c>
      <c r="D517" s="2">
        <v>1</v>
      </c>
      <c r="E517" s="11" t="s">
        <v>2463</v>
      </c>
      <c r="F517" t="s">
        <v>55</v>
      </c>
      <c r="G517" s="2" t="s">
        <v>23</v>
      </c>
      <c r="H517" s="1">
        <v>158.89400000000001</v>
      </c>
    </row>
    <row r="518" spans="1:8" x14ac:dyDescent="0.3">
      <c r="A518" s="2">
        <v>532</v>
      </c>
      <c r="B518" t="s">
        <v>3080</v>
      </c>
      <c r="C518" t="s">
        <v>3219</v>
      </c>
      <c r="D518" s="2">
        <v>1</v>
      </c>
      <c r="E518" s="11" t="s">
        <v>102</v>
      </c>
      <c r="F518" t="s">
        <v>114</v>
      </c>
      <c r="G518" s="2" t="s">
        <v>31</v>
      </c>
      <c r="H518" s="1">
        <v>121.79400000000001</v>
      </c>
    </row>
    <row r="519" spans="1:8" x14ac:dyDescent="0.3">
      <c r="A519" s="2">
        <v>532</v>
      </c>
      <c r="B519" t="s">
        <v>3131</v>
      </c>
      <c r="C519" t="s">
        <v>3219</v>
      </c>
      <c r="D519" s="2">
        <v>1</v>
      </c>
      <c r="E519" s="11" t="s">
        <v>102</v>
      </c>
      <c r="F519" t="s">
        <v>114</v>
      </c>
      <c r="G519" s="2" t="s">
        <v>23</v>
      </c>
      <c r="H519" s="1">
        <v>121.79400000000001</v>
      </c>
    </row>
    <row r="520" spans="1:8" x14ac:dyDescent="0.3">
      <c r="A520" s="2">
        <v>532</v>
      </c>
      <c r="B520" t="s">
        <v>3086</v>
      </c>
      <c r="C520" t="s">
        <v>3334</v>
      </c>
      <c r="D520" s="2">
        <v>1</v>
      </c>
      <c r="E520" s="11" t="s">
        <v>2486</v>
      </c>
      <c r="F520" t="s">
        <v>114</v>
      </c>
      <c r="G520" s="2" t="s">
        <v>31</v>
      </c>
      <c r="H520" s="1">
        <v>105.89400000000001</v>
      </c>
    </row>
    <row r="521" spans="1:8" x14ac:dyDescent="0.3">
      <c r="A521" s="2">
        <v>532</v>
      </c>
      <c r="B521" t="s">
        <v>3027</v>
      </c>
      <c r="C521" t="s">
        <v>3334</v>
      </c>
      <c r="D521" s="2">
        <v>1</v>
      </c>
      <c r="E521" s="11" t="s">
        <v>2486</v>
      </c>
      <c r="F521" t="s">
        <v>114</v>
      </c>
      <c r="G521" s="2" t="s">
        <v>23</v>
      </c>
      <c r="H521" s="1">
        <v>105.89400000000001</v>
      </c>
    </row>
    <row r="522" spans="1:8" x14ac:dyDescent="0.3">
      <c r="A522" s="2">
        <v>532</v>
      </c>
      <c r="B522" t="s">
        <v>2729</v>
      </c>
      <c r="C522" t="s">
        <v>3220</v>
      </c>
      <c r="D522" s="2">
        <v>1</v>
      </c>
      <c r="E522" s="11" t="s">
        <v>2419</v>
      </c>
      <c r="F522" t="s">
        <v>114</v>
      </c>
      <c r="G522" s="2" t="s">
        <v>31</v>
      </c>
      <c r="H522" s="1">
        <v>47.594000000000001</v>
      </c>
    </row>
    <row r="523" spans="1:8" x14ac:dyDescent="0.3">
      <c r="A523" s="2">
        <v>532</v>
      </c>
      <c r="B523" t="s">
        <v>3130</v>
      </c>
      <c r="C523" t="s">
        <v>3220</v>
      </c>
      <c r="D523" s="2">
        <v>1</v>
      </c>
      <c r="E523" s="11" t="s">
        <v>2419</v>
      </c>
      <c r="F523" t="s">
        <v>114</v>
      </c>
      <c r="G523" s="2" t="s">
        <v>23</v>
      </c>
      <c r="H523" s="1">
        <v>47.594000000000001</v>
      </c>
    </row>
    <row r="524" spans="1:8" x14ac:dyDescent="0.3">
      <c r="A524" s="2">
        <v>532</v>
      </c>
      <c r="B524" t="s">
        <v>3228</v>
      </c>
      <c r="C524" t="s">
        <v>3225</v>
      </c>
      <c r="D524" s="2">
        <v>1</v>
      </c>
      <c r="E524" s="11" t="s">
        <v>1394</v>
      </c>
      <c r="F524" t="s">
        <v>47</v>
      </c>
      <c r="G524" s="2" t="s">
        <v>4</v>
      </c>
      <c r="H524" s="1">
        <v>190.69400000000002</v>
      </c>
    </row>
    <row r="525" spans="1:8" x14ac:dyDescent="0.3">
      <c r="A525" s="2">
        <v>532</v>
      </c>
      <c r="B525" t="s">
        <v>3227</v>
      </c>
      <c r="C525" t="s">
        <v>3225</v>
      </c>
      <c r="D525" s="2">
        <v>1</v>
      </c>
      <c r="E525" s="11" t="s">
        <v>1394</v>
      </c>
      <c r="F525" t="s">
        <v>47</v>
      </c>
      <c r="G525" s="2" t="s">
        <v>31</v>
      </c>
      <c r="H525" s="1">
        <v>190.69400000000002</v>
      </c>
    </row>
    <row r="526" spans="1:8" x14ac:dyDescent="0.3">
      <c r="A526" s="2">
        <v>532</v>
      </c>
      <c r="B526" t="s">
        <v>3226</v>
      </c>
      <c r="C526" t="s">
        <v>3225</v>
      </c>
      <c r="D526" s="2">
        <v>1</v>
      </c>
      <c r="E526" s="11" t="s">
        <v>1394</v>
      </c>
      <c r="F526" t="s">
        <v>47</v>
      </c>
      <c r="G526" s="2" t="s">
        <v>23</v>
      </c>
      <c r="H526" s="1">
        <v>190.69400000000002</v>
      </c>
    </row>
    <row r="527" spans="1:8" x14ac:dyDescent="0.3">
      <c r="A527" s="2">
        <v>533</v>
      </c>
      <c r="B527" t="s">
        <v>2346</v>
      </c>
      <c r="C527" t="s">
        <v>3</v>
      </c>
      <c r="D527" s="2">
        <v>1</v>
      </c>
      <c r="E527" s="11" t="s">
        <v>2203</v>
      </c>
      <c r="F527" t="s">
        <v>65</v>
      </c>
      <c r="G527" s="2" t="s">
        <v>31</v>
      </c>
      <c r="H527" s="1">
        <v>79.394000000000005</v>
      </c>
    </row>
    <row r="528" spans="1:8" x14ac:dyDescent="0.3">
      <c r="A528" s="2">
        <v>533</v>
      </c>
      <c r="B528" t="s">
        <v>2449</v>
      </c>
      <c r="C528" t="s">
        <v>3219</v>
      </c>
      <c r="D528" s="2">
        <v>1</v>
      </c>
      <c r="E528" s="11" t="s">
        <v>102</v>
      </c>
      <c r="F528" t="s">
        <v>126</v>
      </c>
      <c r="G528" s="2" t="s">
        <v>23</v>
      </c>
      <c r="H528" s="1">
        <v>121.79400000000001</v>
      </c>
    </row>
    <row r="529" spans="1:8" x14ac:dyDescent="0.3">
      <c r="A529" s="2">
        <v>533</v>
      </c>
      <c r="B529" t="s">
        <v>2558</v>
      </c>
      <c r="C529" t="s">
        <v>3</v>
      </c>
      <c r="D529" s="2">
        <v>1</v>
      </c>
      <c r="E529" s="11" t="s">
        <v>2417</v>
      </c>
      <c r="F529" t="s">
        <v>959</v>
      </c>
      <c r="G529" s="2" t="s">
        <v>23</v>
      </c>
      <c r="H529" s="1">
        <v>74.094000000000008</v>
      </c>
    </row>
    <row r="530" spans="1:8" x14ac:dyDescent="0.3">
      <c r="A530" s="2">
        <v>533</v>
      </c>
      <c r="B530" t="s">
        <v>3079</v>
      </c>
      <c r="C530" t="s">
        <v>3219</v>
      </c>
      <c r="D530" s="2">
        <v>1</v>
      </c>
      <c r="E530" s="11" t="s">
        <v>977</v>
      </c>
      <c r="F530" t="s">
        <v>114</v>
      </c>
      <c r="G530" s="2" t="s">
        <v>23</v>
      </c>
      <c r="H530" s="1">
        <v>116.49400000000001</v>
      </c>
    </row>
    <row r="531" spans="1:8" x14ac:dyDescent="0.3">
      <c r="A531" s="2">
        <v>533</v>
      </c>
      <c r="B531" t="s">
        <v>2730</v>
      </c>
      <c r="C531" t="s">
        <v>3220</v>
      </c>
      <c r="D531" s="2">
        <v>1</v>
      </c>
      <c r="E531" s="11" t="s">
        <v>2419</v>
      </c>
      <c r="F531" t="s">
        <v>114</v>
      </c>
      <c r="G531" s="2" t="s">
        <v>4</v>
      </c>
      <c r="H531" s="1">
        <v>47.594000000000001</v>
      </c>
    </row>
    <row r="532" spans="1:8" x14ac:dyDescent="0.3">
      <c r="A532" s="2">
        <v>533</v>
      </c>
      <c r="B532" t="s">
        <v>2229</v>
      </c>
      <c r="C532" t="s">
        <v>3219</v>
      </c>
      <c r="D532" s="2">
        <v>1</v>
      </c>
      <c r="E532" s="11" t="s">
        <v>2228</v>
      </c>
      <c r="F532" t="s">
        <v>47</v>
      </c>
      <c r="G532" s="2" t="s">
        <v>4</v>
      </c>
      <c r="H532" s="1">
        <v>137.69400000000002</v>
      </c>
    </row>
    <row r="533" spans="1:8" x14ac:dyDescent="0.3">
      <c r="A533" s="2">
        <v>533</v>
      </c>
      <c r="B533" t="s">
        <v>3075</v>
      </c>
      <c r="C533" t="s">
        <v>3225</v>
      </c>
      <c r="D533" s="2">
        <v>1</v>
      </c>
      <c r="E533" s="11" t="s">
        <v>3074</v>
      </c>
      <c r="F533" t="s">
        <v>39</v>
      </c>
      <c r="G533" s="2" t="s">
        <v>31</v>
      </c>
      <c r="H533" s="1">
        <v>127.09400000000001</v>
      </c>
    </row>
    <row r="534" spans="1:8" x14ac:dyDescent="0.3">
      <c r="A534" s="2">
        <v>533</v>
      </c>
      <c r="B534" t="s">
        <v>3093</v>
      </c>
      <c r="C534" t="s">
        <v>3</v>
      </c>
      <c r="D534" s="2">
        <v>1</v>
      </c>
      <c r="E534" s="11" t="s">
        <v>2203</v>
      </c>
      <c r="F534" t="s">
        <v>39</v>
      </c>
      <c r="G534" s="2" t="s">
        <v>31</v>
      </c>
      <c r="H534" s="1">
        <v>79.394000000000005</v>
      </c>
    </row>
    <row r="535" spans="1:8" x14ac:dyDescent="0.3">
      <c r="A535" s="2">
        <v>533</v>
      </c>
      <c r="B535" t="s">
        <v>3161</v>
      </c>
      <c r="C535" t="s">
        <v>3219</v>
      </c>
      <c r="D535" s="2">
        <v>1</v>
      </c>
      <c r="E535" s="11" t="s">
        <v>2251</v>
      </c>
      <c r="F535" t="s">
        <v>39</v>
      </c>
      <c r="G535" s="2" t="s">
        <v>23</v>
      </c>
      <c r="H535" s="1">
        <v>169.49400000000003</v>
      </c>
    </row>
    <row r="536" spans="1:8" x14ac:dyDescent="0.3">
      <c r="A536" s="2">
        <v>533</v>
      </c>
      <c r="B536" t="s">
        <v>2055</v>
      </c>
      <c r="C536" t="s">
        <v>3224</v>
      </c>
      <c r="D536" s="2">
        <v>1</v>
      </c>
      <c r="E536" s="11" t="s">
        <v>191</v>
      </c>
      <c r="F536" t="s">
        <v>39</v>
      </c>
      <c r="G536" s="2" t="s">
        <v>23</v>
      </c>
      <c r="H536" s="1">
        <v>63.494000000000007</v>
      </c>
    </row>
    <row r="537" spans="1:8" x14ac:dyDescent="0.3">
      <c r="A537" s="2">
        <v>533</v>
      </c>
      <c r="B537" t="s">
        <v>1936</v>
      </c>
      <c r="C537" t="s">
        <v>3221</v>
      </c>
      <c r="D537" s="2">
        <v>1</v>
      </c>
      <c r="E537" s="11" t="s">
        <v>199</v>
      </c>
      <c r="F537" t="s">
        <v>39</v>
      </c>
      <c r="G537" s="2" t="s">
        <v>23</v>
      </c>
      <c r="H537" s="1">
        <v>137.69400000000002</v>
      </c>
    </row>
    <row r="538" spans="1:8" x14ac:dyDescent="0.3">
      <c r="A538" s="2">
        <v>533</v>
      </c>
      <c r="B538" t="s">
        <v>3223</v>
      </c>
      <c r="C538" t="s">
        <v>0</v>
      </c>
      <c r="D538" s="2">
        <v>1</v>
      </c>
      <c r="E538" s="11" t="s">
        <v>2509</v>
      </c>
      <c r="F538" t="s">
        <v>28</v>
      </c>
      <c r="G538" s="2" t="s">
        <v>4</v>
      </c>
      <c r="H538" s="1">
        <v>153.59400000000002</v>
      </c>
    </row>
    <row r="539" spans="1:8" x14ac:dyDescent="0.3">
      <c r="A539" s="2">
        <v>534</v>
      </c>
      <c r="B539" t="s">
        <v>3189</v>
      </c>
      <c r="C539" t="s">
        <v>3220</v>
      </c>
      <c r="D539" s="2">
        <v>1</v>
      </c>
      <c r="E539" s="11" t="s">
        <v>3040</v>
      </c>
      <c r="F539" t="s">
        <v>65</v>
      </c>
      <c r="G539" s="2" t="s">
        <v>31</v>
      </c>
      <c r="H539" s="1">
        <v>15.793999999999999</v>
      </c>
    </row>
    <row r="540" spans="1:8" x14ac:dyDescent="0.3">
      <c r="A540" s="2">
        <v>534</v>
      </c>
      <c r="B540" t="s">
        <v>3222</v>
      </c>
      <c r="C540" t="s">
        <v>0</v>
      </c>
      <c r="D540" s="2">
        <v>1</v>
      </c>
      <c r="E540" s="11" t="s">
        <v>3089</v>
      </c>
      <c r="F540" t="s">
        <v>254</v>
      </c>
      <c r="G540" s="2" t="s">
        <v>4</v>
      </c>
      <c r="H540" s="1">
        <v>195.99400000000003</v>
      </c>
    </row>
    <row r="541" spans="1:8" x14ac:dyDescent="0.3">
      <c r="A541" s="2">
        <v>534</v>
      </c>
      <c r="B541" t="s">
        <v>3041</v>
      </c>
      <c r="C541" t="s">
        <v>3220</v>
      </c>
      <c r="D541" s="2">
        <v>1</v>
      </c>
      <c r="E541" s="11" t="s">
        <v>3040</v>
      </c>
      <c r="F541" t="s">
        <v>62</v>
      </c>
      <c r="G541" s="2" t="s">
        <v>4</v>
      </c>
      <c r="H541" s="1">
        <v>15.793999999999999</v>
      </c>
    </row>
    <row r="542" spans="1:8" x14ac:dyDescent="0.3">
      <c r="A542" s="2">
        <v>534</v>
      </c>
      <c r="B542" t="s">
        <v>3153</v>
      </c>
      <c r="C542" t="s">
        <v>3220</v>
      </c>
      <c r="D542" s="2">
        <v>1</v>
      </c>
      <c r="E542" s="11" t="s">
        <v>3152</v>
      </c>
      <c r="F542" t="s">
        <v>959</v>
      </c>
      <c r="G542" s="2" t="s">
        <v>23</v>
      </c>
      <c r="H542" s="1">
        <v>47.594000000000001</v>
      </c>
    </row>
    <row r="543" spans="1:8" x14ac:dyDescent="0.3">
      <c r="A543" s="2">
        <v>534</v>
      </c>
      <c r="B543" t="s">
        <v>3150</v>
      </c>
      <c r="C543" t="s">
        <v>3</v>
      </c>
      <c r="D543" s="2">
        <v>2</v>
      </c>
      <c r="E543" s="11" t="s">
        <v>3149</v>
      </c>
      <c r="F543" t="s">
        <v>959</v>
      </c>
      <c r="G543" s="2" t="s">
        <v>23</v>
      </c>
      <c r="H543" s="1">
        <v>100.59400000000001</v>
      </c>
    </row>
    <row r="544" spans="1:8" x14ac:dyDescent="0.3">
      <c r="A544" s="2">
        <v>534</v>
      </c>
      <c r="B544" t="s">
        <v>3218</v>
      </c>
      <c r="C544" t="s">
        <v>0</v>
      </c>
      <c r="D544" s="2">
        <v>1</v>
      </c>
      <c r="E544" s="11" t="s">
        <v>2509</v>
      </c>
      <c r="F544" t="s">
        <v>114</v>
      </c>
      <c r="G544" s="2" t="s">
        <v>31</v>
      </c>
      <c r="H544" s="1">
        <v>153.59400000000002</v>
      </c>
    </row>
    <row r="545" spans="1:8" x14ac:dyDescent="0.3">
      <c r="A545" s="2">
        <v>534</v>
      </c>
      <c r="B545" t="s">
        <v>3084</v>
      </c>
      <c r="C545" t="s">
        <v>3219</v>
      </c>
      <c r="D545" s="2">
        <v>1</v>
      </c>
      <c r="E545" s="11" t="s">
        <v>2251</v>
      </c>
      <c r="F545" t="s">
        <v>39</v>
      </c>
      <c r="G545" s="2" t="s">
        <v>31</v>
      </c>
      <c r="H545" s="1">
        <v>169.49400000000003</v>
      </c>
    </row>
    <row r="546" spans="1:8" x14ac:dyDescent="0.3">
      <c r="A546" s="2">
        <v>534</v>
      </c>
      <c r="B546" t="s">
        <v>3025</v>
      </c>
      <c r="C546" t="s">
        <v>3224</v>
      </c>
      <c r="D546" s="2">
        <v>2</v>
      </c>
      <c r="E546" s="11" t="s">
        <v>191</v>
      </c>
      <c r="F546" t="s">
        <v>39</v>
      </c>
      <c r="G546" s="2" t="s">
        <v>4</v>
      </c>
      <c r="H546" s="1">
        <v>63.494000000000007</v>
      </c>
    </row>
    <row r="547" spans="1:8" x14ac:dyDescent="0.3">
      <c r="A547" s="2">
        <v>534</v>
      </c>
      <c r="B547" t="s">
        <v>3214</v>
      </c>
      <c r="C547" t="s">
        <v>0</v>
      </c>
      <c r="D547" s="2">
        <v>1</v>
      </c>
      <c r="E547" s="11" t="s">
        <v>3213</v>
      </c>
      <c r="F547" t="s">
        <v>28</v>
      </c>
      <c r="G547" s="2" t="s">
        <v>31</v>
      </c>
      <c r="H547" s="1">
        <v>153.59400000000002</v>
      </c>
    </row>
    <row r="548" spans="1:8" x14ac:dyDescent="0.3">
      <c r="A548" s="2">
        <v>534</v>
      </c>
      <c r="B548" t="s">
        <v>2941</v>
      </c>
      <c r="C548" t="s">
        <v>3224</v>
      </c>
      <c r="D548" s="2">
        <v>1</v>
      </c>
      <c r="E548" s="11" t="s">
        <v>2563</v>
      </c>
      <c r="F548" t="s">
        <v>28</v>
      </c>
      <c r="G548" s="2" t="s">
        <v>31</v>
      </c>
      <c r="H548" s="1">
        <v>74.094000000000008</v>
      </c>
    </row>
    <row r="549" spans="1:8" x14ac:dyDescent="0.3">
      <c r="A549" s="2">
        <v>535</v>
      </c>
      <c r="B549" t="s">
        <v>3212</v>
      </c>
      <c r="C549" t="s">
        <v>3</v>
      </c>
      <c r="D549" s="2">
        <v>1</v>
      </c>
      <c r="E549" s="11" t="s">
        <v>2417</v>
      </c>
      <c r="F549" t="s">
        <v>65</v>
      </c>
      <c r="G549" s="2" t="s">
        <v>23</v>
      </c>
      <c r="H549" s="1">
        <v>74.094000000000008</v>
      </c>
    </row>
    <row r="550" spans="1:8" x14ac:dyDescent="0.3">
      <c r="A550" s="2">
        <v>535</v>
      </c>
      <c r="B550" t="s">
        <v>2891</v>
      </c>
      <c r="C550" t="s">
        <v>3224</v>
      </c>
      <c r="D550" s="2">
        <v>1</v>
      </c>
      <c r="E550" s="11" t="s">
        <v>2556</v>
      </c>
      <c r="F550" t="s">
        <v>65</v>
      </c>
      <c r="G550" s="2" t="s">
        <v>23</v>
      </c>
      <c r="H550" s="1">
        <v>100.59400000000001</v>
      </c>
    </row>
    <row r="551" spans="1:8" x14ac:dyDescent="0.3">
      <c r="A551" s="2">
        <v>535</v>
      </c>
      <c r="B551" t="s">
        <v>3211</v>
      </c>
      <c r="C551" t="s">
        <v>3220</v>
      </c>
      <c r="D551" s="2">
        <v>1</v>
      </c>
      <c r="E551" s="11" t="s">
        <v>3210</v>
      </c>
      <c r="F551" t="s">
        <v>65</v>
      </c>
      <c r="G551" s="2" t="s">
        <v>23</v>
      </c>
      <c r="H551" s="1">
        <v>21.094000000000001</v>
      </c>
    </row>
    <row r="552" spans="1:8" x14ac:dyDescent="0.3">
      <c r="A552" s="2">
        <v>535</v>
      </c>
      <c r="B552" t="s">
        <v>2956</v>
      </c>
      <c r="C552" t="s">
        <v>3224</v>
      </c>
      <c r="D552" s="2">
        <v>1</v>
      </c>
      <c r="E552" s="11" t="s">
        <v>2945</v>
      </c>
      <c r="F552" t="s">
        <v>65</v>
      </c>
      <c r="G552" s="2" t="s">
        <v>23</v>
      </c>
      <c r="H552" s="1">
        <v>95.294000000000011</v>
      </c>
    </row>
    <row r="553" spans="1:8" x14ac:dyDescent="0.3">
      <c r="A553" s="2">
        <v>535</v>
      </c>
      <c r="B553" t="s">
        <v>3209</v>
      </c>
      <c r="C553" t="s">
        <v>3</v>
      </c>
      <c r="D553" s="2">
        <v>1</v>
      </c>
      <c r="E553" s="11" t="s">
        <v>3038</v>
      </c>
      <c r="F553" t="s">
        <v>65</v>
      </c>
      <c r="G553" s="2" t="s">
        <v>23</v>
      </c>
      <c r="H553" s="1">
        <v>100.59400000000001</v>
      </c>
    </row>
    <row r="554" spans="1:8" x14ac:dyDescent="0.3">
      <c r="A554" s="2">
        <v>535</v>
      </c>
      <c r="B554" t="s">
        <v>3185</v>
      </c>
      <c r="C554" t="s">
        <v>3224</v>
      </c>
      <c r="D554" s="2">
        <v>1</v>
      </c>
      <c r="E554" s="11" t="s">
        <v>3066</v>
      </c>
      <c r="F554" t="s">
        <v>126</v>
      </c>
      <c r="G554" s="2" t="s">
        <v>23</v>
      </c>
      <c r="H554" s="1">
        <v>95.294000000000011</v>
      </c>
    </row>
    <row r="555" spans="1:8" x14ac:dyDescent="0.3">
      <c r="A555" s="2">
        <v>535</v>
      </c>
      <c r="B555" t="s">
        <v>3208</v>
      </c>
      <c r="C555" t="s">
        <v>3219</v>
      </c>
      <c r="D555" s="2">
        <v>1</v>
      </c>
      <c r="E555" s="11" t="s">
        <v>2338</v>
      </c>
      <c r="F555" t="s">
        <v>81</v>
      </c>
      <c r="G555" s="2" t="s">
        <v>23</v>
      </c>
      <c r="H555" s="1">
        <v>153.59400000000002</v>
      </c>
    </row>
    <row r="556" spans="1:8" x14ac:dyDescent="0.3">
      <c r="A556" s="2">
        <v>535</v>
      </c>
      <c r="B556" t="s">
        <v>2668</v>
      </c>
      <c r="C556" t="s">
        <v>3</v>
      </c>
      <c r="D556" s="2">
        <v>1</v>
      </c>
      <c r="E556" s="11" t="s">
        <v>2667</v>
      </c>
      <c r="F556" t="s">
        <v>28</v>
      </c>
      <c r="G556" s="2" t="s">
        <v>23</v>
      </c>
      <c r="H556" s="1">
        <v>121.79400000000001</v>
      </c>
    </row>
    <row r="557" spans="1:8" x14ac:dyDescent="0.3">
      <c r="A557" s="2">
        <v>535</v>
      </c>
      <c r="B557" t="s">
        <v>2985</v>
      </c>
      <c r="C557" t="s">
        <v>3220</v>
      </c>
      <c r="D557" s="2">
        <v>1</v>
      </c>
      <c r="E557" s="11" t="s">
        <v>2816</v>
      </c>
      <c r="F557" t="s">
        <v>28</v>
      </c>
      <c r="G557" s="2" t="s">
        <v>23</v>
      </c>
      <c r="H557" s="1">
        <v>63.494000000000007</v>
      </c>
    </row>
    <row r="558" spans="1:8" x14ac:dyDescent="0.3">
      <c r="A558" s="2">
        <v>535</v>
      </c>
      <c r="B558" t="s">
        <v>3179</v>
      </c>
      <c r="C558" t="s">
        <v>3224</v>
      </c>
      <c r="D558" s="2">
        <v>1</v>
      </c>
      <c r="E558" s="11" t="s">
        <v>3167</v>
      </c>
      <c r="F558" t="s">
        <v>62</v>
      </c>
      <c r="G558" s="2" t="s">
        <v>23</v>
      </c>
      <c r="H558" s="1">
        <v>105.89400000000001</v>
      </c>
    </row>
    <row r="559" spans="1:8" x14ac:dyDescent="0.3">
      <c r="A559" s="2">
        <v>535</v>
      </c>
      <c r="B559" t="s">
        <v>3207</v>
      </c>
      <c r="C559" t="s">
        <v>3224</v>
      </c>
      <c r="D559" s="2">
        <v>1</v>
      </c>
      <c r="E559" s="11" t="s">
        <v>3206</v>
      </c>
      <c r="F559" t="s">
        <v>62</v>
      </c>
      <c r="G559" s="2" t="s">
        <v>23</v>
      </c>
      <c r="H559" s="1">
        <v>84.694000000000017</v>
      </c>
    </row>
    <row r="560" spans="1:8" x14ac:dyDescent="0.3">
      <c r="A560" s="2">
        <v>535</v>
      </c>
      <c r="B560" t="s">
        <v>3205</v>
      </c>
      <c r="C560" t="s">
        <v>3</v>
      </c>
      <c r="D560" s="2">
        <v>1</v>
      </c>
      <c r="E560" s="11" t="s">
        <v>3204</v>
      </c>
      <c r="F560" t="s">
        <v>62</v>
      </c>
      <c r="G560" s="2" t="s">
        <v>23</v>
      </c>
      <c r="H560" s="1">
        <v>74.094000000000008</v>
      </c>
    </row>
    <row r="561" spans="1:8" x14ac:dyDescent="0.3">
      <c r="A561" s="2">
        <v>535</v>
      </c>
      <c r="B561" t="s">
        <v>3203</v>
      </c>
      <c r="C561" t="s">
        <v>3224</v>
      </c>
      <c r="D561" s="2">
        <v>1</v>
      </c>
      <c r="E561" s="11" t="s">
        <v>3173</v>
      </c>
      <c r="F561" t="s">
        <v>62</v>
      </c>
      <c r="G561" s="2" t="s">
        <v>31</v>
      </c>
      <c r="H561" s="1">
        <v>84.694000000000017</v>
      </c>
    </row>
    <row r="562" spans="1:8" x14ac:dyDescent="0.3">
      <c r="A562" s="2">
        <v>535</v>
      </c>
      <c r="B562" t="s">
        <v>3202</v>
      </c>
      <c r="C562" t="s">
        <v>1</v>
      </c>
      <c r="D562" s="2">
        <v>1</v>
      </c>
      <c r="E562" s="11" t="s">
        <v>3099</v>
      </c>
      <c r="F562" t="s">
        <v>62</v>
      </c>
      <c r="G562" s="2" t="s">
        <v>23</v>
      </c>
      <c r="H562" s="1">
        <v>79.394000000000005</v>
      </c>
    </row>
    <row r="563" spans="1:8" x14ac:dyDescent="0.3">
      <c r="A563" s="2">
        <v>535</v>
      </c>
      <c r="B563" t="s">
        <v>2815</v>
      </c>
      <c r="C563" t="s">
        <v>3219</v>
      </c>
      <c r="D563" s="2">
        <v>1</v>
      </c>
      <c r="E563" s="11" t="s">
        <v>2237</v>
      </c>
      <c r="F563" t="s">
        <v>28</v>
      </c>
      <c r="G563" s="2" t="s">
        <v>23</v>
      </c>
      <c r="H563" s="1">
        <v>185.39400000000001</v>
      </c>
    </row>
    <row r="564" spans="1:8" x14ac:dyDescent="0.3">
      <c r="A564" s="2">
        <v>535</v>
      </c>
      <c r="B564" t="s">
        <v>3132</v>
      </c>
      <c r="C564" t="s">
        <v>3220</v>
      </c>
      <c r="D564" s="2">
        <v>1</v>
      </c>
      <c r="E564" s="11" t="s">
        <v>2419</v>
      </c>
      <c r="F564" t="s">
        <v>959</v>
      </c>
      <c r="G564" s="2" t="s">
        <v>23</v>
      </c>
      <c r="H564" s="1">
        <v>47.594000000000001</v>
      </c>
    </row>
    <row r="565" spans="1:8" x14ac:dyDescent="0.3">
      <c r="A565" s="2">
        <v>535</v>
      </c>
      <c r="B565" t="s">
        <v>2558</v>
      </c>
      <c r="C565" t="s">
        <v>3</v>
      </c>
      <c r="D565" s="2">
        <v>1</v>
      </c>
      <c r="E565" s="11" t="s">
        <v>2417</v>
      </c>
      <c r="F565" t="s">
        <v>959</v>
      </c>
      <c r="G565" s="2" t="s">
        <v>23</v>
      </c>
      <c r="H565" s="1">
        <v>74.094000000000008</v>
      </c>
    </row>
    <row r="566" spans="1:8" x14ac:dyDescent="0.3">
      <c r="A566" s="2">
        <v>535</v>
      </c>
      <c r="B566" t="s">
        <v>3032</v>
      </c>
      <c r="C566" t="s">
        <v>3224</v>
      </c>
      <c r="D566" s="2">
        <v>1</v>
      </c>
      <c r="E566" s="11" t="s">
        <v>2556</v>
      </c>
      <c r="F566" t="s">
        <v>959</v>
      </c>
      <c r="G566" s="2" t="s">
        <v>23</v>
      </c>
      <c r="H566" s="1">
        <v>100.59400000000001</v>
      </c>
    </row>
    <row r="567" spans="1:8" x14ac:dyDescent="0.3">
      <c r="A567" s="2">
        <v>535</v>
      </c>
      <c r="B567" t="s">
        <v>3201</v>
      </c>
      <c r="C567" t="s">
        <v>3224</v>
      </c>
      <c r="D567" s="2">
        <v>1</v>
      </c>
      <c r="E567" s="11" t="s">
        <v>3200</v>
      </c>
      <c r="F567" t="s">
        <v>959</v>
      </c>
      <c r="G567" s="2" t="s">
        <v>31</v>
      </c>
      <c r="H567" s="1">
        <v>95.294000000000011</v>
      </c>
    </row>
    <row r="568" spans="1:8" x14ac:dyDescent="0.3">
      <c r="A568" s="2">
        <v>535</v>
      </c>
      <c r="B568" t="s">
        <v>2586</v>
      </c>
      <c r="C568" t="s">
        <v>3224</v>
      </c>
      <c r="D568" s="2">
        <v>1</v>
      </c>
      <c r="E568" s="11" t="s">
        <v>2554</v>
      </c>
      <c r="F568" t="s">
        <v>114</v>
      </c>
      <c r="G568" s="2" t="s">
        <v>23</v>
      </c>
      <c r="H568" s="1">
        <v>74.094000000000008</v>
      </c>
    </row>
    <row r="569" spans="1:8" x14ac:dyDescent="0.3">
      <c r="A569" s="2">
        <v>535</v>
      </c>
      <c r="B569" t="s">
        <v>3067</v>
      </c>
      <c r="C569" t="s">
        <v>3224</v>
      </c>
      <c r="D569" s="2">
        <v>1</v>
      </c>
      <c r="E569" s="11" t="s">
        <v>3066</v>
      </c>
      <c r="F569" t="s">
        <v>114</v>
      </c>
      <c r="G569" s="2" t="s">
        <v>23</v>
      </c>
      <c r="H569" s="1">
        <v>95.294000000000011</v>
      </c>
    </row>
    <row r="570" spans="1:8" x14ac:dyDescent="0.3">
      <c r="A570" s="2">
        <v>535</v>
      </c>
      <c r="B570" t="s">
        <v>3199</v>
      </c>
      <c r="C570" t="s">
        <v>3224</v>
      </c>
      <c r="D570" s="2">
        <v>1</v>
      </c>
      <c r="E570" s="11" t="s">
        <v>3198</v>
      </c>
      <c r="F570" t="s">
        <v>36</v>
      </c>
      <c r="G570" s="2" t="s">
        <v>23</v>
      </c>
      <c r="H570" s="1">
        <v>74.094000000000008</v>
      </c>
    </row>
    <row r="571" spans="1:8" x14ac:dyDescent="0.3">
      <c r="A571" s="2">
        <v>535</v>
      </c>
      <c r="B571" t="s">
        <v>2860</v>
      </c>
      <c r="C571" t="s">
        <v>3219</v>
      </c>
      <c r="D571" s="2">
        <v>1</v>
      </c>
      <c r="E571" s="11" t="s">
        <v>2228</v>
      </c>
      <c r="F571" t="s">
        <v>47</v>
      </c>
      <c r="G571" s="2" t="s">
        <v>23</v>
      </c>
      <c r="H571" s="1">
        <v>137.69400000000002</v>
      </c>
    </row>
    <row r="572" spans="1:8" x14ac:dyDescent="0.3">
      <c r="A572" s="2">
        <v>535</v>
      </c>
      <c r="B572" t="s">
        <v>3197</v>
      </c>
      <c r="C572" t="s">
        <v>3220</v>
      </c>
      <c r="D572" s="2">
        <v>1</v>
      </c>
      <c r="E572" s="11" t="s">
        <v>2816</v>
      </c>
      <c r="F572" t="s">
        <v>47</v>
      </c>
      <c r="G572" s="2" t="s">
        <v>31</v>
      </c>
      <c r="H572" s="1">
        <v>63.494000000000007</v>
      </c>
    </row>
    <row r="573" spans="1:8" x14ac:dyDescent="0.3">
      <c r="A573" s="2">
        <v>535</v>
      </c>
      <c r="B573" t="s">
        <v>3121</v>
      </c>
      <c r="C573" t="s">
        <v>1</v>
      </c>
      <c r="D573" s="2">
        <v>1</v>
      </c>
      <c r="E573" s="11" t="s">
        <v>3120</v>
      </c>
      <c r="F573" t="s">
        <v>47</v>
      </c>
      <c r="G573" s="2" t="s">
        <v>23</v>
      </c>
      <c r="H573" s="1">
        <v>74.094000000000008</v>
      </c>
    </row>
    <row r="574" spans="1:8" x14ac:dyDescent="0.3">
      <c r="A574" s="2">
        <v>535</v>
      </c>
      <c r="B574" t="s">
        <v>3196</v>
      </c>
      <c r="C574" t="s">
        <v>3224</v>
      </c>
      <c r="D574" s="2">
        <v>1</v>
      </c>
      <c r="E574" s="11" t="s">
        <v>3066</v>
      </c>
      <c r="F574" t="s">
        <v>47</v>
      </c>
      <c r="G574" s="2" t="s">
        <v>31</v>
      </c>
      <c r="H574" s="1">
        <v>95.294000000000011</v>
      </c>
    </row>
    <row r="575" spans="1:8" x14ac:dyDescent="0.3">
      <c r="A575" s="2">
        <v>535</v>
      </c>
      <c r="B575" t="s">
        <v>3195</v>
      </c>
      <c r="C575" t="s">
        <v>3219</v>
      </c>
      <c r="D575" s="2">
        <v>1</v>
      </c>
      <c r="E575" s="11" t="s">
        <v>2228</v>
      </c>
      <c r="F575" t="s">
        <v>39</v>
      </c>
      <c r="G575" s="2" t="s">
        <v>23</v>
      </c>
      <c r="H575" s="1">
        <v>137.69400000000002</v>
      </c>
    </row>
    <row r="576" spans="1:8" x14ac:dyDescent="0.3">
      <c r="A576" s="2">
        <v>535</v>
      </c>
      <c r="B576" t="s">
        <v>3162</v>
      </c>
      <c r="C576" t="s">
        <v>3224</v>
      </c>
      <c r="D576" s="2">
        <v>1</v>
      </c>
      <c r="E576" s="11" t="s">
        <v>2945</v>
      </c>
      <c r="F576" t="s">
        <v>39</v>
      </c>
      <c r="G576" s="2" t="s">
        <v>23</v>
      </c>
      <c r="H576" s="1">
        <v>95.294000000000011</v>
      </c>
    </row>
    <row r="577" spans="1:8" x14ac:dyDescent="0.3">
      <c r="A577" s="2">
        <v>535</v>
      </c>
      <c r="B577" t="s">
        <v>3194</v>
      </c>
      <c r="C577" t="s">
        <v>1</v>
      </c>
      <c r="D577" s="2">
        <v>1</v>
      </c>
      <c r="E577" s="11" t="s">
        <v>279</v>
      </c>
      <c r="F577" t="s">
        <v>39</v>
      </c>
      <c r="G577" s="2" t="s">
        <v>23</v>
      </c>
      <c r="H577" s="1">
        <v>47.594000000000001</v>
      </c>
    </row>
    <row r="578" spans="1:8" x14ac:dyDescent="0.3">
      <c r="A578" s="2">
        <v>535</v>
      </c>
      <c r="B578" t="s">
        <v>3193</v>
      </c>
      <c r="C578" t="s">
        <v>3224</v>
      </c>
      <c r="D578" s="2">
        <v>1</v>
      </c>
      <c r="E578" s="11" t="s">
        <v>2865</v>
      </c>
      <c r="F578" t="s">
        <v>28</v>
      </c>
      <c r="G578" s="2" t="s">
        <v>23</v>
      </c>
      <c r="H578" s="1">
        <v>84.694000000000017</v>
      </c>
    </row>
    <row r="579" spans="1:8" x14ac:dyDescent="0.3">
      <c r="A579" s="2">
        <v>536</v>
      </c>
      <c r="B579" t="s">
        <v>3026</v>
      </c>
      <c r="C579" t="s">
        <v>3219</v>
      </c>
      <c r="D579" s="2">
        <v>1</v>
      </c>
      <c r="E579" s="11" t="s">
        <v>2251</v>
      </c>
      <c r="F579" t="s">
        <v>39</v>
      </c>
      <c r="G579" s="2" t="s">
        <v>4</v>
      </c>
      <c r="H579" s="1">
        <v>169.49400000000003</v>
      </c>
    </row>
    <row r="580" spans="1:8" x14ac:dyDescent="0.3">
      <c r="A580" s="2">
        <v>536</v>
      </c>
      <c r="B580" t="s">
        <v>3025</v>
      </c>
      <c r="C580" t="s">
        <v>3224</v>
      </c>
      <c r="D580" s="2">
        <v>1</v>
      </c>
      <c r="E580" s="11" t="s">
        <v>191</v>
      </c>
      <c r="F580" t="s">
        <v>39</v>
      </c>
      <c r="G580" s="2" t="s">
        <v>4</v>
      </c>
      <c r="H580" s="1">
        <v>63.494000000000007</v>
      </c>
    </row>
    <row r="581" spans="1:8" x14ac:dyDescent="0.3">
      <c r="A581" s="2">
        <v>536</v>
      </c>
      <c r="B581" t="s">
        <v>3119</v>
      </c>
      <c r="C581" t="s">
        <v>3225</v>
      </c>
      <c r="D581" s="2">
        <v>1</v>
      </c>
      <c r="E581" s="11" t="s">
        <v>2511</v>
      </c>
      <c r="F581" t="s">
        <v>28</v>
      </c>
      <c r="G581" s="2" t="s">
        <v>31</v>
      </c>
      <c r="H581" s="1">
        <v>164.19400000000002</v>
      </c>
    </row>
    <row r="582" spans="1:8" x14ac:dyDescent="0.3">
      <c r="A582" s="2">
        <v>536</v>
      </c>
      <c r="B582" t="s">
        <v>3192</v>
      </c>
      <c r="C582" t="s">
        <v>3225</v>
      </c>
      <c r="D582" s="2">
        <v>2</v>
      </c>
      <c r="E582" s="11" t="s">
        <v>2511</v>
      </c>
      <c r="F582" t="s">
        <v>28</v>
      </c>
      <c r="G582" s="2" t="s">
        <v>23</v>
      </c>
      <c r="H582" s="1">
        <v>164.19400000000002</v>
      </c>
    </row>
    <row r="583" spans="1:8" x14ac:dyDescent="0.3">
      <c r="A583" s="2">
        <v>537</v>
      </c>
      <c r="B583" t="s">
        <v>1130</v>
      </c>
      <c r="C583" t="s">
        <v>3219</v>
      </c>
      <c r="D583" s="2">
        <v>1</v>
      </c>
      <c r="E583" s="11" t="s">
        <v>673</v>
      </c>
      <c r="F583" t="s">
        <v>55</v>
      </c>
      <c r="G583" s="2" t="s">
        <v>31</v>
      </c>
      <c r="H583" s="1">
        <v>89.994000000000014</v>
      </c>
    </row>
    <row r="584" spans="1:8" x14ac:dyDescent="0.3">
      <c r="A584" s="2">
        <v>537</v>
      </c>
      <c r="B584" t="s">
        <v>3191</v>
      </c>
      <c r="C584" t="s">
        <v>2</v>
      </c>
      <c r="D584" s="2">
        <v>1</v>
      </c>
      <c r="E584" s="11" t="s">
        <v>3190</v>
      </c>
      <c r="F584" t="s">
        <v>55</v>
      </c>
      <c r="G584" s="2" t="s">
        <v>23</v>
      </c>
      <c r="H584" s="1">
        <v>36.994</v>
      </c>
    </row>
    <row r="585" spans="1:8" x14ac:dyDescent="0.3">
      <c r="A585" s="2">
        <v>537</v>
      </c>
      <c r="B585" t="s">
        <v>369</v>
      </c>
      <c r="C585" t="s">
        <v>3219</v>
      </c>
      <c r="D585" s="2">
        <v>1</v>
      </c>
      <c r="E585" s="11" t="s">
        <v>102</v>
      </c>
      <c r="F585" t="s">
        <v>65</v>
      </c>
      <c r="G585" s="2" t="s">
        <v>31</v>
      </c>
      <c r="H585" s="1">
        <v>121.79400000000001</v>
      </c>
    </row>
    <row r="586" spans="1:8" x14ac:dyDescent="0.3">
      <c r="A586" s="2">
        <v>537</v>
      </c>
      <c r="B586" t="s">
        <v>3189</v>
      </c>
      <c r="C586" t="s">
        <v>3220</v>
      </c>
      <c r="D586" s="2">
        <v>1</v>
      </c>
      <c r="E586" s="11" t="s">
        <v>3040</v>
      </c>
      <c r="F586" t="s">
        <v>65</v>
      </c>
      <c r="G586" s="2" t="s">
        <v>31</v>
      </c>
      <c r="H586" s="1">
        <v>15.793999999999999</v>
      </c>
    </row>
    <row r="587" spans="1:8" x14ac:dyDescent="0.3">
      <c r="A587" s="2">
        <v>537</v>
      </c>
      <c r="B587" t="s">
        <v>3188</v>
      </c>
      <c r="C587" t="s">
        <v>1</v>
      </c>
      <c r="D587" s="2">
        <v>1</v>
      </c>
      <c r="E587" s="11" t="s">
        <v>3099</v>
      </c>
      <c r="F587" t="s">
        <v>65</v>
      </c>
      <c r="G587" s="2" t="s">
        <v>4</v>
      </c>
      <c r="H587" s="1">
        <v>79.394000000000005</v>
      </c>
    </row>
    <row r="588" spans="1:8" x14ac:dyDescent="0.3">
      <c r="A588" s="2">
        <v>537</v>
      </c>
      <c r="B588" t="s">
        <v>3187</v>
      </c>
      <c r="C588" t="s">
        <v>3365</v>
      </c>
      <c r="D588" s="2">
        <v>1</v>
      </c>
      <c r="E588" s="11" t="s">
        <v>3177</v>
      </c>
      <c r="F588" t="s">
        <v>114</v>
      </c>
      <c r="G588" s="2" t="s">
        <v>23</v>
      </c>
      <c r="H588" s="1">
        <v>148.29400000000001</v>
      </c>
    </row>
    <row r="589" spans="1:8" x14ac:dyDescent="0.3">
      <c r="A589" s="2">
        <v>537</v>
      </c>
      <c r="B589" t="s">
        <v>3186</v>
      </c>
      <c r="C589" t="s">
        <v>2</v>
      </c>
      <c r="D589" s="2">
        <v>1</v>
      </c>
      <c r="E589" s="11" t="s">
        <v>3182</v>
      </c>
      <c r="F589" t="s">
        <v>126</v>
      </c>
      <c r="G589" s="2" t="s">
        <v>23</v>
      </c>
      <c r="H589" s="1">
        <v>100.59400000000001</v>
      </c>
    </row>
    <row r="590" spans="1:8" x14ac:dyDescent="0.3">
      <c r="A590" s="2">
        <v>537</v>
      </c>
      <c r="B590" t="s">
        <v>2564</v>
      </c>
      <c r="C590" t="s">
        <v>3224</v>
      </c>
      <c r="D590" s="2">
        <v>1</v>
      </c>
      <c r="E590" s="11" t="s">
        <v>2563</v>
      </c>
      <c r="F590" t="s">
        <v>126</v>
      </c>
      <c r="G590" s="2" t="s">
        <v>23</v>
      </c>
      <c r="H590" s="1">
        <v>74.094000000000008</v>
      </c>
    </row>
    <row r="591" spans="1:8" x14ac:dyDescent="0.3">
      <c r="A591" s="2">
        <v>537</v>
      </c>
      <c r="B591" t="s">
        <v>3185</v>
      </c>
      <c r="C591" t="s">
        <v>3224</v>
      </c>
      <c r="D591" s="2">
        <v>1</v>
      </c>
      <c r="E591" s="11" t="s">
        <v>3066</v>
      </c>
      <c r="F591" t="s">
        <v>126</v>
      </c>
      <c r="G591" s="2" t="s">
        <v>23</v>
      </c>
      <c r="H591" s="1">
        <v>95.294000000000011</v>
      </c>
    </row>
    <row r="592" spans="1:8" x14ac:dyDescent="0.3">
      <c r="A592" s="2">
        <v>537</v>
      </c>
      <c r="B592" t="s">
        <v>2734</v>
      </c>
      <c r="C592" t="s">
        <v>3220</v>
      </c>
      <c r="D592" s="2">
        <v>1</v>
      </c>
      <c r="E592" s="11" t="s">
        <v>2419</v>
      </c>
      <c r="F592" t="s">
        <v>126</v>
      </c>
      <c r="G592" s="2" t="s">
        <v>31</v>
      </c>
      <c r="H592" s="1">
        <v>47.594000000000001</v>
      </c>
    </row>
    <row r="593" spans="1:8" x14ac:dyDescent="0.3">
      <c r="A593" s="2">
        <v>537</v>
      </c>
      <c r="B593" t="s">
        <v>3184</v>
      </c>
      <c r="C593" t="s">
        <v>3219</v>
      </c>
      <c r="D593" s="2">
        <v>1</v>
      </c>
      <c r="E593" s="11" t="s">
        <v>673</v>
      </c>
      <c r="F593" t="s">
        <v>81</v>
      </c>
      <c r="G593" s="2" t="s">
        <v>23</v>
      </c>
      <c r="H593" s="1">
        <v>89.994000000000014</v>
      </c>
    </row>
    <row r="594" spans="1:8" x14ac:dyDescent="0.3">
      <c r="A594" s="2">
        <v>537</v>
      </c>
      <c r="B594" t="s">
        <v>3183</v>
      </c>
      <c r="C594" t="s">
        <v>2</v>
      </c>
      <c r="D594" s="2">
        <v>1</v>
      </c>
      <c r="E594" s="11" t="s">
        <v>3182</v>
      </c>
      <c r="F594" t="s">
        <v>81</v>
      </c>
      <c r="G594" s="2" t="s">
        <v>23</v>
      </c>
      <c r="H594" s="1">
        <v>100.59400000000001</v>
      </c>
    </row>
    <row r="595" spans="1:8" x14ac:dyDescent="0.3">
      <c r="A595" s="2">
        <v>537</v>
      </c>
      <c r="B595" t="s">
        <v>3181</v>
      </c>
      <c r="C595" t="s">
        <v>3219</v>
      </c>
      <c r="D595" s="2">
        <v>1</v>
      </c>
      <c r="E595" s="11" t="s">
        <v>3164</v>
      </c>
      <c r="F595" t="s">
        <v>28</v>
      </c>
      <c r="G595" s="2" t="s">
        <v>23</v>
      </c>
      <c r="H595" s="1">
        <v>142.994</v>
      </c>
    </row>
    <row r="596" spans="1:8" x14ac:dyDescent="0.3">
      <c r="A596" s="2">
        <v>537</v>
      </c>
      <c r="B596" t="s">
        <v>3180</v>
      </c>
      <c r="C596" t="s">
        <v>3224</v>
      </c>
      <c r="D596" s="2">
        <v>1</v>
      </c>
      <c r="E596" s="11" t="s">
        <v>2945</v>
      </c>
      <c r="F596" t="s">
        <v>28</v>
      </c>
      <c r="G596" s="2" t="s">
        <v>23</v>
      </c>
      <c r="H596" s="1">
        <v>95.294000000000011</v>
      </c>
    </row>
    <row r="597" spans="1:8" x14ac:dyDescent="0.3">
      <c r="A597" s="2">
        <v>537</v>
      </c>
      <c r="B597" t="s">
        <v>3179</v>
      </c>
      <c r="C597" t="s">
        <v>3224</v>
      </c>
      <c r="D597" s="2">
        <v>1</v>
      </c>
      <c r="E597" s="11" t="s">
        <v>3167</v>
      </c>
      <c r="F597" t="s">
        <v>62</v>
      </c>
      <c r="G597" s="2" t="s">
        <v>23</v>
      </c>
      <c r="H597" s="1">
        <v>105.89400000000001</v>
      </c>
    </row>
    <row r="598" spans="1:8" x14ac:dyDescent="0.3">
      <c r="A598" s="2">
        <v>537</v>
      </c>
      <c r="B598" t="s">
        <v>3178</v>
      </c>
      <c r="C598" t="s">
        <v>3365</v>
      </c>
      <c r="D598" s="2">
        <v>1</v>
      </c>
      <c r="E598" s="11" t="s">
        <v>3177</v>
      </c>
      <c r="F598" t="s">
        <v>62</v>
      </c>
      <c r="G598" s="2" t="s">
        <v>31</v>
      </c>
      <c r="H598" s="1">
        <v>148.29400000000001</v>
      </c>
    </row>
    <row r="599" spans="1:8" x14ac:dyDescent="0.3">
      <c r="A599" s="2">
        <v>537</v>
      </c>
      <c r="B599" t="s">
        <v>3176</v>
      </c>
      <c r="C599" t="s">
        <v>3220</v>
      </c>
      <c r="D599" s="2">
        <v>1</v>
      </c>
      <c r="E599" s="11" t="s">
        <v>3040</v>
      </c>
      <c r="F599" t="s">
        <v>62</v>
      </c>
      <c r="G599" s="2" t="s">
        <v>23</v>
      </c>
      <c r="H599" s="1">
        <v>15.793999999999999</v>
      </c>
    </row>
    <row r="600" spans="1:8" x14ac:dyDescent="0.3">
      <c r="A600" s="2">
        <v>537</v>
      </c>
      <c r="B600" t="s">
        <v>3100</v>
      </c>
      <c r="C600" t="s">
        <v>1</v>
      </c>
      <c r="D600" s="2">
        <v>1</v>
      </c>
      <c r="E600" s="11" t="s">
        <v>3099</v>
      </c>
      <c r="F600" t="s">
        <v>62</v>
      </c>
      <c r="G600" s="2" t="s">
        <v>203</v>
      </c>
      <c r="H600" s="1">
        <v>79.394000000000005</v>
      </c>
    </row>
    <row r="601" spans="1:8" x14ac:dyDescent="0.3">
      <c r="A601" s="2">
        <v>537</v>
      </c>
      <c r="B601" t="s">
        <v>3175</v>
      </c>
      <c r="C601" t="s">
        <v>1</v>
      </c>
      <c r="D601" s="2">
        <v>1</v>
      </c>
      <c r="E601" s="11" t="s">
        <v>3099</v>
      </c>
      <c r="F601" t="s">
        <v>62</v>
      </c>
      <c r="G601" s="2" t="s">
        <v>31</v>
      </c>
      <c r="H601" s="1">
        <v>79.394000000000005</v>
      </c>
    </row>
    <row r="602" spans="1:8" x14ac:dyDescent="0.3">
      <c r="A602" s="2">
        <v>537</v>
      </c>
      <c r="B602" t="s">
        <v>3174</v>
      </c>
      <c r="C602" t="s">
        <v>3224</v>
      </c>
      <c r="D602" s="2">
        <v>2</v>
      </c>
      <c r="E602" s="11" t="s">
        <v>3173</v>
      </c>
      <c r="F602" t="s">
        <v>55</v>
      </c>
      <c r="G602" s="2" t="s">
        <v>23</v>
      </c>
      <c r="H602" s="1">
        <v>84.694000000000017</v>
      </c>
    </row>
    <row r="603" spans="1:8" x14ac:dyDescent="0.3">
      <c r="A603" s="2">
        <v>537</v>
      </c>
      <c r="B603" t="s">
        <v>3172</v>
      </c>
      <c r="C603" t="s">
        <v>3219</v>
      </c>
      <c r="D603" s="2">
        <v>1</v>
      </c>
      <c r="E603" s="11" t="s">
        <v>673</v>
      </c>
      <c r="F603" t="s">
        <v>241</v>
      </c>
      <c r="G603" s="2" t="s">
        <v>203</v>
      </c>
      <c r="H603" s="1">
        <v>89.994000000000014</v>
      </c>
    </row>
    <row r="604" spans="1:8" x14ac:dyDescent="0.3">
      <c r="A604" s="2">
        <v>537</v>
      </c>
      <c r="B604" t="s">
        <v>3171</v>
      </c>
      <c r="C604" t="s">
        <v>3224</v>
      </c>
      <c r="D604" s="2">
        <v>1</v>
      </c>
      <c r="E604" s="11" t="s">
        <v>3170</v>
      </c>
      <c r="F604" t="s">
        <v>28</v>
      </c>
      <c r="G604" s="2" t="s">
        <v>23</v>
      </c>
      <c r="H604" s="1">
        <v>105.89400000000001</v>
      </c>
    </row>
    <row r="605" spans="1:8" x14ac:dyDescent="0.3">
      <c r="A605" s="2">
        <v>537</v>
      </c>
      <c r="B605" t="s">
        <v>3169</v>
      </c>
      <c r="C605" t="s">
        <v>3219</v>
      </c>
      <c r="D605" s="2">
        <v>1</v>
      </c>
      <c r="E605" s="11" t="s">
        <v>673</v>
      </c>
      <c r="F605" t="s">
        <v>28</v>
      </c>
      <c r="G605" s="2" t="s">
        <v>4</v>
      </c>
      <c r="H605" s="1">
        <v>89.994000000000014</v>
      </c>
    </row>
    <row r="606" spans="1:8" x14ac:dyDescent="0.3">
      <c r="A606" s="2">
        <v>537</v>
      </c>
      <c r="B606" t="s">
        <v>3132</v>
      </c>
      <c r="C606" t="s">
        <v>3220</v>
      </c>
      <c r="D606" s="2">
        <v>1</v>
      </c>
      <c r="E606" s="11" t="s">
        <v>2419</v>
      </c>
      <c r="F606" t="s">
        <v>959</v>
      </c>
      <c r="G606" s="2" t="s">
        <v>23</v>
      </c>
      <c r="H606" s="1">
        <v>47.594000000000001</v>
      </c>
    </row>
    <row r="607" spans="1:8" x14ac:dyDescent="0.3">
      <c r="A607" s="2">
        <v>537</v>
      </c>
      <c r="B607" t="s">
        <v>3131</v>
      </c>
      <c r="C607" t="s">
        <v>3219</v>
      </c>
      <c r="D607" s="2">
        <v>1</v>
      </c>
      <c r="E607" s="11" t="s">
        <v>102</v>
      </c>
      <c r="F607" t="s">
        <v>114</v>
      </c>
      <c r="G607" s="2" t="s">
        <v>23</v>
      </c>
      <c r="H607" s="1">
        <v>121.79400000000001</v>
      </c>
    </row>
    <row r="608" spans="1:8" x14ac:dyDescent="0.3">
      <c r="A608" s="2">
        <v>537</v>
      </c>
      <c r="B608" t="s">
        <v>3168</v>
      </c>
      <c r="C608" t="s">
        <v>3224</v>
      </c>
      <c r="D608" s="2">
        <v>1</v>
      </c>
      <c r="E608" s="11" t="s">
        <v>3167</v>
      </c>
      <c r="F608" t="s">
        <v>114</v>
      </c>
      <c r="G608" s="2" t="s">
        <v>23</v>
      </c>
      <c r="H608" s="1">
        <v>105.89400000000001</v>
      </c>
    </row>
    <row r="609" spans="1:8" x14ac:dyDescent="0.3">
      <c r="A609" s="2">
        <v>537</v>
      </c>
      <c r="B609" t="s">
        <v>2022</v>
      </c>
      <c r="C609" t="s">
        <v>3219</v>
      </c>
      <c r="D609" s="2">
        <v>1</v>
      </c>
      <c r="E609" s="11" t="s">
        <v>102</v>
      </c>
      <c r="F609" t="s">
        <v>2021</v>
      </c>
      <c r="G609" s="2" t="s">
        <v>23</v>
      </c>
      <c r="H609" s="1">
        <v>121.79400000000001</v>
      </c>
    </row>
    <row r="610" spans="1:8" x14ac:dyDescent="0.3">
      <c r="A610" s="2">
        <v>537</v>
      </c>
      <c r="B610" t="s">
        <v>3166</v>
      </c>
      <c r="C610" t="s">
        <v>3224</v>
      </c>
      <c r="D610" s="2">
        <v>1</v>
      </c>
      <c r="E610" s="11" t="s">
        <v>3066</v>
      </c>
      <c r="F610" t="s">
        <v>47</v>
      </c>
      <c r="G610" s="2" t="s">
        <v>23</v>
      </c>
      <c r="H610" s="1">
        <v>95.294000000000011</v>
      </c>
    </row>
    <row r="611" spans="1:8" x14ac:dyDescent="0.3">
      <c r="A611" s="2">
        <v>537</v>
      </c>
      <c r="B611" t="s">
        <v>2859</v>
      </c>
      <c r="C611" t="s">
        <v>3219</v>
      </c>
      <c r="D611" s="2">
        <v>1</v>
      </c>
      <c r="E611" s="11" t="s">
        <v>2251</v>
      </c>
      <c r="F611" t="s">
        <v>47</v>
      </c>
      <c r="G611" s="2" t="s">
        <v>23</v>
      </c>
      <c r="H611" s="1">
        <v>169.49400000000003</v>
      </c>
    </row>
    <row r="612" spans="1:8" x14ac:dyDescent="0.3">
      <c r="A612" s="2">
        <v>537</v>
      </c>
      <c r="B612" t="s">
        <v>3165</v>
      </c>
      <c r="C612" t="s">
        <v>3219</v>
      </c>
      <c r="D612" s="2">
        <v>1</v>
      </c>
      <c r="E612" s="11" t="s">
        <v>3164</v>
      </c>
      <c r="F612" t="s">
        <v>39</v>
      </c>
      <c r="G612" s="2" t="s">
        <v>23</v>
      </c>
      <c r="H612" s="1">
        <v>142.994</v>
      </c>
    </row>
    <row r="613" spans="1:8" x14ac:dyDescent="0.3">
      <c r="A613" s="2">
        <v>537</v>
      </c>
      <c r="B613" t="s">
        <v>3053</v>
      </c>
      <c r="C613" t="s">
        <v>3219</v>
      </c>
      <c r="D613" s="2">
        <v>1</v>
      </c>
      <c r="E613" s="11" t="s">
        <v>2123</v>
      </c>
      <c r="F613" t="s">
        <v>39</v>
      </c>
      <c r="G613" s="2" t="s">
        <v>23</v>
      </c>
      <c r="H613" s="1">
        <v>142.994</v>
      </c>
    </row>
    <row r="614" spans="1:8" x14ac:dyDescent="0.3">
      <c r="A614" s="2">
        <v>537</v>
      </c>
      <c r="B614" t="s">
        <v>3163</v>
      </c>
      <c r="C614" t="s">
        <v>3217</v>
      </c>
      <c r="D614" s="2">
        <v>1</v>
      </c>
      <c r="E614" s="11" t="s">
        <v>3072</v>
      </c>
      <c r="F614" t="s">
        <v>39</v>
      </c>
      <c r="G614" s="2" t="s">
        <v>31</v>
      </c>
      <c r="H614" s="1">
        <v>79.394000000000005</v>
      </c>
    </row>
    <row r="615" spans="1:8" x14ac:dyDescent="0.3">
      <c r="A615" s="2">
        <v>537</v>
      </c>
      <c r="B615" t="s">
        <v>3162</v>
      </c>
      <c r="C615" t="s">
        <v>3224</v>
      </c>
      <c r="D615" s="2">
        <v>1</v>
      </c>
      <c r="E615" s="11" t="s">
        <v>2945</v>
      </c>
      <c r="F615" t="s">
        <v>39</v>
      </c>
      <c r="G615" s="2" t="s">
        <v>23</v>
      </c>
      <c r="H615" s="1">
        <v>95.294000000000011</v>
      </c>
    </row>
    <row r="616" spans="1:8" x14ac:dyDescent="0.3">
      <c r="A616" s="2">
        <v>537</v>
      </c>
      <c r="B616" t="s">
        <v>3161</v>
      </c>
      <c r="C616" t="s">
        <v>3219</v>
      </c>
      <c r="D616" s="2">
        <v>1</v>
      </c>
      <c r="E616" s="11" t="s">
        <v>2251</v>
      </c>
      <c r="F616" t="s">
        <v>39</v>
      </c>
      <c r="G616" s="2" t="s">
        <v>23</v>
      </c>
      <c r="H616" s="1">
        <v>169.49400000000003</v>
      </c>
    </row>
    <row r="617" spans="1:8" x14ac:dyDescent="0.3">
      <c r="A617" s="2">
        <v>538</v>
      </c>
      <c r="B617" t="s">
        <v>3160</v>
      </c>
      <c r="C617" t="s">
        <v>3220</v>
      </c>
      <c r="D617" s="2">
        <v>1</v>
      </c>
      <c r="E617" s="11" t="s">
        <v>3152</v>
      </c>
      <c r="F617" t="s">
        <v>55</v>
      </c>
      <c r="G617" s="2" t="s">
        <v>31</v>
      </c>
      <c r="H617" s="1">
        <v>47.594000000000001</v>
      </c>
    </row>
    <row r="618" spans="1:8" x14ac:dyDescent="0.3">
      <c r="A618" s="2">
        <v>538</v>
      </c>
      <c r="B618" t="s">
        <v>3159</v>
      </c>
      <c r="C618" t="s">
        <v>3220</v>
      </c>
      <c r="D618" s="2">
        <v>1</v>
      </c>
      <c r="E618" s="11" t="s">
        <v>3152</v>
      </c>
      <c r="F618" t="s">
        <v>55</v>
      </c>
      <c r="G618" s="2" t="s">
        <v>23</v>
      </c>
      <c r="H618" s="1">
        <v>47.594000000000001</v>
      </c>
    </row>
    <row r="619" spans="1:8" x14ac:dyDescent="0.3">
      <c r="A619" s="2">
        <v>538</v>
      </c>
      <c r="B619" t="s">
        <v>3158</v>
      </c>
      <c r="C619" t="s">
        <v>3</v>
      </c>
      <c r="D619" s="2">
        <v>1</v>
      </c>
      <c r="E619" s="11" t="s">
        <v>3149</v>
      </c>
      <c r="F619" t="s">
        <v>55</v>
      </c>
      <c r="G619" s="2" t="s">
        <v>31</v>
      </c>
      <c r="H619" s="1">
        <v>100.59400000000001</v>
      </c>
    </row>
    <row r="620" spans="1:8" x14ac:dyDescent="0.3">
      <c r="A620" s="2">
        <v>538</v>
      </c>
      <c r="B620" t="s">
        <v>3157</v>
      </c>
      <c r="C620" t="s">
        <v>3</v>
      </c>
      <c r="D620" s="2">
        <v>1</v>
      </c>
      <c r="E620" s="11" t="s">
        <v>3149</v>
      </c>
      <c r="F620" t="s">
        <v>55</v>
      </c>
      <c r="G620" s="2" t="s">
        <v>23</v>
      </c>
      <c r="H620" s="1">
        <v>100.59400000000001</v>
      </c>
    </row>
    <row r="621" spans="1:8" x14ac:dyDescent="0.3">
      <c r="A621" s="2">
        <v>538</v>
      </c>
      <c r="B621" t="s">
        <v>3156</v>
      </c>
      <c r="C621" t="s">
        <v>3</v>
      </c>
      <c r="D621" s="2">
        <v>1</v>
      </c>
      <c r="E621" s="11" t="s">
        <v>3155</v>
      </c>
      <c r="F621" t="s">
        <v>62</v>
      </c>
      <c r="G621" s="2" t="s">
        <v>23</v>
      </c>
      <c r="H621" s="1">
        <v>68.794000000000011</v>
      </c>
    </row>
    <row r="622" spans="1:8" x14ac:dyDescent="0.3">
      <c r="A622" s="2">
        <v>538</v>
      </c>
      <c r="B622" t="s">
        <v>3154</v>
      </c>
      <c r="C622" t="s">
        <v>3220</v>
      </c>
      <c r="D622" s="2">
        <v>1</v>
      </c>
      <c r="E622" s="11" t="s">
        <v>3152</v>
      </c>
      <c r="F622" t="s">
        <v>959</v>
      </c>
      <c r="G622" s="2" t="s">
        <v>31</v>
      </c>
      <c r="H622" s="1">
        <v>47.594000000000001</v>
      </c>
    </row>
    <row r="623" spans="1:8" x14ac:dyDescent="0.3">
      <c r="A623" s="2">
        <v>538</v>
      </c>
      <c r="B623" t="s">
        <v>3153</v>
      </c>
      <c r="C623" t="s">
        <v>3220</v>
      </c>
      <c r="D623" s="2">
        <v>1</v>
      </c>
      <c r="E623" s="11" t="s">
        <v>3152</v>
      </c>
      <c r="F623" t="s">
        <v>959</v>
      </c>
      <c r="G623" s="2" t="s">
        <v>23</v>
      </c>
      <c r="H623" s="1">
        <v>47.594000000000001</v>
      </c>
    </row>
    <row r="624" spans="1:8" x14ac:dyDescent="0.3">
      <c r="A624" s="2">
        <v>538</v>
      </c>
      <c r="B624" t="s">
        <v>3151</v>
      </c>
      <c r="C624" t="s">
        <v>3</v>
      </c>
      <c r="D624" s="2">
        <v>1</v>
      </c>
      <c r="E624" s="11" t="s">
        <v>3149</v>
      </c>
      <c r="F624" t="s">
        <v>959</v>
      </c>
      <c r="G624" s="2" t="s">
        <v>31</v>
      </c>
      <c r="H624" s="1">
        <v>100.59400000000001</v>
      </c>
    </row>
    <row r="625" spans="1:8" x14ac:dyDescent="0.3">
      <c r="A625" s="2">
        <v>538</v>
      </c>
      <c r="B625" t="s">
        <v>3150</v>
      </c>
      <c r="C625" t="s">
        <v>3</v>
      </c>
      <c r="D625" s="2">
        <v>1</v>
      </c>
      <c r="E625" s="11" t="s">
        <v>3149</v>
      </c>
      <c r="F625" t="s">
        <v>959</v>
      </c>
      <c r="G625" s="2" t="s">
        <v>23</v>
      </c>
      <c r="H625" s="1">
        <v>100.59400000000001</v>
      </c>
    </row>
    <row r="626" spans="1:8" x14ac:dyDescent="0.3">
      <c r="A626" s="2">
        <v>538</v>
      </c>
      <c r="B626" t="s">
        <v>3148</v>
      </c>
      <c r="C626" t="s">
        <v>3219</v>
      </c>
      <c r="D626" s="2">
        <v>1</v>
      </c>
      <c r="E626" s="11" t="s">
        <v>977</v>
      </c>
      <c r="F626" t="s">
        <v>47</v>
      </c>
      <c r="G626" s="2" t="s">
        <v>23</v>
      </c>
      <c r="H626" s="1">
        <v>116.49400000000001</v>
      </c>
    </row>
    <row r="627" spans="1:8" x14ac:dyDescent="0.3">
      <c r="A627" s="2">
        <v>538</v>
      </c>
      <c r="B627" t="s">
        <v>3147</v>
      </c>
      <c r="C627" t="s">
        <v>3225</v>
      </c>
      <c r="D627" s="2">
        <v>1</v>
      </c>
      <c r="E627" s="11" t="s">
        <v>2511</v>
      </c>
      <c r="F627" t="s">
        <v>39</v>
      </c>
      <c r="G627" s="2" t="s">
        <v>23</v>
      </c>
      <c r="H627" s="1">
        <v>164.19400000000002</v>
      </c>
    </row>
    <row r="628" spans="1:8" x14ac:dyDescent="0.3">
      <c r="A628" s="2">
        <v>538</v>
      </c>
      <c r="B628" t="s">
        <v>3146</v>
      </c>
      <c r="C628" t="s">
        <v>3219</v>
      </c>
      <c r="D628" s="2">
        <v>1</v>
      </c>
      <c r="E628" s="11" t="s">
        <v>102</v>
      </c>
      <c r="F628" t="s">
        <v>28</v>
      </c>
      <c r="G628" s="2" t="s">
        <v>4</v>
      </c>
      <c r="H628" s="1">
        <v>121.79400000000001</v>
      </c>
    </row>
    <row r="629" spans="1:8" x14ac:dyDescent="0.3">
      <c r="A629" s="2">
        <v>538</v>
      </c>
      <c r="B629" t="s">
        <v>3145</v>
      </c>
      <c r="C629" t="s">
        <v>3219</v>
      </c>
      <c r="D629" s="2">
        <v>1</v>
      </c>
      <c r="E629" s="11" t="s">
        <v>102</v>
      </c>
      <c r="F629" t="s">
        <v>28</v>
      </c>
      <c r="G629" s="2" t="s">
        <v>31</v>
      </c>
      <c r="H629" s="1">
        <v>121.79400000000001</v>
      </c>
    </row>
    <row r="630" spans="1:8" x14ac:dyDescent="0.3">
      <c r="A630" s="2">
        <v>539</v>
      </c>
      <c r="B630" t="s">
        <v>3144</v>
      </c>
      <c r="C630" t="s">
        <v>0</v>
      </c>
      <c r="D630" s="2">
        <v>1</v>
      </c>
      <c r="E630" s="11" t="s">
        <v>3143</v>
      </c>
      <c r="F630" t="s">
        <v>65</v>
      </c>
      <c r="G630" s="2" t="s">
        <v>4</v>
      </c>
      <c r="H630" s="1">
        <v>111.19400000000002</v>
      </c>
    </row>
    <row r="631" spans="1:8" x14ac:dyDescent="0.3">
      <c r="A631" s="2">
        <v>539</v>
      </c>
      <c r="B631" t="s">
        <v>3142</v>
      </c>
      <c r="C631" t="s">
        <v>3224</v>
      </c>
      <c r="D631" s="2">
        <v>1</v>
      </c>
      <c r="E631" s="11" t="s">
        <v>3066</v>
      </c>
      <c r="F631" t="s">
        <v>126</v>
      </c>
      <c r="G631" s="2" t="s">
        <v>31</v>
      </c>
      <c r="H631" s="1">
        <v>95.294000000000011</v>
      </c>
    </row>
    <row r="632" spans="1:8" x14ac:dyDescent="0.3">
      <c r="A632" s="2">
        <v>539</v>
      </c>
      <c r="B632" t="s">
        <v>3141</v>
      </c>
      <c r="C632" t="s">
        <v>3224</v>
      </c>
      <c r="D632" s="2">
        <v>1</v>
      </c>
      <c r="E632" s="11" t="s">
        <v>2563</v>
      </c>
      <c r="F632" t="s">
        <v>62</v>
      </c>
      <c r="G632" s="2" t="s">
        <v>4</v>
      </c>
      <c r="H632" s="1">
        <v>74.094000000000008</v>
      </c>
    </row>
    <row r="633" spans="1:8" x14ac:dyDescent="0.3">
      <c r="A633" s="2">
        <v>539</v>
      </c>
      <c r="B633" t="s">
        <v>3140</v>
      </c>
      <c r="C633" t="s">
        <v>3224</v>
      </c>
      <c r="D633" s="2">
        <v>1</v>
      </c>
      <c r="E633" s="11" t="s">
        <v>3136</v>
      </c>
      <c r="F633" t="s">
        <v>28</v>
      </c>
      <c r="G633" s="2" t="s">
        <v>4</v>
      </c>
      <c r="H633" s="1">
        <v>74.094000000000008</v>
      </c>
    </row>
    <row r="634" spans="1:8" x14ac:dyDescent="0.3">
      <c r="A634" s="2">
        <v>539</v>
      </c>
      <c r="B634" t="s">
        <v>2345</v>
      </c>
      <c r="C634" t="s">
        <v>3219</v>
      </c>
      <c r="D634" s="2">
        <v>1</v>
      </c>
      <c r="E634" s="11" t="s">
        <v>534</v>
      </c>
      <c r="F634" t="s">
        <v>62</v>
      </c>
      <c r="G634" s="2" t="s">
        <v>4</v>
      </c>
      <c r="H634" s="1">
        <v>89.994000000000014</v>
      </c>
    </row>
    <row r="635" spans="1:8" x14ac:dyDescent="0.3">
      <c r="A635" s="2">
        <v>539</v>
      </c>
      <c r="B635" t="s">
        <v>3139</v>
      </c>
      <c r="C635" t="s">
        <v>0</v>
      </c>
      <c r="D635" s="2">
        <v>1</v>
      </c>
      <c r="E635" s="11" t="s">
        <v>2463</v>
      </c>
      <c r="F635" t="s">
        <v>55</v>
      </c>
      <c r="G635" s="2" t="s">
        <v>4</v>
      </c>
      <c r="H635" s="1">
        <v>158.89400000000001</v>
      </c>
    </row>
    <row r="636" spans="1:8" x14ac:dyDescent="0.3">
      <c r="A636" s="2">
        <v>539</v>
      </c>
      <c r="B636" t="s">
        <v>2418</v>
      </c>
      <c r="C636" t="s">
        <v>3</v>
      </c>
      <c r="D636" s="2">
        <v>1</v>
      </c>
      <c r="E636" s="11" t="s">
        <v>2417</v>
      </c>
      <c r="F636" t="s">
        <v>959</v>
      </c>
      <c r="G636" s="2" t="s">
        <v>31</v>
      </c>
      <c r="H636" s="1">
        <v>74.094000000000008</v>
      </c>
    </row>
    <row r="637" spans="1:8" x14ac:dyDescent="0.3">
      <c r="A637" s="2">
        <v>539</v>
      </c>
      <c r="B637" t="s">
        <v>2557</v>
      </c>
      <c r="C637" t="s">
        <v>3224</v>
      </c>
      <c r="D637" s="2">
        <v>1</v>
      </c>
      <c r="E637" s="11" t="s">
        <v>2556</v>
      </c>
      <c r="F637" t="s">
        <v>959</v>
      </c>
      <c r="G637" s="2" t="s">
        <v>31</v>
      </c>
      <c r="H637" s="1">
        <v>100.59400000000001</v>
      </c>
    </row>
    <row r="638" spans="1:8" x14ac:dyDescent="0.3">
      <c r="A638" s="2">
        <v>539</v>
      </c>
      <c r="B638" t="s">
        <v>3138</v>
      </c>
      <c r="C638" t="s">
        <v>3224</v>
      </c>
      <c r="D638" s="2">
        <v>1</v>
      </c>
      <c r="E638" s="11" t="s">
        <v>2554</v>
      </c>
      <c r="F638" t="s">
        <v>47</v>
      </c>
      <c r="G638" s="2" t="s">
        <v>31</v>
      </c>
      <c r="H638" s="1">
        <v>74.094000000000008</v>
      </c>
    </row>
    <row r="639" spans="1:8" x14ac:dyDescent="0.3">
      <c r="A639" s="2">
        <v>539</v>
      </c>
      <c r="B639" t="s">
        <v>3137</v>
      </c>
      <c r="C639" t="s">
        <v>3224</v>
      </c>
      <c r="D639" s="2">
        <v>1</v>
      </c>
      <c r="E639" s="11" t="s">
        <v>3136</v>
      </c>
      <c r="F639" t="s">
        <v>47</v>
      </c>
      <c r="G639" s="2" t="s">
        <v>4</v>
      </c>
      <c r="H639" s="1">
        <v>74.094000000000008</v>
      </c>
    </row>
    <row r="640" spans="1:8" x14ac:dyDescent="0.3">
      <c r="A640" s="2">
        <v>539</v>
      </c>
      <c r="B640" t="s">
        <v>2776</v>
      </c>
      <c r="C640" t="s">
        <v>3219</v>
      </c>
      <c r="D640" s="2">
        <v>1</v>
      </c>
      <c r="E640" s="11" t="s">
        <v>2251</v>
      </c>
      <c r="F640" t="s">
        <v>47</v>
      </c>
      <c r="G640" s="2" t="s">
        <v>4</v>
      </c>
      <c r="H640" s="1">
        <v>169.49400000000003</v>
      </c>
    </row>
    <row r="641" spans="1:8" x14ac:dyDescent="0.3">
      <c r="A641" s="2">
        <v>539</v>
      </c>
      <c r="B641" t="s">
        <v>2941</v>
      </c>
      <c r="C641" t="s">
        <v>3224</v>
      </c>
      <c r="D641" s="2">
        <v>1</v>
      </c>
      <c r="E641" s="11" t="s">
        <v>2563</v>
      </c>
      <c r="F641" t="s">
        <v>28</v>
      </c>
      <c r="G641" s="2" t="s">
        <v>31</v>
      </c>
      <c r="H641" s="1">
        <v>74.094000000000008</v>
      </c>
    </row>
    <row r="642" spans="1:8" x14ac:dyDescent="0.3">
      <c r="A642" s="2">
        <v>539</v>
      </c>
      <c r="B642" t="s">
        <v>3135</v>
      </c>
      <c r="C642" t="s">
        <v>3219</v>
      </c>
      <c r="D642" s="2">
        <v>1</v>
      </c>
      <c r="E642" s="11" t="s">
        <v>3134</v>
      </c>
      <c r="F642" t="s">
        <v>28</v>
      </c>
      <c r="G642" s="2" t="s">
        <v>31</v>
      </c>
      <c r="H642" s="1">
        <v>116.49400000000001</v>
      </c>
    </row>
    <row r="643" spans="1:8" x14ac:dyDescent="0.3">
      <c r="A643" s="2">
        <v>539</v>
      </c>
      <c r="B643" t="s">
        <v>2715</v>
      </c>
      <c r="C643" t="s">
        <v>1</v>
      </c>
      <c r="D643" s="2">
        <v>1</v>
      </c>
      <c r="E643" s="11" t="s">
        <v>279</v>
      </c>
      <c r="F643" t="s">
        <v>28</v>
      </c>
      <c r="G643" s="2" t="s">
        <v>203</v>
      </c>
      <c r="H643" s="1">
        <v>47.594000000000001</v>
      </c>
    </row>
    <row r="644" spans="1:8" x14ac:dyDescent="0.3">
      <c r="A644" s="2">
        <v>540</v>
      </c>
      <c r="B644" t="s">
        <v>369</v>
      </c>
      <c r="C644" t="s">
        <v>3219</v>
      </c>
      <c r="D644" s="2">
        <v>1</v>
      </c>
      <c r="E644" s="11" t="s">
        <v>102</v>
      </c>
      <c r="F644" t="s">
        <v>65</v>
      </c>
      <c r="G644" s="2" t="s">
        <v>31</v>
      </c>
      <c r="H644" s="1">
        <v>121.79400000000001</v>
      </c>
    </row>
    <row r="645" spans="1:8" x14ac:dyDescent="0.3">
      <c r="A645" s="2">
        <v>540</v>
      </c>
      <c r="B645" t="s">
        <v>2891</v>
      </c>
      <c r="C645" t="s">
        <v>3224</v>
      </c>
      <c r="D645" s="2">
        <v>1</v>
      </c>
      <c r="E645" s="11" t="s">
        <v>2556</v>
      </c>
      <c r="F645" t="s">
        <v>65</v>
      </c>
      <c r="G645" s="2" t="s">
        <v>23</v>
      </c>
      <c r="H645" s="1">
        <v>100.59400000000001</v>
      </c>
    </row>
    <row r="646" spans="1:8" x14ac:dyDescent="0.3">
      <c r="A646" s="2">
        <v>540</v>
      </c>
      <c r="B646" t="s">
        <v>3133</v>
      </c>
      <c r="C646" t="s">
        <v>3224</v>
      </c>
      <c r="D646" s="2">
        <v>1</v>
      </c>
      <c r="E646" s="11" t="s">
        <v>2554</v>
      </c>
      <c r="F646" t="s">
        <v>28</v>
      </c>
      <c r="G646" s="2" t="s">
        <v>23</v>
      </c>
      <c r="H646" s="1">
        <v>74.094000000000008</v>
      </c>
    </row>
    <row r="647" spans="1:8" x14ac:dyDescent="0.3">
      <c r="A647" s="2">
        <v>540</v>
      </c>
      <c r="B647" t="s">
        <v>3132</v>
      </c>
      <c r="C647" t="s">
        <v>3220</v>
      </c>
      <c r="D647" s="2">
        <v>1</v>
      </c>
      <c r="E647" s="11" t="s">
        <v>2419</v>
      </c>
      <c r="F647" t="s">
        <v>959</v>
      </c>
      <c r="G647" s="2" t="s">
        <v>23</v>
      </c>
      <c r="H647" s="1">
        <v>47.594000000000001</v>
      </c>
    </row>
    <row r="648" spans="1:8" x14ac:dyDescent="0.3">
      <c r="A648" s="2">
        <v>540</v>
      </c>
      <c r="B648" t="s">
        <v>1142</v>
      </c>
      <c r="C648" t="s">
        <v>3219</v>
      </c>
      <c r="D648" s="2">
        <v>1</v>
      </c>
      <c r="E648" s="11" t="s">
        <v>102</v>
      </c>
      <c r="F648" t="s">
        <v>114</v>
      </c>
      <c r="G648" s="2" t="s">
        <v>4</v>
      </c>
      <c r="H648" s="1">
        <v>121.79400000000001</v>
      </c>
    </row>
    <row r="649" spans="1:8" x14ac:dyDescent="0.3">
      <c r="A649" s="2">
        <v>540</v>
      </c>
      <c r="B649" t="s">
        <v>3080</v>
      </c>
      <c r="C649" t="s">
        <v>3219</v>
      </c>
      <c r="D649" s="2">
        <v>2</v>
      </c>
      <c r="E649" s="11" t="s">
        <v>102</v>
      </c>
      <c r="F649" t="s">
        <v>114</v>
      </c>
      <c r="G649" s="2" t="s">
        <v>31</v>
      </c>
      <c r="H649" s="1">
        <v>121.79400000000001</v>
      </c>
    </row>
    <row r="650" spans="1:8" x14ac:dyDescent="0.3">
      <c r="A650" s="2">
        <v>540</v>
      </c>
      <c r="B650" t="s">
        <v>3131</v>
      </c>
      <c r="C650" t="s">
        <v>3219</v>
      </c>
      <c r="D650" s="2">
        <v>2</v>
      </c>
      <c r="E650" s="11" t="s">
        <v>102</v>
      </c>
      <c r="F650" t="s">
        <v>114</v>
      </c>
      <c r="G650" s="2" t="s">
        <v>23</v>
      </c>
      <c r="H650" s="1">
        <v>121.79400000000001</v>
      </c>
    </row>
    <row r="651" spans="1:8" x14ac:dyDescent="0.3">
      <c r="A651" s="2">
        <v>540</v>
      </c>
      <c r="B651" t="s">
        <v>3130</v>
      </c>
      <c r="C651" t="s">
        <v>3220</v>
      </c>
      <c r="D651" s="2">
        <v>1</v>
      </c>
      <c r="E651" s="11" t="s">
        <v>2419</v>
      </c>
      <c r="F651" t="s">
        <v>114</v>
      </c>
      <c r="G651" s="2" t="s">
        <v>23</v>
      </c>
      <c r="H651" s="1">
        <v>47.594000000000001</v>
      </c>
    </row>
    <row r="652" spans="1:8" x14ac:dyDescent="0.3">
      <c r="A652" s="2">
        <v>540</v>
      </c>
      <c r="B652" t="s">
        <v>2780</v>
      </c>
      <c r="C652" t="s">
        <v>0</v>
      </c>
      <c r="D652" s="2">
        <v>1</v>
      </c>
      <c r="E652" s="11" t="s">
        <v>2552</v>
      </c>
      <c r="F652" t="s">
        <v>114</v>
      </c>
      <c r="G652" s="2" t="s">
        <v>31</v>
      </c>
      <c r="H652" s="1">
        <v>206.59400000000002</v>
      </c>
    </row>
    <row r="653" spans="1:8" x14ac:dyDescent="0.3">
      <c r="A653" s="2">
        <v>540</v>
      </c>
      <c r="B653" t="s">
        <v>1580</v>
      </c>
      <c r="C653" t="s">
        <v>3219</v>
      </c>
      <c r="D653" s="2">
        <v>1</v>
      </c>
      <c r="E653" s="11" t="s">
        <v>102</v>
      </c>
      <c r="F653" t="s">
        <v>47</v>
      </c>
      <c r="G653" s="2" t="s">
        <v>31</v>
      </c>
      <c r="H653" s="1">
        <v>121.79400000000001</v>
      </c>
    </row>
    <row r="654" spans="1:8" x14ac:dyDescent="0.3">
      <c r="A654" s="2">
        <v>540</v>
      </c>
      <c r="B654" t="s">
        <v>3129</v>
      </c>
      <c r="C654" t="s">
        <v>3224</v>
      </c>
      <c r="D654" s="2">
        <v>1</v>
      </c>
      <c r="E654" s="11" t="s">
        <v>3128</v>
      </c>
      <c r="F654" t="s">
        <v>47</v>
      </c>
      <c r="G654" s="2" t="s">
        <v>23</v>
      </c>
      <c r="H654" s="1">
        <v>100.59400000000001</v>
      </c>
    </row>
    <row r="655" spans="1:8" x14ac:dyDescent="0.3">
      <c r="A655" s="2">
        <v>540</v>
      </c>
      <c r="B655" t="s">
        <v>2580</v>
      </c>
      <c r="C655" t="s">
        <v>3</v>
      </c>
      <c r="D655" s="2">
        <v>1</v>
      </c>
      <c r="E655" s="11" t="s">
        <v>2417</v>
      </c>
      <c r="F655" t="s">
        <v>47</v>
      </c>
      <c r="G655" s="2" t="s">
        <v>23</v>
      </c>
      <c r="H655" s="1">
        <v>74.094000000000008</v>
      </c>
    </row>
    <row r="656" spans="1:8" x14ac:dyDescent="0.3">
      <c r="A656" s="2">
        <v>540</v>
      </c>
      <c r="B656" t="s">
        <v>3026</v>
      </c>
      <c r="C656" t="s">
        <v>3219</v>
      </c>
      <c r="D656" s="2">
        <v>1</v>
      </c>
      <c r="E656" s="11" t="s">
        <v>2251</v>
      </c>
      <c r="F656" t="s">
        <v>39</v>
      </c>
      <c r="G656" s="2" t="s">
        <v>4</v>
      </c>
      <c r="H656" s="1">
        <v>169.49400000000003</v>
      </c>
    </row>
    <row r="657" spans="1:8" x14ac:dyDescent="0.3">
      <c r="A657" s="2">
        <v>540</v>
      </c>
      <c r="B657" t="s">
        <v>3025</v>
      </c>
      <c r="C657" t="s">
        <v>3224</v>
      </c>
      <c r="D657" s="2">
        <v>1</v>
      </c>
      <c r="E657" s="11" t="s">
        <v>191</v>
      </c>
      <c r="F657" t="s">
        <v>39</v>
      </c>
      <c r="G657" s="2" t="s">
        <v>4</v>
      </c>
      <c r="H657" s="1">
        <v>63.494000000000007</v>
      </c>
    </row>
    <row r="658" spans="1:8" x14ac:dyDescent="0.3">
      <c r="A658" s="2">
        <v>540</v>
      </c>
      <c r="B658" t="s">
        <v>3127</v>
      </c>
      <c r="C658" t="s">
        <v>3219</v>
      </c>
      <c r="D658" s="2">
        <v>1</v>
      </c>
      <c r="E658" s="11" t="s">
        <v>102</v>
      </c>
      <c r="F658" t="s">
        <v>28</v>
      </c>
      <c r="G658" s="2" t="s">
        <v>23</v>
      </c>
      <c r="H658" s="1">
        <v>121.79400000000001</v>
      </c>
    </row>
    <row r="659" spans="1:8" x14ac:dyDescent="0.3">
      <c r="A659" s="2">
        <v>541</v>
      </c>
      <c r="B659" t="s">
        <v>3126</v>
      </c>
      <c r="C659" t="s">
        <v>1</v>
      </c>
      <c r="D659" s="2">
        <v>1</v>
      </c>
      <c r="E659" s="11" t="s">
        <v>2741</v>
      </c>
      <c r="F659" t="s">
        <v>62</v>
      </c>
      <c r="G659" s="2" t="s">
        <v>4</v>
      </c>
      <c r="H659" s="1">
        <v>74.094000000000008</v>
      </c>
    </row>
    <row r="660" spans="1:8" x14ac:dyDescent="0.3">
      <c r="A660" s="2">
        <v>541</v>
      </c>
      <c r="B660" t="s">
        <v>3125</v>
      </c>
      <c r="C660" t="s">
        <v>1</v>
      </c>
      <c r="D660" s="2">
        <v>1</v>
      </c>
      <c r="E660" s="11" t="s">
        <v>2741</v>
      </c>
      <c r="F660" t="s">
        <v>62</v>
      </c>
      <c r="G660" s="2" t="s">
        <v>31</v>
      </c>
      <c r="H660" s="1">
        <v>74.094000000000008</v>
      </c>
    </row>
    <row r="661" spans="1:8" x14ac:dyDescent="0.3">
      <c r="A661" s="2">
        <v>541</v>
      </c>
      <c r="B661" t="s">
        <v>3124</v>
      </c>
      <c r="C661" t="s">
        <v>1</v>
      </c>
      <c r="D661" s="2">
        <v>1</v>
      </c>
      <c r="E661" s="11" t="s">
        <v>2741</v>
      </c>
      <c r="F661" t="s">
        <v>55</v>
      </c>
      <c r="G661" s="2" t="s">
        <v>31</v>
      </c>
      <c r="H661" s="1">
        <v>74.094000000000008</v>
      </c>
    </row>
    <row r="662" spans="1:8" x14ac:dyDescent="0.3">
      <c r="A662" s="2">
        <v>541</v>
      </c>
      <c r="B662" t="s">
        <v>3098</v>
      </c>
      <c r="C662" t="s">
        <v>0</v>
      </c>
      <c r="D662" s="2">
        <v>1</v>
      </c>
      <c r="E662" s="11" t="s">
        <v>2552</v>
      </c>
      <c r="F662" t="s">
        <v>959</v>
      </c>
      <c r="G662" s="2" t="s">
        <v>31</v>
      </c>
      <c r="H662" s="1">
        <v>206.59400000000002</v>
      </c>
    </row>
    <row r="663" spans="1:8" x14ac:dyDescent="0.3">
      <c r="A663" s="2">
        <v>541</v>
      </c>
      <c r="B663" t="s">
        <v>2553</v>
      </c>
      <c r="C663" t="s">
        <v>0</v>
      </c>
      <c r="D663" s="2">
        <v>1</v>
      </c>
      <c r="E663" s="11" t="s">
        <v>2552</v>
      </c>
      <c r="F663" t="s">
        <v>114</v>
      </c>
      <c r="G663" s="2" t="s">
        <v>23</v>
      </c>
      <c r="H663" s="1">
        <v>206.59400000000002</v>
      </c>
    </row>
    <row r="664" spans="1:8" x14ac:dyDescent="0.3">
      <c r="A664" s="2">
        <v>541</v>
      </c>
      <c r="B664" t="s">
        <v>3123</v>
      </c>
      <c r="C664" t="s">
        <v>3225</v>
      </c>
      <c r="D664" s="2">
        <v>1</v>
      </c>
      <c r="E664" s="11" t="s">
        <v>1394</v>
      </c>
      <c r="F664" t="s">
        <v>683</v>
      </c>
      <c r="G664" s="2" t="s">
        <v>23</v>
      </c>
      <c r="H664" s="1">
        <v>190.69400000000002</v>
      </c>
    </row>
    <row r="665" spans="1:8" x14ac:dyDescent="0.3">
      <c r="A665" s="2">
        <v>541</v>
      </c>
      <c r="B665" t="s">
        <v>2581</v>
      </c>
      <c r="C665" t="s">
        <v>3225</v>
      </c>
      <c r="D665" s="2">
        <v>1</v>
      </c>
      <c r="E665" s="11" t="s">
        <v>2511</v>
      </c>
      <c r="F665" t="s">
        <v>47</v>
      </c>
      <c r="G665" s="2" t="s">
        <v>23</v>
      </c>
      <c r="H665" s="1">
        <v>164.19400000000002</v>
      </c>
    </row>
    <row r="666" spans="1:8" x14ac:dyDescent="0.3">
      <c r="A666" s="2">
        <v>541</v>
      </c>
      <c r="B666" t="s">
        <v>3122</v>
      </c>
      <c r="C666" t="s">
        <v>1</v>
      </c>
      <c r="D666" s="2">
        <v>1</v>
      </c>
      <c r="E666" s="11" t="s">
        <v>3120</v>
      </c>
      <c r="F666" t="s">
        <v>47</v>
      </c>
      <c r="G666" s="2" t="s">
        <v>31</v>
      </c>
      <c r="H666" s="1">
        <v>74.094000000000008</v>
      </c>
    </row>
    <row r="667" spans="1:8" x14ac:dyDescent="0.3">
      <c r="A667" s="2">
        <v>541</v>
      </c>
      <c r="B667" t="s">
        <v>3121</v>
      </c>
      <c r="C667" t="s">
        <v>1</v>
      </c>
      <c r="D667" s="2">
        <v>1</v>
      </c>
      <c r="E667" s="11" t="s">
        <v>3120</v>
      </c>
      <c r="F667" t="s">
        <v>47</v>
      </c>
      <c r="G667" s="2" t="s">
        <v>23</v>
      </c>
      <c r="H667" s="1">
        <v>74.094000000000008</v>
      </c>
    </row>
    <row r="668" spans="1:8" x14ac:dyDescent="0.3">
      <c r="A668" s="2">
        <v>541</v>
      </c>
      <c r="B668" t="s">
        <v>2510</v>
      </c>
      <c r="C668" t="s">
        <v>0</v>
      </c>
      <c r="D668" s="2">
        <v>1</v>
      </c>
      <c r="E668" s="11" t="s">
        <v>2509</v>
      </c>
      <c r="F668" t="s">
        <v>39</v>
      </c>
      <c r="G668" s="2" t="s">
        <v>31</v>
      </c>
      <c r="H668" s="1">
        <v>153.59400000000002</v>
      </c>
    </row>
    <row r="669" spans="1:8" x14ac:dyDescent="0.3">
      <c r="A669" s="2">
        <v>541</v>
      </c>
      <c r="B669" t="s">
        <v>3119</v>
      </c>
      <c r="C669" t="s">
        <v>3225</v>
      </c>
      <c r="D669" s="2">
        <v>1</v>
      </c>
      <c r="E669" s="11" t="s">
        <v>2511</v>
      </c>
      <c r="F669" t="s">
        <v>28</v>
      </c>
      <c r="G669" s="2" t="s">
        <v>31</v>
      </c>
      <c r="H669" s="1">
        <v>164.19400000000002</v>
      </c>
    </row>
    <row r="670" spans="1:8" x14ac:dyDescent="0.3">
      <c r="A670" s="2">
        <v>541</v>
      </c>
      <c r="B670" t="s">
        <v>1957</v>
      </c>
      <c r="C670" t="s">
        <v>3225</v>
      </c>
      <c r="D670" s="2">
        <v>1</v>
      </c>
      <c r="E670" s="11" t="s">
        <v>1394</v>
      </c>
      <c r="F670" t="s">
        <v>28</v>
      </c>
      <c r="G670" s="2" t="s">
        <v>4</v>
      </c>
      <c r="H670" s="1">
        <v>190.69400000000002</v>
      </c>
    </row>
    <row r="671" spans="1:8" x14ac:dyDescent="0.3">
      <c r="A671" s="2">
        <v>542</v>
      </c>
      <c r="B671" t="s">
        <v>3023</v>
      </c>
      <c r="C671" t="s">
        <v>3217</v>
      </c>
      <c r="D671" s="2">
        <v>1</v>
      </c>
      <c r="E671" s="11" t="s">
        <v>2654</v>
      </c>
      <c r="F671" t="s">
        <v>65</v>
      </c>
      <c r="G671" s="2" t="s">
        <v>23</v>
      </c>
      <c r="H671" s="1">
        <v>26.393999999999998</v>
      </c>
    </row>
    <row r="672" spans="1:8" x14ac:dyDescent="0.3">
      <c r="A672" s="2">
        <v>542</v>
      </c>
      <c r="B672" t="s">
        <v>3118</v>
      </c>
      <c r="C672" t="s">
        <v>3219</v>
      </c>
      <c r="D672" s="2">
        <v>1</v>
      </c>
      <c r="E672" s="11" t="s">
        <v>2237</v>
      </c>
      <c r="F672" t="s">
        <v>114</v>
      </c>
      <c r="G672" s="2" t="s">
        <v>23</v>
      </c>
      <c r="H672" s="1">
        <v>185.39400000000001</v>
      </c>
    </row>
    <row r="673" spans="1:8" x14ac:dyDescent="0.3">
      <c r="A673" s="2">
        <v>542</v>
      </c>
      <c r="B673" t="s">
        <v>3117</v>
      </c>
      <c r="C673" t="s">
        <v>3224</v>
      </c>
      <c r="D673" s="2">
        <v>1</v>
      </c>
      <c r="E673" s="11" t="s">
        <v>2865</v>
      </c>
      <c r="F673" t="s">
        <v>62</v>
      </c>
      <c r="G673" s="2" t="s">
        <v>23</v>
      </c>
      <c r="H673" s="1">
        <v>84.694000000000017</v>
      </c>
    </row>
    <row r="674" spans="1:8" x14ac:dyDescent="0.3">
      <c r="A674" s="2">
        <v>542</v>
      </c>
      <c r="B674" t="s">
        <v>2841</v>
      </c>
      <c r="C674" t="s">
        <v>3217</v>
      </c>
      <c r="D674" s="2">
        <v>1</v>
      </c>
      <c r="E674" s="11" t="s">
        <v>2654</v>
      </c>
      <c r="F674" t="s">
        <v>28</v>
      </c>
      <c r="G674" s="2" t="s">
        <v>23</v>
      </c>
      <c r="H674" s="1">
        <v>26.393999999999998</v>
      </c>
    </row>
    <row r="675" spans="1:8" x14ac:dyDescent="0.3">
      <c r="A675" s="2">
        <v>542</v>
      </c>
      <c r="B675" t="s">
        <v>3116</v>
      </c>
      <c r="C675" t="s">
        <v>1</v>
      </c>
      <c r="D675" s="2">
        <v>1</v>
      </c>
      <c r="E675" s="11" t="s">
        <v>3115</v>
      </c>
      <c r="F675" t="s">
        <v>28</v>
      </c>
      <c r="G675" s="2" t="s">
        <v>23</v>
      </c>
      <c r="H675" s="1">
        <v>79.394000000000005</v>
      </c>
    </row>
    <row r="676" spans="1:8" x14ac:dyDescent="0.3">
      <c r="A676" s="2">
        <v>542</v>
      </c>
      <c r="B676" t="s">
        <v>2815</v>
      </c>
      <c r="C676" t="s">
        <v>3219</v>
      </c>
      <c r="D676" s="2">
        <v>1</v>
      </c>
      <c r="E676" s="11" t="s">
        <v>2237</v>
      </c>
      <c r="F676" t="s">
        <v>28</v>
      </c>
      <c r="G676" s="2" t="s">
        <v>23</v>
      </c>
      <c r="H676" s="1">
        <v>185.39400000000001</v>
      </c>
    </row>
    <row r="677" spans="1:8" x14ac:dyDescent="0.3">
      <c r="A677" s="2">
        <v>542</v>
      </c>
      <c r="B677" t="s">
        <v>2586</v>
      </c>
      <c r="C677" t="s">
        <v>3224</v>
      </c>
      <c r="D677" s="2">
        <v>1</v>
      </c>
      <c r="E677" s="11" t="s">
        <v>2554</v>
      </c>
      <c r="F677" t="s">
        <v>114</v>
      </c>
      <c r="G677" s="2" t="s">
        <v>23</v>
      </c>
      <c r="H677" s="1">
        <v>74.094000000000008</v>
      </c>
    </row>
    <row r="678" spans="1:8" x14ac:dyDescent="0.3">
      <c r="A678" s="2">
        <v>542</v>
      </c>
      <c r="B678" t="s">
        <v>2860</v>
      </c>
      <c r="C678" t="s">
        <v>3219</v>
      </c>
      <c r="D678" s="2">
        <v>1</v>
      </c>
      <c r="E678" s="11" t="s">
        <v>2228</v>
      </c>
      <c r="F678" t="s">
        <v>47</v>
      </c>
      <c r="G678" s="2" t="s">
        <v>23</v>
      </c>
      <c r="H678" s="1">
        <v>137.69400000000002</v>
      </c>
    </row>
    <row r="679" spans="1:8" x14ac:dyDescent="0.3">
      <c r="A679" s="2">
        <v>542</v>
      </c>
      <c r="B679" t="s">
        <v>2581</v>
      </c>
      <c r="C679" t="s">
        <v>3225</v>
      </c>
      <c r="D679" s="2">
        <v>1</v>
      </c>
      <c r="E679" s="11" t="s">
        <v>2511</v>
      </c>
      <c r="F679" t="s">
        <v>47</v>
      </c>
      <c r="G679" s="2" t="s">
        <v>23</v>
      </c>
      <c r="H679" s="1">
        <v>164.19400000000002</v>
      </c>
    </row>
    <row r="680" spans="1:8" x14ac:dyDescent="0.3">
      <c r="A680" s="2">
        <v>542</v>
      </c>
      <c r="B680" t="s">
        <v>2580</v>
      </c>
      <c r="C680" t="s">
        <v>3</v>
      </c>
      <c r="D680" s="2">
        <v>1</v>
      </c>
      <c r="E680" s="11" t="s">
        <v>2417</v>
      </c>
      <c r="F680" t="s">
        <v>47</v>
      </c>
      <c r="G680" s="2" t="s">
        <v>23</v>
      </c>
      <c r="H680" s="1">
        <v>74.094000000000008</v>
      </c>
    </row>
    <row r="681" spans="1:8" x14ac:dyDescent="0.3">
      <c r="A681" s="2">
        <v>542</v>
      </c>
      <c r="B681" t="s">
        <v>2575</v>
      </c>
      <c r="C681" t="s">
        <v>3219</v>
      </c>
      <c r="D681" s="2">
        <v>1</v>
      </c>
      <c r="E681" s="11" t="s">
        <v>2237</v>
      </c>
      <c r="F681" t="s">
        <v>47</v>
      </c>
      <c r="G681" s="2" t="s">
        <v>23</v>
      </c>
      <c r="H681" s="1">
        <v>185.39400000000001</v>
      </c>
    </row>
    <row r="682" spans="1:8" x14ac:dyDescent="0.3">
      <c r="A682" s="2">
        <v>542</v>
      </c>
      <c r="B682" t="s">
        <v>1235</v>
      </c>
      <c r="C682" t="s">
        <v>1</v>
      </c>
      <c r="D682" s="2">
        <v>1</v>
      </c>
      <c r="E682" s="11" t="s">
        <v>281</v>
      </c>
      <c r="F682" t="s">
        <v>39</v>
      </c>
      <c r="G682" s="2" t="s">
        <v>23</v>
      </c>
      <c r="H682" s="1">
        <v>58.194000000000003</v>
      </c>
    </row>
    <row r="683" spans="1:8" x14ac:dyDescent="0.3">
      <c r="A683" s="2">
        <v>542</v>
      </c>
      <c r="B683" t="s">
        <v>3114</v>
      </c>
      <c r="C683" t="s">
        <v>3217</v>
      </c>
      <c r="D683" s="2">
        <v>1</v>
      </c>
      <c r="E683" s="11" t="s">
        <v>3113</v>
      </c>
      <c r="F683" t="s">
        <v>28</v>
      </c>
      <c r="G683" s="2" t="s">
        <v>23</v>
      </c>
      <c r="H683" s="1">
        <v>68.794000000000011</v>
      </c>
    </row>
    <row r="684" spans="1:8" x14ac:dyDescent="0.3">
      <c r="A684" s="2">
        <v>543</v>
      </c>
      <c r="B684" t="s">
        <v>3112</v>
      </c>
      <c r="C684" t="s">
        <v>3224</v>
      </c>
      <c r="D684" s="2">
        <v>1</v>
      </c>
      <c r="E684" s="11" t="s">
        <v>2898</v>
      </c>
      <c r="F684" t="s">
        <v>65</v>
      </c>
      <c r="G684" s="2" t="s">
        <v>31</v>
      </c>
      <c r="H684" s="1">
        <v>74.094000000000008</v>
      </c>
    </row>
    <row r="685" spans="1:8" x14ac:dyDescent="0.3">
      <c r="A685" s="2">
        <v>543</v>
      </c>
      <c r="B685" t="s">
        <v>3111</v>
      </c>
      <c r="C685" t="s">
        <v>3224</v>
      </c>
      <c r="D685" s="2">
        <v>1</v>
      </c>
      <c r="E685" s="11" t="s">
        <v>2898</v>
      </c>
      <c r="F685" t="s">
        <v>65</v>
      </c>
      <c r="G685" s="2" t="s">
        <v>23</v>
      </c>
      <c r="H685" s="1">
        <v>74.094000000000008</v>
      </c>
    </row>
    <row r="686" spans="1:8" x14ac:dyDescent="0.3">
      <c r="A686" s="2">
        <v>543</v>
      </c>
      <c r="B686" t="s">
        <v>3056</v>
      </c>
      <c r="C686" t="s">
        <v>3</v>
      </c>
      <c r="D686" s="2">
        <v>1</v>
      </c>
      <c r="E686" s="11" t="s">
        <v>2203</v>
      </c>
      <c r="F686" t="s">
        <v>65</v>
      </c>
      <c r="G686" s="2" t="s">
        <v>4</v>
      </c>
      <c r="H686" s="1">
        <v>79.394000000000005</v>
      </c>
    </row>
    <row r="687" spans="1:8" x14ac:dyDescent="0.3">
      <c r="A687" s="2">
        <v>543</v>
      </c>
      <c r="B687" t="s">
        <v>2346</v>
      </c>
      <c r="C687" t="s">
        <v>3</v>
      </c>
      <c r="D687" s="2">
        <v>1</v>
      </c>
      <c r="E687" s="11" t="s">
        <v>2203</v>
      </c>
      <c r="F687" t="s">
        <v>65</v>
      </c>
      <c r="G687" s="2" t="s">
        <v>31</v>
      </c>
      <c r="H687" s="1">
        <v>79.394000000000005</v>
      </c>
    </row>
    <row r="688" spans="1:8" x14ac:dyDescent="0.3">
      <c r="A688" s="2">
        <v>543</v>
      </c>
      <c r="B688" t="s">
        <v>3110</v>
      </c>
      <c r="C688" t="s">
        <v>0</v>
      </c>
      <c r="D688" s="2">
        <v>1</v>
      </c>
      <c r="E688" s="11" t="s">
        <v>3102</v>
      </c>
      <c r="F688" t="s">
        <v>65</v>
      </c>
      <c r="G688" s="2" t="s">
        <v>4</v>
      </c>
      <c r="H688" s="1">
        <v>142.994</v>
      </c>
    </row>
    <row r="689" spans="1:8" x14ac:dyDescent="0.3">
      <c r="A689" s="2">
        <v>543</v>
      </c>
      <c r="B689" t="s">
        <v>3109</v>
      </c>
      <c r="C689" t="s">
        <v>1</v>
      </c>
      <c r="D689" s="2">
        <v>1</v>
      </c>
      <c r="E689" s="11" t="s">
        <v>3099</v>
      </c>
      <c r="F689" t="s">
        <v>65</v>
      </c>
      <c r="G689" s="2" t="s">
        <v>31</v>
      </c>
      <c r="H689" s="1">
        <v>79.394000000000005</v>
      </c>
    </row>
    <row r="690" spans="1:8" x14ac:dyDescent="0.3">
      <c r="A690" s="2">
        <v>543</v>
      </c>
      <c r="B690" t="s">
        <v>3108</v>
      </c>
      <c r="C690" t="s">
        <v>1</v>
      </c>
      <c r="D690" s="2">
        <v>1</v>
      </c>
      <c r="E690" s="11" t="s">
        <v>3099</v>
      </c>
      <c r="F690" t="s">
        <v>65</v>
      </c>
      <c r="G690" s="2" t="s">
        <v>23</v>
      </c>
      <c r="H690" s="1">
        <v>79.394000000000005</v>
      </c>
    </row>
    <row r="691" spans="1:8" x14ac:dyDescent="0.3">
      <c r="A691" s="2">
        <v>543</v>
      </c>
      <c r="B691" t="s">
        <v>3107</v>
      </c>
      <c r="C691" t="s">
        <v>2</v>
      </c>
      <c r="D691" s="2">
        <v>1</v>
      </c>
      <c r="E691" s="11" t="s">
        <v>3087</v>
      </c>
      <c r="F691" t="s">
        <v>62</v>
      </c>
      <c r="G691" s="2" t="s">
        <v>31</v>
      </c>
      <c r="H691" s="1">
        <v>148.29400000000001</v>
      </c>
    </row>
    <row r="692" spans="1:8" x14ac:dyDescent="0.3">
      <c r="A692" s="2">
        <v>543</v>
      </c>
      <c r="B692" t="s">
        <v>3106</v>
      </c>
      <c r="C692" t="s">
        <v>3224</v>
      </c>
      <c r="D692" s="2">
        <v>1</v>
      </c>
      <c r="E692" s="11" t="s">
        <v>3095</v>
      </c>
      <c r="F692" t="s">
        <v>28</v>
      </c>
      <c r="G692" s="2" t="s">
        <v>4</v>
      </c>
      <c r="H692" s="1">
        <v>58.19400000000001</v>
      </c>
    </row>
    <row r="693" spans="1:8" x14ac:dyDescent="0.3">
      <c r="A693" s="2">
        <v>543</v>
      </c>
      <c r="B693" t="s">
        <v>3105</v>
      </c>
      <c r="C693" t="s">
        <v>3224</v>
      </c>
      <c r="D693" s="2">
        <v>1</v>
      </c>
      <c r="E693" s="11" t="s">
        <v>3095</v>
      </c>
      <c r="F693" t="s">
        <v>28</v>
      </c>
      <c r="G693" s="2" t="s">
        <v>31</v>
      </c>
      <c r="H693" s="1">
        <v>58.19400000000001</v>
      </c>
    </row>
    <row r="694" spans="1:8" x14ac:dyDescent="0.3">
      <c r="A694" s="2">
        <v>543</v>
      </c>
      <c r="B694" t="s">
        <v>3104</v>
      </c>
      <c r="C694" t="s">
        <v>3224</v>
      </c>
      <c r="D694" s="2">
        <v>1</v>
      </c>
      <c r="E694" s="11" t="s">
        <v>3095</v>
      </c>
      <c r="F694" t="s">
        <v>28</v>
      </c>
      <c r="G694" s="2" t="s">
        <v>23</v>
      </c>
      <c r="H694" s="1">
        <v>58.19400000000001</v>
      </c>
    </row>
    <row r="695" spans="1:8" x14ac:dyDescent="0.3">
      <c r="A695" s="2">
        <v>543</v>
      </c>
      <c r="B695" t="s">
        <v>3105</v>
      </c>
      <c r="C695" t="s">
        <v>3224</v>
      </c>
      <c r="D695" s="2">
        <v>1</v>
      </c>
      <c r="E695" s="11" t="s">
        <v>3095</v>
      </c>
      <c r="F695" t="s">
        <v>28</v>
      </c>
      <c r="G695" s="2" t="s">
        <v>31</v>
      </c>
      <c r="H695" s="1">
        <v>58.19400000000001</v>
      </c>
    </row>
    <row r="696" spans="1:8" x14ac:dyDescent="0.3">
      <c r="A696" s="2">
        <v>543</v>
      </c>
      <c r="B696" t="s">
        <v>3104</v>
      </c>
      <c r="C696" t="s">
        <v>3224</v>
      </c>
      <c r="D696" s="2">
        <v>1</v>
      </c>
      <c r="E696" s="11" t="s">
        <v>3095</v>
      </c>
      <c r="F696" t="s">
        <v>28</v>
      </c>
      <c r="G696" s="2" t="s">
        <v>23</v>
      </c>
      <c r="H696" s="1">
        <v>58.19400000000001</v>
      </c>
    </row>
    <row r="697" spans="1:8" x14ac:dyDescent="0.3">
      <c r="A697" s="2">
        <v>543</v>
      </c>
      <c r="B697" t="s">
        <v>3103</v>
      </c>
      <c r="C697" t="s">
        <v>0</v>
      </c>
      <c r="D697" s="2">
        <v>1</v>
      </c>
      <c r="E697" s="11" t="s">
        <v>3102</v>
      </c>
      <c r="F697" t="s">
        <v>62</v>
      </c>
      <c r="G697" s="2" t="s">
        <v>31</v>
      </c>
      <c r="H697" s="1">
        <v>142.994</v>
      </c>
    </row>
    <row r="698" spans="1:8" x14ac:dyDescent="0.3">
      <c r="A698" s="2">
        <v>543</v>
      </c>
      <c r="B698" t="s">
        <v>3101</v>
      </c>
      <c r="C698" t="s">
        <v>1</v>
      </c>
      <c r="D698" s="2">
        <v>1</v>
      </c>
      <c r="E698" s="11" t="s">
        <v>3099</v>
      </c>
      <c r="F698" t="s">
        <v>62</v>
      </c>
      <c r="G698" s="2" t="s">
        <v>4</v>
      </c>
      <c r="H698" s="1">
        <v>79.394000000000005</v>
      </c>
    </row>
    <row r="699" spans="1:8" x14ac:dyDescent="0.3">
      <c r="A699" s="2">
        <v>543</v>
      </c>
      <c r="B699" t="s">
        <v>3100</v>
      </c>
      <c r="C699" t="s">
        <v>1</v>
      </c>
      <c r="D699" s="2">
        <v>1</v>
      </c>
      <c r="E699" s="11" t="s">
        <v>3099</v>
      </c>
      <c r="F699" t="s">
        <v>62</v>
      </c>
      <c r="G699" s="2" t="s">
        <v>203</v>
      </c>
      <c r="H699" s="1">
        <v>79.394000000000005</v>
      </c>
    </row>
    <row r="700" spans="1:8" x14ac:dyDescent="0.3">
      <c r="A700" s="2">
        <v>543</v>
      </c>
      <c r="B700" t="s">
        <v>3098</v>
      </c>
      <c r="C700" t="s">
        <v>0</v>
      </c>
      <c r="D700" s="2">
        <v>1</v>
      </c>
      <c r="E700" s="11" t="s">
        <v>2552</v>
      </c>
      <c r="F700" t="s">
        <v>959</v>
      </c>
      <c r="G700" s="2" t="s">
        <v>31</v>
      </c>
      <c r="H700" s="1">
        <v>206.59400000000002</v>
      </c>
    </row>
    <row r="701" spans="1:8" x14ac:dyDescent="0.3">
      <c r="A701" s="2">
        <v>543</v>
      </c>
      <c r="B701" t="s">
        <v>3097</v>
      </c>
      <c r="C701" t="s">
        <v>3224</v>
      </c>
      <c r="D701" s="2">
        <v>1</v>
      </c>
      <c r="E701" s="11" t="s">
        <v>3095</v>
      </c>
      <c r="F701" t="s">
        <v>114</v>
      </c>
      <c r="G701" s="2" t="s">
        <v>23</v>
      </c>
      <c r="H701" s="1">
        <v>58.19400000000001</v>
      </c>
    </row>
    <row r="702" spans="1:8" x14ac:dyDescent="0.3">
      <c r="A702" s="2">
        <v>543</v>
      </c>
      <c r="B702" t="s">
        <v>2781</v>
      </c>
      <c r="C702" t="s">
        <v>0</v>
      </c>
      <c r="D702" s="2">
        <v>1</v>
      </c>
      <c r="E702" s="11" t="s">
        <v>2552</v>
      </c>
      <c r="F702" t="s">
        <v>114</v>
      </c>
      <c r="G702" s="2" t="s">
        <v>4</v>
      </c>
      <c r="H702" s="1">
        <v>206.59400000000002</v>
      </c>
    </row>
    <row r="703" spans="1:8" x14ac:dyDescent="0.3">
      <c r="A703" s="2">
        <v>543</v>
      </c>
      <c r="B703" t="s">
        <v>2899</v>
      </c>
      <c r="C703" t="s">
        <v>3224</v>
      </c>
      <c r="D703" s="2">
        <v>1</v>
      </c>
      <c r="E703" s="11" t="s">
        <v>2898</v>
      </c>
      <c r="F703" t="s">
        <v>36</v>
      </c>
      <c r="G703" s="2" t="s">
        <v>4</v>
      </c>
      <c r="H703" s="1">
        <v>74.094000000000008</v>
      </c>
    </row>
    <row r="704" spans="1:8" x14ac:dyDescent="0.3">
      <c r="A704" s="2">
        <v>543</v>
      </c>
      <c r="B704" t="s">
        <v>3096</v>
      </c>
      <c r="C704" t="s">
        <v>3224</v>
      </c>
      <c r="D704" s="2">
        <v>1</v>
      </c>
      <c r="E704" s="11" t="s">
        <v>3095</v>
      </c>
      <c r="F704" t="s">
        <v>47</v>
      </c>
      <c r="G704" s="2" t="s">
        <v>4</v>
      </c>
      <c r="H704" s="1">
        <v>58.19400000000001</v>
      </c>
    </row>
    <row r="705" spans="1:8" x14ac:dyDescent="0.3">
      <c r="A705" s="2">
        <v>543</v>
      </c>
      <c r="B705" t="s">
        <v>2227</v>
      </c>
      <c r="C705" t="s">
        <v>3224</v>
      </c>
      <c r="D705" s="2">
        <v>1</v>
      </c>
      <c r="E705" s="11" t="s">
        <v>191</v>
      </c>
      <c r="F705" t="s">
        <v>47</v>
      </c>
      <c r="G705" s="2" t="s">
        <v>4</v>
      </c>
      <c r="H705" s="1">
        <v>63.494000000000007</v>
      </c>
    </row>
    <row r="706" spans="1:8" x14ac:dyDescent="0.3">
      <c r="A706" s="2">
        <v>543</v>
      </c>
      <c r="B706" t="s">
        <v>3094</v>
      </c>
      <c r="C706" t="s">
        <v>3225</v>
      </c>
      <c r="D706" s="2">
        <v>1</v>
      </c>
      <c r="E706" s="11" t="s">
        <v>3074</v>
      </c>
      <c r="F706" t="s">
        <v>39</v>
      </c>
      <c r="G706" s="2" t="s">
        <v>23</v>
      </c>
      <c r="H706" s="1">
        <v>127.09400000000001</v>
      </c>
    </row>
    <row r="707" spans="1:8" x14ac:dyDescent="0.3">
      <c r="A707" s="2">
        <v>543</v>
      </c>
      <c r="B707" t="s">
        <v>2786</v>
      </c>
      <c r="C707" t="s">
        <v>3225</v>
      </c>
      <c r="D707" s="2">
        <v>1</v>
      </c>
      <c r="E707" s="11" t="s">
        <v>2511</v>
      </c>
      <c r="F707" t="s">
        <v>39</v>
      </c>
      <c r="G707" s="2" t="s">
        <v>31</v>
      </c>
      <c r="H707" s="1">
        <v>164.19400000000002</v>
      </c>
    </row>
    <row r="708" spans="1:8" x14ac:dyDescent="0.3">
      <c r="A708" s="2">
        <v>543</v>
      </c>
      <c r="B708" t="s">
        <v>3093</v>
      </c>
      <c r="C708" t="s">
        <v>3</v>
      </c>
      <c r="D708" s="2">
        <v>1</v>
      </c>
      <c r="E708" s="11" t="s">
        <v>2203</v>
      </c>
      <c r="F708" t="s">
        <v>39</v>
      </c>
      <c r="G708" s="2" t="s">
        <v>31</v>
      </c>
      <c r="H708" s="1">
        <v>79.394000000000005</v>
      </c>
    </row>
    <row r="709" spans="1:8" x14ac:dyDescent="0.3">
      <c r="A709" s="2">
        <v>543</v>
      </c>
      <c r="B709" t="s">
        <v>3093</v>
      </c>
      <c r="C709" t="s">
        <v>3</v>
      </c>
      <c r="D709" s="2">
        <v>1</v>
      </c>
      <c r="E709" s="11" t="s">
        <v>2203</v>
      </c>
      <c r="F709" t="s">
        <v>39</v>
      </c>
      <c r="G709" s="2" t="s">
        <v>31</v>
      </c>
      <c r="H709" s="1">
        <v>79.394000000000005</v>
      </c>
    </row>
    <row r="710" spans="1:8" x14ac:dyDescent="0.3">
      <c r="A710" s="2">
        <v>543</v>
      </c>
      <c r="B710" t="s">
        <v>2574</v>
      </c>
      <c r="C710" t="s">
        <v>3</v>
      </c>
      <c r="D710" s="2">
        <v>1</v>
      </c>
      <c r="E710" s="11" t="s">
        <v>2203</v>
      </c>
      <c r="F710" t="s">
        <v>39</v>
      </c>
      <c r="G710" s="2" t="s">
        <v>23</v>
      </c>
      <c r="H710" s="1">
        <v>79.394000000000005</v>
      </c>
    </row>
    <row r="711" spans="1:8" x14ac:dyDescent="0.3">
      <c r="A711" s="2">
        <v>543</v>
      </c>
      <c r="B711" t="s">
        <v>3026</v>
      </c>
      <c r="C711" t="s">
        <v>3219</v>
      </c>
      <c r="D711" s="2">
        <v>1</v>
      </c>
      <c r="E711" s="11" t="s">
        <v>2251</v>
      </c>
      <c r="F711" t="s">
        <v>39</v>
      </c>
      <c r="G711" s="2" t="s">
        <v>4</v>
      </c>
      <c r="H711" s="1">
        <v>169.49400000000003</v>
      </c>
    </row>
    <row r="712" spans="1:8" x14ac:dyDescent="0.3">
      <c r="A712" s="2">
        <v>543</v>
      </c>
      <c r="B712" t="s">
        <v>3092</v>
      </c>
      <c r="C712" t="s">
        <v>3219</v>
      </c>
      <c r="D712" s="2">
        <v>1</v>
      </c>
      <c r="E712" s="11" t="s">
        <v>2251</v>
      </c>
      <c r="F712" t="s">
        <v>36</v>
      </c>
      <c r="G712" s="2" t="s">
        <v>31</v>
      </c>
      <c r="H712" s="1">
        <v>169.49400000000003</v>
      </c>
    </row>
    <row r="713" spans="1:8" x14ac:dyDescent="0.3">
      <c r="A713" s="2">
        <v>543</v>
      </c>
      <c r="B713" t="s">
        <v>822</v>
      </c>
      <c r="C713" t="s">
        <v>3224</v>
      </c>
      <c r="D713" s="2">
        <v>1</v>
      </c>
      <c r="E713" s="11" t="s">
        <v>191</v>
      </c>
      <c r="F713" t="s">
        <v>36</v>
      </c>
      <c r="G713" s="2" t="s">
        <v>31</v>
      </c>
      <c r="H713" s="1">
        <v>63.494000000000007</v>
      </c>
    </row>
    <row r="714" spans="1:8" x14ac:dyDescent="0.3">
      <c r="A714" s="2">
        <v>543</v>
      </c>
      <c r="B714" t="s">
        <v>3091</v>
      </c>
      <c r="C714" t="s">
        <v>3225</v>
      </c>
      <c r="D714" s="2">
        <v>1</v>
      </c>
      <c r="E714" s="11" t="s">
        <v>3074</v>
      </c>
      <c r="F714" t="s">
        <v>28</v>
      </c>
      <c r="G714" s="2" t="s">
        <v>31</v>
      </c>
      <c r="H714" s="1">
        <v>127.09400000000001</v>
      </c>
    </row>
    <row r="715" spans="1:8" x14ac:dyDescent="0.3">
      <c r="A715" s="2">
        <v>543</v>
      </c>
      <c r="B715" t="s">
        <v>3090</v>
      </c>
      <c r="C715" t="s">
        <v>0</v>
      </c>
      <c r="D715" s="2">
        <v>1</v>
      </c>
      <c r="E715" s="11" t="s">
        <v>3089</v>
      </c>
      <c r="F715" t="s">
        <v>28</v>
      </c>
      <c r="G715" s="2" t="s">
        <v>4</v>
      </c>
      <c r="H715" s="1">
        <v>195.99400000000003</v>
      </c>
    </row>
    <row r="716" spans="1:8" x14ac:dyDescent="0.3">
      <c r="A716" s="2">
        <v>543</v>
      </c>
      <c r="B716" t="s">
        <v>2526</v>
      </c>
      <c r="C716" t="s">
        <v>3225</v>
      </c>
      <c r="D716" s="2">
        <v>1</v>
      </c>
      <c r="E716" s="11" t="s">
        <v>2511</v>
      </c>
      <c r="F716" t="s">
        <v>28</v>
      </c>
      <c r="G716" s="2" t="s">
        <v>4</v>
      </c>
      <c r="H716" s="1">
        <v>164.19400000000002</v>
      </c>
    </row>
    <row r="717" spans="1:8" x14ac:dyDescent="0.3">
      <c r="A717" s="2">
        <v>543</v>
      </c>
      <c r="B717" t="s">
        <v>3088</v>
      </c>
      <c r="C717" t="s">
        <v>2</v>
      </c>
      <c r="D717" s="2">
        <v>1</v>
      </c>
      <c r="E717" s="11" t="s">
        <v>3087</v>
      </c>
      <c r="F717" t="s">
        <v>28</v>
      </c>
      <c r="G717" s="2" t="s">
        <v>23</v>
      </c>
      <c r="H717" s="1">
        <v>148.29400000000001</v>
      </c>
    </row>
    <row r="718" spans="1:8" x14ac:dyDescent="0.3">
      <c r="A718" s="2">
        <v>544</v>
      </c>
      <c r="B718" t="s">
        <v>3086</v>
      </c>
      <c r="C718" t="s">
        <v>3334</v>
      </c>
      <c r="D718" s="2">
        <v>1</v>
      </c>
      <c r="E718" s="11" t="s">
        <v>2486</v>
      </c>
      <c r="F718" t="s">
        <v>114</v>
      </c>
      <c r="G718" s="2" t="s">
        <v>31</v>
      </c>
      <c r="H718" s="1">
        <v>105.89400000000001</v>
      </c>
    </row>
    <row r="719" spans="1:8" x14ac:dyDescent="0.3">
      <c r="A719" s="2">
        <v>544</v>
      </c>
      <c r="B719" t="s">
        <v>2553</v>
      </c>
      <c r="C719" t="s">
        <v>0</v>
      </c>
      <c r="D719" s="2">
        <v>1</v>
      </c>
      <c r="E719" s="11" t="s">
        <v>2552</v>
      </c>
      <c r="F719" t="s">
        <v>114</v>
      </c>
      <c r="G719" s="2" t="s">
        <v>23</v>
      </c>
      <c r="H719" s="1">
        <v>206.59400000000002</v>
      </c>
    </row>
    <row r="720" spans="1:8" x14ac:dyDescent="0.3">
      <c r="A720" s="2">
        <v>544</v>
      </c>
      <c r="B720" t="s">
        <v>3085</v>
      </c>
      <c r="C720" t="s">
        <v>3334</v>
      </c>
      <c r="D720" s="2">
        <v>2</v>
      </c>
      <c r="E720" s="11" t="s">
        <v>2486</v>
      </c>
      <c r="F720" t="s">
        <v>2622</v>
      </c>
      <c r="G720" s="2" t="s">
        <v>31</v>
      </c>
      <c r="H720" s="1">
        <v>105.89400000000001</v>
      </c>
    </row>
    <row r="721" spans="1:8" x14ac:dyDescent="0.3">
      <c r="A721" s="2">
        <v>544</v>
      </c>
      <c r="B721" t="s">
        <v>3084</v>
      </c>
      <c r="C721" t="s">
        <v>3219</v>
      </c>
      <c r="D721" s="2">
        <v>1</v>
      </c>
      <c r="E721" s="11" t="s">
        <v>2251</v>
      </c>
      <c r="F721" t="s">
        <v>39</v>
      </c>
      <c r="G721" s="2" t="s">
        <v>31</v>
      </c>
      <c r="H721" s="1">
        <v>169.49400000000003</v>
      </c>
    </row>
    <row r="722" spans="1:8" x14ac:dyDescent="0.3">
      <c r="A722" s="2">
        <v>544</v>
      </c>
      <c r="B722" t="s">
        <v>2052</v>
      </c>
      <c r="C722" t="s">
        <v>3224</v>
      </c>
      <c r="D722" s="2">
        <v>1</v>
      </c>
      <c r="E722" s="11" t="s">
        <v>191</v>
      </c>
      <c r="F722" t="s">
        <v>36</v>
      </c>
      <c r="G722" s="2" t="s">
        <v>4</v>
      </c>
      <c r="H722" s="1">
        <v>63.494000000000007</v>
      </c>
    </row>
    <row r="723" spans="1:8" x14ac:dyDescent="0.3">
      <c r="A723" s="2">
        <v>544</v>
      </c>
      <c r="B723" t="s">
        <v>2526</v>
      </c>
      <c r="C723" t="s">
        <v>3225</v>
      </c>
      <c r="D723" s="2">
        <v>1</v>
      </c>
      <c r="E723" s="11" t="s">
        <v>2511</v>
      </c>
      <c r="F723" t="s">
        <v>28</v>
      </c>
      <c r="G723" s="2" t="s">
        <v>4</v>
      </c>
      <c r="H723" s="1">
        <v>164.19400000000002</v>
      </c>
    </row>
    <row r="724" spans="1:8" x14ac:dyDescent="0.3">
      <c r="A724" s="2">
        <v>545</v>
      </c>
      <c r="B724" t="s">
        <v>3083</v>
      </c>
      <c r="C724" t="s">
        <v>3</v>
      </c>
      <c r="D724" s="2">
        <v>1</v>
      </c>
      <c r="E724" s="11" t="s">
        <v>3082</v>
      </c>
      <c r="F724" t="s">
        <v>114</v>
      </c>
      <c r="G724" s="2" t="s">
        <v>23</v>
      </c>
      <c r="H724" s="1">
        <v>84.694000000000017</v>
      </c>
    </row>
    <row r="725" spans="1:8" x14ac:dyDescent="0.3">
      <c r="A725" s="2">
        <v>545</v>
      </c>
      <c r="B725" t="s">
        <v>3052</v>
      </c>
      <c r="C725" t="s">
        <v>3224</v>
      </c>
      <c r="D725" s="2">
        <v>1</v>
      </c>
      <c r="E725" s="11" t="s">
        <v>193</v>
      </c>
      <c r="F725" t="s">
        <v>114</v>
      </c>
      <c r="G725" s="2" t="s">
        <v>23</v>
      </c>
      <c r="H725" s="1">
        <v>100.59400000000001</v>
      </c>
    </row>
    <row r="726" spans="1:8" x14ac:dyDescent="0.3">
      <c r="A726" s="2">
        <v>545</v>
      </c>
      <c r="B726" t="s">
        <v>833</v>
      </c>
      <c r="C726" t="s">
        <v>3224</v>
      </c>
      <c r="D726" s="2">
        <v>1</v>
      </c>
      <c r="E726" s="11" t="s">
        <v>193</v>
      </c>
      <c r="F726" t="s">
        <v>47</v>
      </c>
      <c r="G726" s="2" t="s">
        <v>23</v>
      </c>
      <c r="H726" s="1">
        <v>100.59400000000001</v>
      </c>
    </row>
    <row r="727" spans="1:8" x14ac:dyDescent="0.3">
      <c r="A727" s="2">
        <v>545</v>
      </c>
      <c r="B727" t="s">
        <v>3081</v>
      </c>
      <c r="C727" t="s">
        <v>0</v>
      </c>
      <c r="D727" s="2">
        <v>1</v>
      </c>
      <c r="E727" s="11" t="s">
        <v>2463</v>
      </c>
      <c r="F727" t="s">
        <v>36</v>
      </c>
      <c r="G727" s="2" t="s">
        <v>4</v>
      </c>
      <c r="H727" s="1">
        <v>158.89400000000001</v>
      </c>
    </row>
    <row r="728" spans="1:8" x14ac:dyDescent="0.3">
      <c r="A728" s="2">
        <v>546</v>
      </c>
      <c r="B728" t="s">
        <v>1841</v>
      </c>
      <c r="C728" t="s">
        <v>1</v>
      </c>
      <c r="D728" s="2">
        <v>1</v>
      </c>
      <c r="E728" s="11" t="s">
        <v>243</v>
      </c>
      <c r="F728" t="s">
        <v>55</v>
      </c>
      <c r="G728" s="2" t="s">
        <v>203</v>
      </c>
      <c r="H728" s="1">
        <v>31.693999999999999</v>
      </c>
    </row>
    <row r="729" spans="1:8" x14ac:dyDescent="0.3">
      <c r="A729" s="2">
        <v>546</v>
      </c>
      <c r="B729" t="s">
        <v>3034</v>
      </c>
      <c r="C729" t="s">
        <v>3219</v>
      </c>
      <c r="D729" s="2">
        <v>1</v>
      </c>
      <c r="E729" s="11" t="s">
        <v>2338</v>
      </c>
      <c r="F729" t="s">
        <v>65</v>
      </c>
      <c r="G729" s="2" t="s">
        <v>23</v>
      </c>
      <c r="H729" s="1">
        <v>153.59400000000002</v>
      </c>
    </row>
    <row r="730" spans="1:8" x14ac:dyDescent="0.3">
      <c r="A730" s="2">
        <v>546</v>
      </c>
      <c r="B730" t="s">
        <v>2986</v>
      </c>
      <c r="C730" t="s">
        <v>3220</v>
      </c>
      <c r="D730" s="2">
        <v>1</v>
      </c>
      <c r="E730" s="11" t="s">
        <v>2816</v>
      </c>
      <c r="F730" t="s">
        <v>28</v>
      </c>
      <c r="G730" s="2" t="s">
        <v>4</v>
      </c>
      <c r="H730" s="1">
        <v>63.494000000000007</v>
      </c>
    </row>
    <row r="731" spans="1:8" x14ac:dyDescent="0.3">
      <c r="A731" s="2">
        <v>546</v>
      </c>
      <c r="B731" t="s">
        <v>2676</v>
      </c>
      <c r="C731" t="s">
        <v>3220</v>
      </c>
      <c r="D731" s="2">
        <v>1</v>
      </c>
      <c r="E731" s="11" t="s">
        <v>2592</v>
      </c>
      <c r="F731" t="s">
        <v>28</v>
      </c>
      <c r="G731" s="2" t="s">
        <v>4</v>
      </c>
      <c r="H731" s="1">
        <v>21.094000000000001</v>
      </c>
    </row>
    <row r="732" spans="1:8" x14ac:dyDescent="0.3">
      <c r="A732" s="2">
        <v>546</v>
      </c>
      <c r="B732" t="s">
        <v>2593</v>
      </c>
      <c r="C732" t="s">
        <v>3220</v>
      </c>
      <c r="D732" s="2">
        <v>1</v>
      </c>
      <c r="E732" s="11" t="s">
        <v>2592</v>
      </c>
      <c r="F732" t="s">
        <v>28</v>
      </c>
      <c r="G732" s="2" t="s">
        <v>31</v>
      </c>
      <c r="H732" s="1">
        <v>21.094000000000001</v>
      </c>
    </row>
    <row r="733" spans="1:8" x14ac:dyDescent="0.3">
      <c r="A733" s="2">
        <v>546</v>
      </c>
      <c r="B733" t="s">
        <v>3080</v>
      </c>
      <c r="C733" t="s">
        <v>3219</v>
      </c>
      <c r="D733" s="2">
        <v>1</v>
      </c>
      <c r="E733" s="11" t="s">
        <v>102</v>
      </c>
      <c r="F733" t="s">
        <v>114</v>
      </c>
      <c r="G733" s="2" t="s">
        <v>31</v>
      </c>
      <c r="H733" s="1">
        <v>121.79400000000001</v>
      </c>
    </row>
    <row r="734" spans="1:8" x14ac:dyDescent="0.3">
      <c r="A734" s="2">
        <v>546</v>
      </c>
      <c r="B734" t="s">
        <v>3079</v>
      </c>
      <c r="C734" t="s">
        <v>3219</v>
      </c>
      <c r="D734" s="2">
        <v>1</v>
      </c>
      <c r="E734" s="11" t="s">
        <v>977</v>
      </c>
      <c r="F734" t="s">
        <v>114</v>
      </c>
      <c r="G734" s="2" t="s">
        <v>23</v>
      </c>
      <c r="H734" s="1">
        <v>116.49400000000001</v>
      </c>
    </row>
    <row r="735" spans="1:8" x14ac:dyDescent="0.3">
      <c r="A735" s="2">
        <v>546</v>
      </c>
      <c r="B735" t="s">
        <v>2211</v>
      </c>
      <c r="C735" t="s">
        <v>3224</v>
      </c>
      <c r="D735" s="2">
        <v>1</v>
      </c>
      <c r="E735" s="11" t="s">
        <v>193</v>
      </c>
      <c r="F735" t="s">
        <v>114</v>
      </c>
      <c r="G735" s="2" t="s">
        <v>4</v>
      </c>
      <c r="H735" s="1">
        <v>100.59400000000001</v>
      </c>
    </row>
    <row r="736" spans="1:8" x14ac:dyDescent="0.3">
      <c r="A736" s="2">
        <v>546</v>
      </c>
      <c r="B736" t="s">
        <v>3078</v>
      </c>
      <c r="C736" t="s">
        <v>3225</v>
      </c>
      <c r="D736" s="2">
        <v>2</v>
      </c>
      <c r="E736" s="11" t="s">
        <v>1394</v>
      </c>
      <c r="F736" t="s">
        <v>683</v>
      </c>
      <c r="G736" s="2" t="s">
        <v>4</v>
      </c>
      <c r="H736" s="1">
        <v>190.69400000000002</v>
      </c>
    </row>
    <row r="737" spans="1:8" x14ac:dyDescent="0.3">
      <c r="A737" s="2">
        <v>546</v>
      </c>
      <c r="B737" t="s">
        <v>3077</v>
      </c>
      <c r="C737" t="s">
        <v>3219</v>
      </c>
      <c r="D737" s="2">
        <v>1</v>
      </c>
      <c r="E737" s="11" t="s">
        <v>3076</v>
      </c>
      <c r="F737" t="s">
        <v>47</v>
      </c>
      <c r="G737" s="2" t="s">
        <v>31</v>
      </c>
      <c r="H737" s="1">
        <v>127.09400000000001</v>
      </c>
    </row>
    <row r="738" spans="1:8" x14ac:dyDescent="0.3">
      <c r="A738" s="2">
        <v>546</v>
      </c>
      <c r="B738" t="s">
        <v>3075</v>
      </c>
      <c r="C738" t="s">
        <v>3225</v>
      </c>
      <c r="D738" s="2">
        <v>1</v>
      </c>
      <c r="E738" s="11" t="s">
        <v>3074</v>
      </c>
      <c r="F738" t="s">
        <v>39</v>
      </c>
      <c r="G738" s="2" t="s">
        <v>31</v>
      </c>
      <c r="H738" s="1">
        <v>127.09400000000001</v>
      </c>
    </row>
    <row r="739" spans="1:8" x14ac:dyDescent="0.3">
      <c r="A739" s="2">
        <v>546</v>
      </c>
      <c r="B739" t="s">
        <v>3073</v>
      </c>
      <c r="C739" t="s">
        <v>3217</v>
      </c>
      <c r="D739" s="2">
        <v>1</v>
      </c>
      <c r="E739" s="11" t="s">
        <v>3072</v>
      </c>
      <c r="F739" t="s">
        <v>39</v>
      </c>
      <c r="G739" s="2" t="s">
        <v>4</v>
      </c>
      <c r="H739" s="1">
        <v>79.394000000000005</v>
      </c>
    </row>
    <row r="740" spans="1:8" x14ac:dyDescent="0.3">
      <c r="A740" s="2">
        <v>546</v>
      </c>
      <c r="B740" t="s">
        <v>3071</v>
      </c>
      <c r="C740" t="s">
        <v>0</v>
      </c>
      <c r="D740" s="2">
        <v>1</v>
      </c>
      <c r="E740" s="11" t="s">
        <v>2784</v>
      </c>
      <c r="F740" t="s">
        <v>39</v>
      </c>
      <c r="G740" s="2" t="s">
        <v>23</v>
      </c>
      <c r="H740" s="1">
        <v>148.29400000000001</v>
      </c>
    </row>
    <row r="741" spans="1:8" x14ac:dyDescent="0.3">
      <c r="A741" s="2">
        <v>546</v>
      </c>
      <c r="B741" t="s">
        <v>3070</v>
      </c>
      <c r="C741" t="s">
        <v>0</v>
      </c>
      <c r="D741" s="2">
        <v>1</v>
      </c>
      <c r="E741" s="11" t="s">
        <v>2784</v>
      </c>
      <c r="F741" t="s">
        <v>28</v>
      </c>
      <c r="G741" s="2" t="s">
        <v>4</v>
      </c>
      <c r="H741" s="1">
        <v>148.29400000000001</v>
      </c>
    </row>
    <row r="742" spans="1:8" x14ac:dyDescent="0.3">
      <c r="A742" s="2">
        <v>547</v>
      </c>
      <c r="B742" t="s">
        <v>2955</v>
      </c>
      <c r="C742" t="s">
        <v>0</v>
      </c>
      <c r="D742" s="2">
        <v>1</v>
      </c>
      <c r="E742" s="11" t="s">
        <v>2692</v>
      </c>
      <c r="F742" t="s">
        <v>114</v>
      </c>
      <c r="G742" s="2" t="s">
        <v>4</v>
      </c>
      <c r="H742" s="1">
        <v>158.89400000000001</v>
      </c>
    </row>
    <row r="743" spans="1:8" x14ac:dyDescent="0.3">
      <c r="A743" s="2">
        <v>547</v>
      </c>
      <c r="B743" t="s">
        <v>2675</v>
      </c>
      <c r="C743" t="s">
        <v>3220</v>
      </c>
      <c r="D743" s="2">
        <v>1</v>
      </c>
      <c r="E743" s="11" t="s">
        <v>2592</v>
      </c>
      <c r="F743" t="s">
        <v>28</v>
      </c>
      <c r="G743" s="2" t="s">
        <v>23</v>
      </c>
      <c r="H743" s="1">
        <v>21.094000000000001</v>
      </c>
    </row>
    <row r="744" spans="1:8" x14ac:dyDescent="0.3">
      <c r="A744" s="2">
        <v>547</v>
      </c>
      <c r="B744" t="s">
        <v>3055</v>
      </c>
      <c r="C744" t="s">
        <v>3224</v>
      </c>
      <c r="D744" s="2">
        <v>1</v>
      </c>
      <c r="E744" s="11" t="s">
        <v>2849</v>
      </c>
      <c r="F744" t="s">
        <v>55</v>
      </c>
      <c r="G744" s="2" t="s">
        <v>31</v>
      </c>
      <c r="H744" s="1">
        <v>58.19400000000001</v>
      </c>
    </row>
    <row r="745" spans="1:8" x14ac:dyDescent="0.3">
      <c r="A745" s="2">
        <v>547</v>
      </c>
      <c r="B745" t="s">
        <v>3069</v>
      </c>
      <c r="C745" t="s">
        <v>3224</v>
      </c>
      <c r="D745" s="2">
        <v>1</v>
      </c>
      <c r="E745" s="11" t="s">
        <v>2849</v>
      </c>
      <c r="F745" t="s">
        <v>55</v>
      </c>
      <c r="G745" s="2" t="s">
        <v>23</v>
      </c>
      <c r="H745" s="1">
        <v>58.19400000000001</v>
      </c>
    </row>
    <row r="746" spans="1:8" x14ac:dyDescent="0.3">
      <c r="A746" s="2">
        <v>547</v>
      </c>
      <c r="B746" t="s">
        <v>3068</v>
      </c>
      <c r="C746" t="s">
        <v>3224</v>
      </c>
      <c r="D746" s="2">
        <v>1</v>
      </c>
      <c r="E746" s="11" t="s">
        <v>2379</v>
      </c>
      <c r="F746" t="s">
        <v>28</v>
      </c>
      <c r="G746" s="2" t="s">
        <v>31</v>
      </c>
      <c r="H746" s="1">
        <v>95.294000000000011</v>
      </c>
    </row>
    <row r="747" spans="1:8" x14ac:dyDescent="0.3">
      <c r="A747" s="2">
        <v>547</v>
      </c>
      <c r="B747" t="s">
        <v>2815</v>
      </c>
      <c r="C747" t="s">
        <v>3219</v>
      </c>
      <c r="D747" s="2">
        <v>1</v>
      </c>
      <c r="E747" s="11" t="s">
        <v>2237</v>
      </c>
      <c r="F747" t="s">
        <v>28</v>
      </c>
      <c r="G747" s="2" t="s">
        <v>23</v>
      </c>
      <c r="H747" s="1">
        <v>185.39400000000001</v>
      </c>
    </row>
    <row r="748" spans="1:8" x14ac:dyDescent="0.3">
      <c r="A748" s="2">
        <v>547</v>
      </c>
      <c r="B748" t="s">
        <v>3067</v>
      </c>
      <c r="C748" t="s">
        <v>3224</v>
      </c>
      <c r="D748" s="2">
        <v>1</v>
      </c>
      <c r="E748" s="11" t="s">
        <v>3066</v>
      </c>
      <c r="F748" t="s">
        <v>114</v>
      </c>
      <c r="G748" s="2" t="s">
        <v>23</v>
      </c>
      <c r="H748" s="1">
        <v>95.294000000000011</v>
      </c>
    </row>
    <row r="749" spans="1:8" x14ac:dyDescent="0.3">
      <c r="A749" s="2">
        <v>547</v>
      </c>
      <c r="B749" t="s">
        <v>2714</v>
      </c>
      <c r="C749" t="s">
        <v>1</v>
      </c>
      <c r="D749" s="2">
        <v>1</v>
      </c>
      <c r="E749" s="11" t="s">
        <v>2136</v>
      </c>
      <c r="F749" t="s">
        <v>39</v>
      </c>
      <c r="G749" s="2" t="s">
        <v>4</v>
      </c>
      <c r="H749" s="1">
        <v>52.893999999999998</v>
      </c>
    </row>
    <row r="750" spans="1:8" x14ac:dyDescent="0.3">
      <c r="A750" s="2">
        <v>547</v>
      </c>
      <c r="B750" t="s">
        <v>2825</v>
      </c>
      <c r="C750" t="s">
        <v>1</v>
      </c>
      <c r="D750" s="2">
        <v>1</v>
      </c>
      <c r="E750" s="11" t="s">
        <v>2136</v>
      </c>
      <c r="F750" t="s">
        <v>39</v>
      </c>
      <c r="G750" s="2" t="s">
        <v>31</v>
      </c>
      <c r="H750" s="1">
        <v>52.893999999999998</v>
      </c>
    </row>
    <row r="751" spans="1:8" x14ac:dyDescent="0.3">
      <c r="A751" s="2">
        <v>547</v>
      </c>
      <c r="B751" t="s">
        <v>3065</v>
      </c>
      <c r="C751" t="s">
        <v>1</v>
      </c>
      <c r="D751" s="2">
        <v>1</v>
      </c>
      <c r="E751" s="11" t="s">
        <v>2136</v>
      </c>
      <c r="F751" t="s">
        <v>39</v>
      </c>
      <c r="G751" s="2" t="s">
        <v>23</v>
      </c>
      <c r="H751" s="1">
        <v>52.893999999999998</v>
      </c>
    </row>
    <row r="752" spans="1:8" x14ac:dyDescent="0.3">
      <c r="A752" s="2">
        <v>547</v>
      </c>
      <c r="B752" t="s">
        <v>3064</v>
      </c>
      <c r="C752" t="s">
        <v>0</v>
      </c>
      <c r="D752" s="2">
        <v>1</v>
      </c>
      <c r="E752" s="11" t="s">
        <v>2784</v>
      </c>
      <c r="F752" t="s">
        <v>39</v>
      </c>
      <c r="G752" s="2" t="s">
        <v>4</v>
      </c>
      <c r="H752" s="1">
        <v>148.29400000000001</v>
      </c>
    </row>
    <row r="753" spans="1:8" x14ac:dyDescent="0.3">
      <c r="A753" s="2">
        <v>547</v>
      </c>
      <c r="B753" t="s">
        <v>2885</v>
      </c>
      <c r="C753" t="s">
        <v>3219</v>
      </c>
      <c r="D753" s="2">
        <v>1</v>
      </c>
      <c r="E753" s="11" t="s">
        <v>2313</v>
      </c>
      <c r="F753" t="s">
        <v>28</v>
      </c>
      <c r="G753" s="2" t="s">
        <v>23</v>
      </c>
      <c r="H753" s="1">
        <v>158.89400000000001</v>
      </c>
    </row>
    <row r="754" spans="1:8" x14ac:dyDescent="0.3">
      <c r="A754" s="2">
        <v>548</v>
      </c>
      <c r="B754" t="s">
        <v>2893</v>
      </c>
      <c r="C754" t="s">
        <v>0</v>
      </c>
      <c r="D754" s="2">
        <v>1</v>
      </c>
      <c r="E754" s="11" t="s">
        <v>2611</v>
      </c>
      <c r="F754" t="s">
        <v>65</v>
      </c>
      <c r="G754" s="2" t="s">
        <v>4</v>
      </c>
      <c r="H754" s="1">
        <v>169.49400000000003</v>
      </c>
    </row>
    <row r="755" spans="1:8" x14ac:dyDescent="0.3">
      <c r="A755" s="2">
        <v>548</v>
      </c>
      <c r="B755" t="s">
        <v>3063</v>
      </c>
      <c r="C755" t="s">
        <v>0</v>
      </c>
      <c r="D755" s="2">
        <v>1</v>
      </c>
      <c r="E755" s="11" t="s">
        <v>2692</v>
      </c>
      <c r="F755" t="s">
        <v>114</v>
      </c>
      <c r="G755" s="2" t="s">
        <v>23</v>
      </c>
      <c r="H755" s="1">
        <v>158.89400000000001</v>
      </c>
    </row>
    <row r="756" spans="1:8" x14ac:dyDescent="0.3">
      <c r="A756" s="2">
        <v>548</v>
      </c>
      <c r="B756" t="s">
        <v>2902</v>
      </c>
      <c r="C756" t="s">
        <v>0</v>
      </c>
      <c r="D756" s="2">
        <v>1</v>
      </c>
      <c r="E756" s="11" t="s">
        <v>2681</v>
      </c>
      <c r="F756" t="s">
        <v>28</v>
      </c>
      <c r="G756" s="2" t="s">
        <v>23</v>
      </c>
      <c r="H756" s="1">
        <v>142.994</v>
      </c>
    </row>
    <row r="757" spans="1:8" x14ac:dyDescent="0.3">
      <c r="A757" s="2">
        <v>548</v>
      </c>
      <c r="B757" t="s">
        <v>3062</v>
      </c>
      <c r="C757" t="s">
        <v>0</v>
      </c>
      <c r="D757" s="2">
        <v>1</v>
      </c>
      <c r="E757" s="11" t="s">
        <v>2681</v>
      </c>
      <c r="F757" t="s">
        <v>55</v>
      </c>
      <c r="G757" s="2" t="s">
        <v>31</v>
      </c>
      <c r="H757" s="1">
        <v>142.994</v>
      </c>
    </row>
    <row r="758" spans="1:8" x14ac:dyDescent="0.3">
      <c r="A758" s="2">
        <v>548</v>
      </c>
      <c r="B758" t="s">
        <v>3061</v>
      </c>
      <c r="C758" t="s">
        <v>0</v>
      </c>
      <c r="D758" s="2">
        <v>1</v>
      </c>
      <c r="E758" s="11" t="s">
        <v>3057</v>
      </c>
      <c r="F758" t="s">
        <v>28</v>
      </c>
      <c r="G758" s="2" t="s">
        <v>23</v>
      </c>
      <c r="H758" s="1">
        <v>169.49400000000003</v>
      </c>
    </row>
    <row r="759" spans="1:8" x14ac:dyDescent="0.3">
      <c r="A759" s="2">
        <v>548</v>
      </c>
      <c r="B759" t="s">
        <v>2951</v>
      </c>
      <c r="C759" t="s">
        <v>3224</v>
      </c>
      <c r="D759" s="2">
        <v>1</v>
      </c>
      <c r="E759" s="11" t="s">
        <v>2212</v>
      </c>
      <c r="F759" t="s">
        <v>28</v>
      </c>
      <c r="G759" s="2" t="s">
        <v>23</v>
      </c>
      <c r="H759" s="1">
        <v>79.394000000000005</v>
      </c>
    </row>
    <row r="760" spans="1:8" x14ac:dyDescent="0.3">
      <c r="A760" s="2">
        <v>548</v>
      </c>
      <c r="B760" t="s">
        <v>3060</v>
      </c>
      <c r="C760" t="s">
        <v>0</v>
      </c>
      <c r="D760" s="2">
        <v>1</v>
      </c>
      <c r="E760" s="11" t="s">
        <v>2982</v>
      </c>
      <c r="F760" t="s">
        <v>114</v>
      </c>
      <c r="G760" s="2" t="s">
        <v>31</v>
      </c>
      <c r="H760" s="1">
        <v>185.39400000000001</v>
      </c>
    </row>
    <row r="761" spans="1:8" x14ac:dyDescent="0.3">
      <c r="A761" s="2">
        <v>548</v>
      </c>
      <c r="B761" t="s">
        <v>2973</v>
      </c>
      <c r="C761" t="s">
        <v>3224</v>
      </c>
      <c r="D761" s="2">
        <v>1</v>
      </c>
      <c r="E761" s="11" t="s">
        <v>2212</v>
      </c>
      <c r="F761" t="s">
        <v>114</v>
      </c>
      <c r="G761" s="2" t="s">
        <v>31</v>
      </c>
      <c r="H761" s="1">
        <v>79.394000000000005</v>
      </c>
    </row>
    <row r="762" spans="1:8" x14ac:dyDescent="0.3">
      <c r="A762" s="2">
        <v>548</v>
      </c>
      <c r="B762" t="s">
        <v>3059</v>
      </c>
      <c r="C762" t="s">
        <v>3224</v>
      </c>
      <c r="D762" s="2">
        <v>1</v>
      </c>
      <c r="E762" s="11" t="s">
        <v>2212</v>
      </c>
      <c r="F762" t="s">
        <v>114</v>
      </c>
      <c r="G762" s="2" t="s">
        <v>23</v>
      </c>
      <c r="H762" s="1">
        <v>79.394000000000005</v>
      </c>
    </row>
    <row r="763" spans="1:8" x14ac:dyDescent="0.3">
      <c r="A763" s="2">
        <v>548</v>
      </c>
      <c r="B763" t="s">
        <v>3058</v>
      </c>
      <c r="C763" t="s">
        <v>0</v>
      </c>
      <c r="D763" s="2">
        <v>1</v>
      </c>
      <c r="E763" s="11" t="s">
        <v>3057</v>
      </c>
      <c r="F763" t="s">
        <v>47</v>
      </c>
      <c r="G763" s="2" t="s">
        <v>31</v>
      </c>
      <c r="H763" s="1">
        <v>169.49400000000003</v>
      </c>
    </row>
    <row r="764" spans="1:8" x14ac:dyDescent="0.3">
      <c r="A764" s="2">
        <v>548</v>
      </c>
      <c r="B764" t="s">
        <v>2947</v>
      </c>
      <c r="C764" t="s">
        <v>3225</v>
      </c>
      <c r="D764" s="2">
        <v>1</v>
      </c>
      <c r="E764" s="11" t="s">
        <v>2636</v>
      </c>
      <c r="F764" t="s">
        <v>47</v>
      </c>
      <c r="G764" s="2" t="s">
        <v>31</v>
      </c>
      <c r="H764" s="1">
        <v>158.89400000000001</v>
      </c>
    </row>
    <row r="765" spans="1:8" x14ac:dyDescent="0.3">
      <c r="A765" s="2">
        <v>548</v>
      </c>
      <c r="B765" t="s">
        <v>226</v>
      </c>
      <c r="C765" t="s">
        <v>3224</v>
      </c>
      <c r="D765" s="2">
        <v>1</v>
      </c>
      <c r="E765" s="11" t="s">
        <v>193</v>
      </c>
      <c r="F765" t="s">
        <v>47</v>
      </c>
      <c r="G765" s="2" t="s">
        <v>31</v>
      </c>
      <c r="H765" s="1">
        <v>100.59400000000001</v>
      </c>
    </row>
    <row r="766" spans="1:8" x14ac:dyDescent="0.3">
      <c r="A766" s="2">
        <v>548</v>
      </c>
      <c r="B766" t="s">
        <v>833</v>
      </c>
      <c r="C766" t="s">
        <v>3224</v>
      </c>
      <c r="D766" s="2">
        <v>2</v>
      </c>
      <c r="E766" s="11" t="s">
        <v>193</v>
      </c>
      <c r="F766" t="s">
        <v>47</v>
      </c>
      <c r="G766" s="2" t="s">
        <v>23</v>
      </c>
      <c r="H766" s="1">
        <v>100.59400000000001</v>
      </c>
    </row>
    <row r="767" spans="1:8" x14ac:dyDescent="0.3">
      <c r="A767" s="2">
        <v>548</v>
      </c>
      <c r="B767" t="s">
        <v>584</v>
      </c>
      <c r="C767" t="s">
        <v>3219</v>
      </c>
      <c r="D767" s="2">
        <v>1</v>
      </c>
      <c r="E767" s="11" t="s">
        <v>66</v>
      </c>
      <c r="F767" t="s">
        <v>47</v>
      </c>
      <c r="G767" s="2" t="s">
        <v>31</v>
      </c>
      <c r="H767" s="1">
        <v>180.09400000000002</v>
      </c>
    </row>
    <row r="768" spans="1:8" x14ac:dyDescent="0.3">
      <c r="A768" s="2">
        <v>548</v>
      </c>
      <c r="B768" t="s">
        <v>983</v>
      </c>
      <c r="C768" t="s">
        <v>3224</v>
      </c>
      <c r="D768" s="2">
        <v>1</v>
      </c>
      <c r="E768" s="11" t="s">
        <v>193</v>
      </c>
      <c r="F768" t="s">
        <v>39</v>
      </c>
      <c r="G768" s="2" t="s">
        <v>31</v>
      </c>
      <c r="H768" s="1">
        <v>100.59400000000001</v>
      </c>
    </row>
    <row r="769" spans="1:8" x14ac:dyDescent="0.3">
      <c r="A769" s="2">
        <v>549</v>
      </c>
      <c r="B769" t="s">
        <v>3056</v>
      </c>
      <c r="C769" t="s">
        <v>3</v>
      </c>
      <c r="D769" s="2">
        <v>1</v>
      </c>
      <c r="E769" s="11" t="s">
        <v>2203</v>
      </c>
      <c r="F769" t="s">
        <v>65</v>
      </c>
      <c r="G769" s="2" t="s">
        <v>4</v>
      </c>
      <c r="H769" s="1">
        <v>79.394000000000005</v>
      </c>
    </row>
    <row r="770" spans="1:8" x14ac:dyDescent="0.3">
      <c r="A770" s="2">
        <v>549</v>
      </c>
      <c r="B770" t="s">
        <v>400</v>
      </c>
      <c r="C770" t="s">
        <v>3219</v>
      </c>
      <c r="D770" s="2">
        <v>1</v>
      </c>
      <c r="E770" s="11" t="s">
        <v>66</v>
      </c>
      <c r="F770" t="s">
        <v>126</v>
      </c>
      <c r="G770" s="2" t="s">
        <v>23</v>
      </c>
      <c r="H770" s="1">
        <v>180.09400000000002</v>
      </c>
    </row>
    <row r="771" spans="1:8" x14ac:dyDescent="0.3">
      <c r="A771" s="2">
        <v>549</v>
      </c>
      <c r="B771" t="s">
        <v>3055</v>
      </c>
      <c r="C771" t="s">
        <v>3224</v>
      </c>
      <c r="D771" s="2">
        <v>1</v>
      </c>
      <c r="E771" s="11" t="s">
        <v>2849</v>
      </c>
      <c r="F771" t="s">
        <v>55</v>
      </c>
      <c r="G771" s="2" t="s">
        <v>31</v>
      </c>
      <c r="H771" s="1">
        <v>58.19400000000001</v>
      </c>
    </row>
    <row r="772" spans="1:8" x14ac:dyDescent="0.3">
      <c r="A772" s="2">
        <v>549</v>
      </c>
      <c r="B772" t="s">
        <v>3035</v>
      </c>
      <c r="C772" t="s">
        <v>3224</v>
      </c>
      <c r="D772" s="2">
        <v>1</v>
      </c>
      <c r="E772" s="11" t="s">
        <v>2212</v>
      </c>
      <c r="F772" t="s">
        <v>28</v>
      </c>
      <c r="G772" s="2" t="s">
        <v>31</v>
      </c>
      <c r="H772" s="1">
        <v>79.394000000000005</v>
      </c>
    </row>
    <row r="773" spans="1:8" x14ac:dyDescent="0.3">
      <c r="A773" s="2">
        <v>549</v>
      </c>
      <c r="B773" t="s">
        <v>1221</v>
      </c>
      <c r="C773" t="s">
        <v>3219</v>
      </c>
      <c r="D773" s="2">
        <v>2</v>
      </c>
      <c r="E773" s="11" t="s">
        <v>66</v>
      </c>
      <c r="F773" t="s">
        <v>28</v>
      </c>
      <c r="G773" s="2" t="s">
        <v>23</v>
      </c>
      <c r="H773" s="1">
        <v>180.09400000000002</v>
      </c>
    </row>
    <row r="774" spans="1:8" x14ac:dyDescent="0.3">
      <c r="A774" s="2">
        <v>549</v>
      </c>
      <c r="B774" t="s">
        <v>3054</v>
      </c>
      <c r="C774" t="s">
        <v>3224</v>
      </c>
      <c r="D774" s="2">
        <v>1</v>
      </c>
      <c r="E774" s="11" t="s">
        <v>2849</v>
      </c>
      <c r="F774" t="s">
        <v>28</v>
      </c>
      <c r="G774" s="2" t="s">
        <v>23</v>
      </c>
      <c r="H774" s="1">
        <v>58.19400000000001</v>
      </c>
    </row>
    <row r="775" spans="1:8" x14ac:dyDescent="0.3">
      <c r="A775" s="2">
        <v>549</v>
      </c>
      <c r="B775" t="s">
        <v>2642</v>
      </c>
      <c r="C775" t="s">
        <v>3219</v>
      </c>
      <c r="D775" s="2">
        <v>1</v>
      </c>
      <c r="E775" s="11" t="s">
        <v>2123</v>
      </c>
      <c r="F775" t="s">
        <v>47</v>
      </c>
      <c r="G775" s="2" t="s">
        <v>4</v>
      </c>
      <c r="H775" s="1">
        <v>142.994</v>
      </c>
    </row>
    <row r="776" spans="1:8" x14ac:dyDescent="0.3">
      <c r="A776" s="2">
        <v>549</v>
      </c>
      <c r="B776" t="s">
        <v>301</v>
      </c>
      <c r="C776" t="s">
        <v>3219</v>
      </c>
      <c r="D776" s="2">
        <v>1</v>
      </c>
      <c r="E776" s="11" t="s">
        <v>66</v>
      </c>
      <c r="F776" t="s">
        <v>47</v>
      </c>
      <c r="G776" s="2" t="s">
        <v>4</v>
      </c>
      <c r="H776" s="1">
        <v>180.09400000000002</v>
      </c>
    </row>
    <row r="777" spans="1:8" x14ac:dyDescent="0.3">
      <c r="A777" s="2">
        <v>549</v>
      </c>
      <c r="B777" t="s">
        <v>300</v>
      </c>
      <c r="C777" t="s">
        <v>3219</v>
      </c>
      <c r="D777" s="2">
        <v>1</v>
      </c>
      <c r="E777" s="11" t="s">
        <v>66</v>
      </c>
      <c r="F777" t="s">
        <v>47</v>
      </c>
      <c r="G777" s="2" t="s">
        <v>23</v>
      </c>
      <c r="H777" s="1">
        <v>180.09400000000002</v>
      </c>
    </row>
    <row r="778" spans="1:8" x14ac:dyDescent="0.3">
      <c r="A778" s="2">
        <v>549</v>
      </c>
      <c r="B778" t="s">
        <v>3053</v>
      </c>
      <c r="C778" t="s">
        <v>3219</v>
      </c>
      <c r="D778" s="2">
        <v>1</v>
      </c>
      <c r="E778" s="11" t="s">
        <v>2123</v>
      </c>
      <c r="F778" t="s">
        <v>39</v>
      </c>
      <c r="G778" s="2" t="s">
        <v>23</v>
      </c>
      <c r="H778" s="1">
        <v>142.994</v>
      </c>
    </row>
    <row r="779" spans="1:8" x14ac:dyDescent="0.3">
      <c r="A779" s="2">
        <v>549</v>
      </c>
      <c r="B779" t="s">
        <v>2574</v>
      </c>
      <c r="C779" t="s">
        <v>3</v>
      </c>
      <c r="D779" s="2">
        <v>1</v>
      </c>
      <c r="E779" s="11" t="s">
        <v>2203</v>
      </c>
      <c r="F779" t="s">
        <v>39</v>
      </c>
      <c r="G779" s="2" t="s">
        <v>23</v>
      </c>
      <c r="H779" s="1">
        <v>79.394000000000005</v>
      </c>
    </row>
    <row r="780" spans="1:8" x14ac:dyDescent="0.3">
      <c r="A780" s="2">
        <v>550</v>
      </c>
      <c r="B780" t="s">
        <v>2598</v>
      </c>
      <c r="C780" t="s">
        <v>3224</v>
      </c>
      <c r="D780" s="2">
        <v>1</v>
      </c>
      <c r="E780" s="11" t="s">
        <v>193</v>
      </c>
      <c r="F780" t="s">
        <v>65</v>
      </c>
      <c r="G780" s="2" t="s">
        <v>31</v>
      </c>
      <c r="H780" s="1">
        <v>100.59400000000001</v>
      </c>
    </row>
    <row r="781" spans="1:8" x14ac:dyDescent="0.3">
      <c r="A781" s="2">
        <v>550</v>
      </c>
      <c r="B781" t="s">
        <v>2782</v>
      </c>
      <c r="C781" t="s">
        <v>3224</v>
      </c>
      <c r="D781" s="2">
        <v>1</v>
      </c>
      <c r="E781" s="11" t="s">
        <v>2212</v>
      </c>
      <c r="F781" t="s">
        <v>55</v>
      </c>
      <c r="G781" s="2" t="s">
        <v>23</v>
      </c>
      <c r="H781" s="1">
        <v>79.394000000000005</v>
      </c>
    </row>
    <row r="782" spans="1:8" x14ac:dyDescent="0.3">
      <c r="A782" s="2">
        <v>550</v>
      </c>
      <c r="B782" t="s">
        <v>2213</v>
      </c>
      <c r="C782" t="s">
        <v>3224</v>
      </c>
      <c r="D782" s="2">
        <v>1</v>
      </c>
      <c r="E782" s="11" t="s">
        <v>2212</v>
      </c>
      <c r="F782" t="s">
        <v>28</v>
      </c>
      <c r="G782" s="2" t="s">
        <v>4</v>
      </c>
      <c r="H782" s="1">
        <v>79.394000000000005</v>
      </c>
    </row>
    <row r="783" spans="1:8" x14ac:dyDescent="0.3">
      <c r="A783" s="2">
        <v>550</v>
      </c>
      <c r="B783" t="s">
        <v>3035</v>
      </c>
      <c r="C783" t="s">
        <v>3224</v>
      </c>
      <c r="D783" s="2">
        <v>1</v>
      </c>
      <c r="E783" s="11" t="s">
        <v>2212</v>
      </c>
      <c r="F783" t="s">
        <v>28</v>
      </c>
      <c r="G783" s="2" t="s">
        <v>31</v>
      </c>
      <c r="H783" s="1">
        <v>79.394000000000005</v>
      </c>
    </row>
    <row r="784" spans="1:8" x14ac:dyDescent="0.3">
      <c r="A784" s="2">
        <v>550</v>
      </c>
      <c r="B784" t="s">
        <v>1067</v>
      </c>
      <c r="C784" t="s">
        <v>3224</v>
      </c>
      <c r="D784" s="2">
        <v>1</v>
      </c>
      <c r="E784" s="11" t="s">
        <v>193</v>
      </c>
      <c r="F784" t="s">
        <v>114</v>
      </c>
      <c r="G784" s="2" t="s">
        <v>31</v>
      </c>
      <c r="H784" s="1">
        <v>100.59400000000001</v>
      </c>
    </row>
    <row r="785" spans="1:8" x14ac:dyDescent="0.3">
      <c r="A785" s="2">
        <v>550</v>
      </c>
      <c r="B785" t="s">
        <v>3052</v>
      </c>
      <c r="C785" t="s">
        <v>3224</v>
      </c>
      <c r="D785" s="2">
        <v>1</v>
      </c>
      <c r="E785" s="11" t="s">
        <v>193</v>
      </c>
      <c r="F785" t="s">
        <v>114</v>
      </c>
      <c r="G785" s="2" t="s">
        <v>23</v>
      </c>
      <c r="H785" s="1">
        <v>100.59400000000001</v>
      </c>
    </row>
    <row r="786" spans="1:8" x14ac:dyDescent="0.3">
      <c r="A786" s="2">
        <v>550</v>
      </c>
      <c r="B786" t="s">
        <v>2607</v>
      </c>
      <c r="C786" t="s">
        <v>3224</v>
      </c>
      <c r="D786" s="2">
        <v>1</v>
      </c>
      <c r="E786" s="11" t="s">
        <v>193</v>
      </c>
      <c r="F786" t="s">
        <v>47</v>
      </c>
      <c r="G786" s="2" t="s">
        <v>4</v>
      </c>
      <c r="H786" s="1">
        <v>100.59400000000001</v>
      </c>
    </row>
    <row r="787" spans="1:8" x14ac:dyDescent="0.3">
      <c r="A787" s="2">
        <v>550</v>
      </c>
      <c r="B787" t="s">
        <v>226</v>
      </c>
      <c r="C787" t="s">
        <v>3224</v>
      </c>
      <c r="D787" s="2">
        <v>1</v>
      </c>
      <c r="E787" s="11" t="s">
        <v>193</v>
      </c>
      <c r="F787" t="s">
        <v>47</v>
      </c>
      <c r="G787" s="2" t="s">
        <v>31</v>
      </c>
      <c r="H787" s="1">
        <v>100.59400000000001</v>
      </c>
    </row>
    <row r="788" spans="1:8" x14ac:dyDescent="0.3">
      <c r="A788" s="2">
        <v>550</v>
      </c>
      <c r="B788" t="s">
        <v>833</v>
      </c>
      <c r="C788" t="s">
        <v>3224</v>
      </c>
      <c r="D788" s="2">
        <v>1</v>
      </c>
      <c r="E788" s="11" t="s">
        <v>193</v>
      </c>
      <c r="F788" t="s">
        <v>47</v>
      </c>
      <c r="G788" s="2" t="s">
        <v>23</v>
      </c>
      <c r="H788" s="1">
        <v>100.59400000000001</v>
      </c>
    </row>
    <row r="789" spans="1:8" x14ac:dyDescent="0.3">
      <c r="A789" s="2">
        <v>550</v>
      </c>
      <c r="B789" t="s">
        <v>1577</v>
      </c>
      <c r="C789" t="s">
        <v>3224</v>
      </c>
      <c r="D789" s="2">
        <v>1</v>
      </c>
      <c r="E789" s="11" t="s">
        <v>193</v>
      </c>
      <c r="F789" t="s">
        <v>39</v>
      </c>
      <c r="G789" s="2" t="s">
        <v>23</v>
      </c>
      <c r="H789" s="1">
        <v>100.59400000000001</v>
      </c>
    </row>
    <row r="790" spans="1:8" x14ac:dyDescent="0.3">
      <c r="A790" s="2">
        <v>550</v>
      </c>
      <c r="B790" t="s">
        <v>979</v>
      </c>
      <c r="C790" t="s">
        <v>3224</v>
      </c>
      <c r="D790" s="2">
        <v>1</v>
      </c>
      <c r="E790" s="11" t="s">
        <v>193</v>
      </c>
      <c r="F790" t="s">
        <v>36</v>
      </c>
      <c r="G790" s="2" t="s">
        <v>31</v>
      </c>
      <c r="H790" s="1">
        <v>100.59400000000001</v>
      </c>
    </row>
    <row r="791" spans="1:8" x14ac:dyDescent="0.3">
      <c r="A791" s="2">
        <v>550</v>
      </c>
      <c r="B791" t="s">
        <v>194</v>
      </c>
      <c r="C791" t="s">
        <v>3224</v>
      </c>
      <c r="D791" s="2">
        <v>1</v>
      </c>
      <c r="E791" s="11" t="s">
        <v>193</v>
      </c>
      <c r="F791" t="s">
        <v>36</v>
      </c>
      <c r="G791" s="2" t="s">
        <v>23</v>
      </c>
      <c r="H791" s="1">
        <v>100.59400000000001</v>
      </c>
    </row>
    <row r="792" spans="1:8" x14ac:dyDescent="0.3">
      <c r="A792" s="2">
        <v>550</v>
      </c>
      <c r="B792" t="s">
        <v>2775</v>
      </c>
      <c r="C792" t="s">
        <v>3224</v>
      </c>
      <c r="D792" s="2">
        <v>1</v>
      </c>
      <c r="E792" s="11" t="s">
        <v>2212</v>
      </c>
      <c r="F792" t="s">
        <v>36</v>
      </c>
      <c r="G792" s="2" t="s">
        <v>23</v>
      </c>
      <c r="H792" s="1">
        <v>79.394000000000005</v>
      </c>
    </row>
    <row r="793" spans="1:8" x14ac:dyDescent="0.3">
      <c r="A793" s="2">
        <v>551</v>
      </c>
      <c r="B793" t="s">
        <v>2275</v>
      </c>
      <c r="C793" t="s">
        <v>1</v>
      </c>
      <c r="D793" s="2">
        <v>1</v>
      </c>
      <c r="E793" s="11" t="s">
        <v>243</v>
      </c>
      <c r="F793" t="s">
        <v>65</v>
      </c>
      <c r="G793" s="2" t="s">
        <v>4</v>
      </c>
      <c r="H793" s="1">
        <v>31.693999999999999</v>
      </c>
    </row>
    <row r="794" spans="1:8" x14ac:dyDescent="0.3">
      <c r="A794" s="2">
        <v>551</v>
      </c>
      <c r="B794" t="s">
        <v>3051</v>
      </c>
      <c r="C794" t="s">
        <v>0</v>
      </c>
      <c r="D794" s="2">
        <v>1</v>
      </c>
      <c r="E794" s="11" t="s">
        <v>2681</v>
      </c>
      <c r="F794" t="s">
        <v>55</v>
      </c>
      <c r="G794" s="2" t="s">
        <v>4</v>
      </c>
      <c r="H794" s="1">
        <v>142.994</v>
      </c>
    </row>
    <row r="795" spans="1:8" x14ac:dyDescent="0.3">
      <c r="A795" s="2">
        <v>551</v>
      </c>
      <c r="B795" t="s">
        <v>2980</v>
      </c>
      <c r="C795" t="s">
        <v>3224</v>
      </c>
      <c r="D795" s="2">
        <v>1</v>
      </c>
      <c r="E795" s="11" t="s">
        <v>2638</v>
      </c>
      <c r="F795" t="s">
        <v>28</v>
      </c>
      <c r="G795" s="2" t="s">
        <v>31</v>
      </c>
      <c r="H795" s="1">
        <v>58.19400000000001</v>
      </c>
    </row>
    <row r="796" spans="1:8" x14ac:dyDescent="0.3">
      <c r="A796" s="2">
        <v>551</v>
      </c>
      <c r="B796" t="s">
        <v>3028</v>
      </c>
      <c r="C796" t="s">
        <v>3</v>
      </c>
      <c r="D796" s="2">
        <v>1</v>
      </c>
      <c r="E796" s="11" t="s">
        <v>2602</v>
      </c>
      <c r="F796" t="s">
        <v>114</v>
      </c>
      <c r="G796" s="2" t="s">
        <v>31</v>
      </c>
      <c r="H796" s="1">
        <v>100.59400000000001</v>
      </c>
    </row>
    <row r="797" spans="1:8" x14ac:dyDescent="0.3">
      <c r="A797" s="2">
        <v>551</v>
      </c>
      <c r="B797" t="s">
        <v>2609</v>
      </c>
      <c r="C797" t="s">
        <v>3</v>
      </c>
      <c r="D797" s="2">
        <v>1</v>
      </c>
      <c r="E797" s="11" t="s">
        <v>2602</v>
      </c>
      <c r="F797" t="s">
        <v>114</v>
      </c>
      <c r="G797" s="2" t="s">
        <v>23</v>
      </c>
      <c r="H797" s="1">
        <v>100.59400000000001</v>
      </c>
    </row>
    <row r="798" spans="1:8" x14ac:dyDescent="0.3">
      <c r="A798" s="2">
        <v>551</v>
      </c>
      <c r="B798" t="s">
        <v>2974</v>
      </c>
      <c r="C798" t="s">
        <v>3224</v>
      </c>
      <c r="D798" s="2">
        <v>1</v>
      </c>
      <c r="E798" s="11" t="s">
        <v>2600</v>
      </c>
      <c r="F798" t="s">
        <v>114</v>
      </c>
      <c r="G798" s="2" t="s">
        <v>31</v>
      </c>
      <c r="H798" s="1">
        <v>42.294000000000004</v>
      </c>
    </row>
    <row r="799" spans="1:8" x14ac:dyDescent="0.3">
      <c r="A799" s="2">
        <v>551</v>
      </c>
      <c r="B799" t="s">
        <v>2608</v>
      </c>
      <c r="C799" t="s">
        <v>3224</v>
      </c>
      <c r="D799" s="2">
        <v>1</v>
      </c>
      <c r="E799" s="11" t="s">
        <v>2600</v>
      </c>
      <c r="F799" t="s">
        <v>114</v>
      </c>
      <c r="G799" s="2" t="s">
        <v>23</v>
      </c>
      <c r="H799" s="1">
        <v>42.294000000000004</v>
      </c>
    </row>
    <row r="800" spans="1:8" x14ac:dyDescent="0.3">
      <c r="A800" s="2">
        <v>551</v>
      </c>
      <c r="B800" t="s">
        <v>3050</v>
      </c>
      <c r="C800" t="s">
        <v>3219</v>
      </c>
      <c r="D800" s="2">
        <v>1</v>
      </c>
      <c r="E800" s="11" t="s">
        <v>2313</v>
      </c>
      <c r="F800" t="s">
        <v>2021</v>
      </c>
      <c r="G800" s="2" t="s">
        <v>23</v>
      </c>
      <c r="H800" s="1">
        <v>158.89400000000001</v>
      </c>
    </row>
    <row r="801" spans="1:8" x14ac:dyDescent="0.3">
      <c r="A801" s="2">
        <v>551</v>
      </c>
      <c r="B801" t="s">
        <v>3049</v>
      </c>
      <c r="C801" t="s">
        <v>3221</v>
      </c>
      <c r="D801" s="2">
        <v>1</v>
      </c>
      <c r="E801" s="11" t="s">
        <v>383</v>
      </c>
      <c r="F801" t="s">
        <v>47</v>
      </c>
      <c r="G801" s="2" t="s">
        <v>31</v>
      </c>
      <c r="H801" s="1">
        <v>164.19400000000002</v>
      </c>
    </row>
    <row r="802" spans="1:8" x14ac:dyDescent="0.3">
      <c r="A802" s="2">
        <v>551</v>
      </c>
      <c r="B802" t="s">
        <v>3048</v>
      </c>
      <c r="C802" t="s">
        <v>0</v>
      </c>
      <c r="D802" s="2">
        <v>1</v>
      </c>
      <c r="E802" s="11" t="s">
        <v>2463</v>
      </c>
      <c r="F802" t="s">
        <v>47</v>
      </c>
      <c r="G802" s="2" t="s">
        <v>4</v>
      </c>
      <c r="H802" s="1">
        <v>158.89400000000001</v>
      </c>
    </row>
    <row r="803" spans="1:8" x14ac:dyDescent="0.3">
      <c r="A803" s="2">
        <v>551</v>
      </c>
      <c r="B803" t="s">
        <v>2785</v>
      </c>
      <c r="C803" t="s">
        <v>0</v>
      </c>
      <c r="D803" s="2">
        <v>1</v>
      </c>
      <c r="E803" s="11" t="s">
        <v>2784</v>
      </c>
      <c r="F803" t="s">
        <v>39</v>
      </c>
      <c r="G803" s="2" t="s">
        <v>31</v>
      </c>
      <c r="H803" s="1">
        <v>148.29400000000001</v>
      </c>
    </row>
    <row r="804" spans="1:8" x14ac:dyDescent="0.3">
      <c r="A804" s="2">
        <v>551</v>
      </c>
      <c r="B804" t="s">
        <v>1235</v>
      </c>
      <c r="C804" t="s">
        <v>1</v>
      </c>
      <c r="D804" s="2">
        <v>1</v>
      </c>
      <c r="E804" s="11" t="s">
        <v>281</v>
      </c>
      <c r="F804" t="s">
        <v>39</v>
      </c>
      <c r="G804" s="2" t="s">
        <v>23</v>
      </c>
      <c r="H804" s="1">
        <v>58.194000000000003</v>
      </c>
    </row>
    <row r="805" spans="1:8" x14ac:dyDescent="0.3">
      <c r="A805" s="2">
        <v>552</v>
      </c>
      <c r="B805" t="s">
        <v>3047</v>
      </c>
      <c r="C805" t="s">
        <v>3219</v>
      </c>
      <c r="D805" s="2">
        <v>1</v>
      </c>
      <c r="E805" s="11" t="s">
        <v>66</v>
      </c>
      <c r="F805" t="s">
        <v>114</v>
      </c>
      <c r="G805" s="2" t="s">
        <v>4</v>
      </c>
      <c r="H805" s="1">
        <v>180.09400000000002</v>
      </c>
    </row>
    <row r="806" spans="1:8" x14ac:dyDescent="0.3">
      <c r="A806" s="2">
        <v>552</v>
      </c>
      <c r="B806" t="s">
        <v>2236</v>
      </c>
      <c r="C806" t="s">
        <v>3219</v>
      </c>
      <c r="D806" s="2">
        <v>1</v>
      </c>
      <c r="E806" s="11" t="s">
        <v>66</v>
      </c>
      <c r="F806" t="s">
        <v>114</v>
      </c>
      <c r="G806" s="2" t="s">
        <v>23</v>
      </c>
      <c r="H806" s="1">
        <v>180.09400000000002</v>
      </c>
    </row>
    <row r="807" spans="1:8" x14ac:dyDescent="0.3">
      <c r="A807" s="2">
        <v>552</v>
      </c>
      <c r="B807" t="s">
        <v>778</v>
      </c>
      <c r="C807" t="s">
        <v>3219</v>
      </c>
      <c r="D807" s="2">
        <v>1</v>
      </c>
      <c r="E807" s="11" t="s">
        <v>66</v>
      </c>
      <c r="F807" t="s">
        <v>28</v>
      </c>
      <c r="G807" s="2" t="s">
        <v>4</v>
      </c>
      <c r="H807" s="1">
        <v>180.09400000000002</v>
      </c>
    </row>
    <row r="808" spans="1:8" x14ac:dyDescent="0.3">
      <c r="A808" s="2">
        <v>552</v>
      </c>
      <c r="B808" t="s">
        <v>1221</v>
      </c>
      <c r="C808" t="s">
        <v>3219</v>
      </c>
      <c r="D808" s="2">
        <v>1</v>
      </c>
      <c r="E808" s="11" t="s">
        <v>66</v>
      </c>
      <c r="F808" t="s">
        <v>28</v>
      </c>
      <c r="G808" s="2" t="s">
        <v>23</v>
      </c>
      <c r="H808" s="1">
        <v>180.09400000000002</v>
      </c>
    </row>
    <row r="809" spans="1:8" x14ac:dyDescent="0.3">
      <c r="A809" s="2">
        <v>552</v>
      </c>
      <c r="B809" t="s">
        <v>1297</v>
      </c>
      <c r="C809" t="s">
        <v>3221</v>
      </c>
      <c r="D809" s="2">
        <v>1</v>
      </c>
      <c r="E809" s="11" t="s">
        <v>383</v>
      </c>
      <c r="F809" t="s">
        <v>114</v>
      </c>
      <c r="G809" s="2" t="s">
        <v>4</v>
      </c>
      <c r="H809" s="1">
        <v>164.19400000000002</v>
      </c>
    </row>
    <row r="810" spans="1:8" x14ac:dyDescent="0.3">
      <c r="A810" s="2">
        <v>552</v>
      </c>
      <c r="B810" t="s">
        <v>2229</v>
      </c>
      <c r="C810" t="s">
        <v>3219</v>
      </c>
      <c r="D810" s="2">
        <v>1</v>
      </c>
      <c r="E810" s="11" t="s">
        <v>2228</v>
      </c>
      <c r="F810" t="s">
        <v>47</v>
      </c>
      <c r="G810" s="2" t="s">
        <v>4</v>
      </c>
      <c r="H810" s="1">
        <v>137.69400000000002</v>
      </c>
    </row>
    <row r="811" spans="1:8" x14ac:dyDescent="0.3">
      <c r="A811" s="2">
        <v>552</v>
      </c>
      <c r="B811" t="s">
        <v>2860</v>
      </c>
      <c r="C811" t="s">
        <v>3219</v>
      </c>
      <c r="D811" s="2">
        <v>1</v>
      </c>
      <c r="E811" s="11" t="s">
        <v>2228</v>
      </c>
      <c r="F811" t="s">
        <v>47</v>
      </c>
      <c r="G811" s="2" t="s">
        <v>23</v>
      </c>
      <c r="H811" s="1">
        <v>137.69400000000002</v>
      </c>
    </row>
    <row r="812" spans="1:8" x14ac:dyDescent="0.3">
      <c r="A812" s="2">
        <v>552</v>
      </c>
      <c r="B812" t="s">
        <v>226</v>
      </c>
      <c r="C812" t="s">
        <v>3224</v>
      </c>
      <c r="D812" s="2">
        <v>1</v>
      </c>
      <c r="E812" s="11" t="s">
        <v>193</v>
      </c>
      <c r="F812" t="s">
        <v>47</v>
      </c>
      <c r="G812" s="2" t="s">
        <v>31</v>
      </c>
      <c r="H812" s="1">
        <v>100.59400000000001</v>
      </c>
    </row>
    <row r="813" spans="1:8" x14ac:dyDescent="0.3">
      <c r="A813" s="2">
        <v>552</v>
      </c>
      <c r="B813" t="s">
        <v>300</v>
      </c>
      <c r="C813" t="s">
        <v>3219</v>
      </c>
      <c r="D813" s="2">
        <v>2</v>
      </c>
      <c r="E813" s="11" t="s">
        <v>66</v>
      </c>
      <c r="F813" t="s">
        <v>47</v>
      </c>
      <c r="G813" s="2" t="s">
        <v>23</v>
      </c>
      <c r="H813" s="1">
        <v>180.09400000000002</v>
      </c>
    </row>
    <row r="814" spans="1:8" x14ac:dyDescent="0.3">
      <c r="A814" s="2">
        <v>552</v>
      </c>
      <c r="B814" t="s">
        <v>3046</v>
      </c>
      <c r="C814" t="s">
        <v>3219</v>
      </c>
      <c r="D814" s="2">
        <v>1</v>
      </c>
      <c r="E814" s="11" t="s">
        <v>2228</v>
      </c>
      <c r="F814" t="s">
        <v>39</v>
      </c>
      <c r="G814" s="2" t="s">
        <v>4</v>
      </c>
      <c r="H814" s="1">
        <v>137.69400000000002</v>
      </c>
    </row>
    <row r="815" spans="1:8" x14ac:dyDescent="0.3">
      <c r="A815" s="2">
        <v>552</v>
      </c>
      <c r="B815" t="s">
        <v>3045</v>
      </c>
      <c r="C815" t="s">
        <v>3219</v>
      </c>
      <c r="D815" s="2">
        <v>1</v>
      </c>
      <c r="E815" s="11" t="s">
        <v>2228</v>
      </c>
      <c r="F815" t="s">
        <v>39</v>
      </c>
      <c r="G815" s="2" t="s">
        <v>31</v>
      </c>
      <c r="H815" s="1">
        <v>137.69400000000002</v>
      </c>
    </row>
    <row r="816" spans="1:8" x14ac:dyDescent="0.3">
      <c r="A816" s="2">
        <v>553</v>
      </c>
      <c r="B816" t="s">
        <v>3044</v>
      </c>
      <c r="C816" t="s">
        <v>3224</v>
      </c>
      <c r="D816" s="2">
        <v>1</v>
      </c>
      <c r="E816" s="11" t="s">
        <v>2898</v>
      </c>
      <c r="F816" t="s">
        <v>65</v>
      </c>
      <c r="G816" s="2" t="s">
        <v>4</v>
      </c>
      <c r="H816" s="1">
        <v>74.094000000000008</v>
      </c>
    </row>
    <row r="817" spans="1:8" x14ac:dyDescent="0.3">
      <c r="A817" s="2">
        <v>553</v>
      </c>
      <c r="B817" t="s">
        <v>3043</v>
      </c>
      <c r="C817" t="s">
        <v>3715</v>
      </c>
      <c r="D817" s="2">
        <v>1</v>
      </c>
      <c r="E817" s="11" t="s">
        <v>2896</v>
      </c>
      <c r="F817" t="s">
        <v>65</v>
      </c>
      <c r="G817" s="2" t="s">
        <v>4</v>
      </c>
      <c r="H817" s="1">
        <v>84.694000000000017</v>
      </c>
    </row>
    <row r="818" spans="1:8" x14ac:dyDescent="0.3">
      <c r="A818" s="2">
        <v>553</v>
      </c>
      <c r="B818" t="s">
        <v>3042</v>
      </c>
      <c r="C818" t="s">
        <v>3</v>
      </c>
      <c r="D818" s="2">
        <v>1</v>
      </c>
      <c r="E818" s="11" t="s">
        <v>2756</v>
      </c>
      <c r="F818" t="s">
        <v>65</v>
      </c>
      <c r="G818" s="2" t="s">
        <v>23</v>
      </c>
      <c r="H818" s="1">
        <v>121.79400000000001</v>
      </c>
    </row>
    <row r="819" spans="1:8" x14ac:dyDescent="0.3">
      <c r="A819" s="2">
        <v>553</v>
      </c>
      <c r="B819" t="s">
        <v>2675</v>
      </c>
      <c r="C819" t="s">
        <v>3220</v>
      </c>
      <c r="D819" s="2">
        <v>1</v>
      </c>
      <c r="E819" s="11" t="s">
        <v>2592</v>
      </c>
      <c r="F819" t="s">
        <v>28</v>
      </c>
      <c r="G819" s="2" t="s">
        <v>23</v>
      </c>
      <c r="H819" s="1">
        <v>21.094000000000001</v>
      </c>
    </row>
    <row r="820" spans="1:8" x14ac:dyDescent="0.3">
      <c r="A820" s="2">
        <v>553</v>
      </c>
      <c r="B820" t="s">
        <v>3041</v>
      </c>
      <c r="C820" t="s">
        <v>3220</v>
      </c>
      <c r="D820" s="2">
        <v>1</v>
      </c>
      <c r="E820" s="11" t="s">
        <v>3040</v>
      </c>
      <c r="F820" t="s">
        <v>62</v>
      </c>
      <c r="G820" s="2" t="s">
        <v>4</v>
      </c>
      <c r="H820" s="1">
        <v>15.793999999999999</v>
      </c>
    </row>
    <row r="821" spans="1:8" x14ac:dyDescent="0.3">
      <c r="A821" s="2">
        <v>553</v>
      </c>
      <c r="B821" t="s">
        <v>3039</v>
      </c>
      <c r="C821" t="s">
        <v>3</v>
      </c>
      <c r="D821" s="2">
        <v>1</v>
      </c>
      <c r="E821" s="11" t="s">
        <v>3038</v>
      </c>
      <c r="F821" t="s">
        <v>62</v>
      </c>
      <c r="G821" s="2" t="s">
        <v>4</v>
      </c>
      <c r="H821" s="1">
        <v>100.59400000000001</v>
      </c>
    </row>
    <row r="822" spans="1:8" x14ac:dyDescent="0.3">
      <c r="A822" s="2">
        <v>553</v>
      </c>
      <c r="B822" t="s">
        <v>3028</v>
      </c>
      <c r="C822" t="s">
        <v>3</v>
      </c>
      <c r="D822" s="2">
        <v>1</v>
      </c>
      <c r="E822" s="11" t="s">
        <v>2602</v>
      </c>
      <c r="F822" t="s">
        <v>114</v>
      </c>
      <c r="G822" s="2" t="s">
        <v>31</v>
      </c>
      <c r="H822" s="1">
        <v>100.59400000000001</v>
      </c>
    </row>
    <row r="823" spans="1:8" x14ac:dyDescent="0.3">
      <c r="A823" s="2">
        <v>553</v>
      </c>
      <c r="B823" t="s">
        <v>2974</v>
      </c>
      <c r="C823" t="s">
        <v>3224</v>
      </c>
      <c r="D823" s="2">
        <v>1</v>
      </c>
      <c r="E823" s="11" t="s">
        <v>2600</v>
      </c>
      <c r="F823" t="s">
        <v>114</v>
      </c>
      <c r="G823" s="2" t="s">
        <v>31</v>
      </c>
      <c r="H823" s="1">
        <v>42.294000000000004</v>
      </c>
    </row>
    <row r="824" spans="1:8" x14ac:dyDescent="0.3">
      <c r="A824" s="2">
        <v>553</v>
      </c>
      <c r="B824" t="s">
        <v>2464</v>
      </c>
      <c r="C824" t="s">
        <v>0</v>
      </c>
      <c r="D824" s="2">
        <v>1</v>
      </c>
      <c r="E824" s="11" t="s">
        <v>2463</v>
      </c>
      <c r="F824" t="s">
        <v>47</v>
      </c>
      <c r="G824" s="2" t="s">
        <v>31</v>
      </c>
      <c r="H824" s="1">
        <v>158.89400000000001</v>
      </c>
    </row>
    <row r="825" spans="1:8" x14ac:dyDescent="0.3">
      <c r="A825" s="2">
        <v>553</v>
      </c>
      <c r="B825" t="s">
        <v>3037</v>
      </c>
      <c r="C825" t="s">
        <v>1</v>
      </c>
      <c r="D825" s="2">
        <v>1</v>
      </c>
      <c r="E825" s="11" t="s">
        <v>2136</v>
      </c>
      <c r="F825" t="s">
        <v>39</v>
      </c>
      <c r="G825" s="2" t="s">
        <v>203</v>
      </c>
      <c r="H825" s="1">
        <v>52.893999999999998</v>
      </c>
    </row>
    <row r="826" spans="1:8" x14ac:dyDescent="0.3">
      <c r="A826" s="2">
        <v>553</v>
      </c>
      <c r="B826" t="s">
        <v>2796</v>
      </c>
      <c r="C826" t="s">
        <v>3220</v>
      </c>
      <c r="D826" s="2">
        <v>1</v>
      </c>
      <c r="E826" s="11" t="s">
        <v>2592</v>
      </c>
      <c r="F826" t="s">
        <v>39</v>
      </c>
      <c r="G826" s="2" t="s">
        <v>4</v>
      </c>
      <c r="H826" s="1">
        <v>21.094000000000001</v>
      </c>
    </row>
    <row r="827" spans="1:8" x14ac:dyDescent="0.3">
      <c r="A827" s="2">
        <v>553</v>
      </c>
      <c r="B827" t="s">
        <v>2881</v>
      </c>
      <c r="C827" t="s">
        <v>3</v>
      </c>
      <c r="D827" s="2">
        <v>1</v>
      </c>
      <c r="E827" s="11" t="s">
        <v>2756</v>
      </c>
      <c r="F827" t="s">
        <v>28</v>
      </c>
      <c r="G827" s="2" t="s">
        <v>4</v>
      </c>
      <c r="H827" s="1">
        <v>121.79400000000001</v>
      </c>
    </row>
    <row r="828" spans="1:8" x14ac:dyDescent="0.3">
      <c r="A828" s="2">
        <v>554</v>
      </c>
      <c r="B828" t="s">
        <v>3036</v>
      </c>
      <c r="C828" t="s">
        <v>3224</v>
      </c>
      <c r="D828" s="2">
        <v>1</v>
      </c>
      <c r="E828" s="11" t="s">
        <v>193</v>
      </c>
      <c r="F828" t="s">
        <v>65</v>
      </c>
      <c r="G828" s="2" t="s">
        <v>4</v>
      </c>
      <c r="H828" s="1">
        <v>100.59400000000001</v>
      </c>
    </row>
    <row r="829" spans="1:8" x14ac:dyDescent="0.3">
      <c r="A829" s="2">
        <v>554</v>
      </c>
      <c r="B829" t="s">
        <v>2690</v>
      </c>
      <c r="C829" t="s">
        <v>3224</v>
      </c>
      <c r="D829" s="2">
        <v>1</v>
      </c>
      <c r="E829" s="11" t="s">
        <v>2212</v>
      </c>
      <c r="F829" t="s">
        <v>55</v>
      </c>
      <c r="G829" s="2" t="s">
        <v>31</v>
      </c>
      <c r="H829" s="1">
        <v>79.394000000000005</v>
      </c>
    </row>
    <row r="830" spans="1:8" x14ac:dyDescent="0.3">
      <c r="A830" s="2">
        <v>554</v>
      </c>
      <c r="B830" t="s">
        <v>3035</v>
      </c>
      <c r="C830" t="s">
        <v>3224</v>
      </c>
      <c r="D830" s="2">
        <v>2</v>
      </c>
      <c r="E830" s="11" t="s">
        <v>2212</v>
      </c>
      <c r="F830" t="s">
        <v>28</v>
      </c>
      <c r="G830" s="2" t="s">
        <v>31</v>
      </c>
      <c r="H830" s="1">
        <v>79.394000000000005</v>
      </c>
    </row>
    <row r="831" spans="1:8" x14ac:dyDescent="0.3">
      <c r="A831" s="2">
        <v>554</v>
      </c>
      <c r="B831" t="s">
        <v>2890</v>
      </c>
      <c r="C831" t="s">
        <v>3</v>
      </c>
      <c r="D831" s="2">
        <v>1</v>
      </c>
      <c r="E831" s="11" t="s">
        <v>2417</v>
      </c>
      <c r="F831" t="s">
        <v>959</v>
      </c>
      <c r="G831" s="2" t="s">
        <v>4</v>
      </c>
      <c r="H831" s="1">
        <v>74.094000000000008</v>
      </c>
    </row>
    <row r="832" spans="1:8" x14ac:dyDescent="0.3">
      <c r="A832" s="2">
        <v>554</v>
      </c>
      <c r="B832" t="s">
        <v>2418</v>
      </c>
      <c r="C832" t="s">
        <v>3</v>
      </c>
      <c r="D832" s="2">
        <v>1</v>
      </c>
      <c r="E832" s="11" t="s">
        <v>2417</v>
      </c>
      <c r="F832" t="s">
        <v>959</v>
      </c>
      <c r="G832" s="2" t="s">
        <v>31</v>
      </c>
      <c r="H832" s="1">
        <v>74.094000000000008</v>
      </c>
    </row>
    <row r="833" spans="1:8" x14ac:dyDescent="0.3">
      <c r="A833" s="2">
        <v>554</v>
      </c>
      <c r="B833" t="s">
        <v>3030</v>
      </c>
      <c r="C833" t="s">
        <v>3219</v>
      </c>
      <c r="D833" s="2">
        <v>1</v>
      </c>
      <c r="E833" s="11" t="s">
        <v>977</v>
      </c>
      <c r="F833" t="s">
        <v>114</v>
      </c>
      <c r="G833" s="2" t="s">
        <v>31</v>
      </c>
      <c r="H833" s="1">
        <v>116.49400000000001</v>
      </c>
    </row>
    <row r="834" spans="1:8" x14ac:dyDescent="0.3">
      <c r="A834" s="2">
        <v>554</v>
      </c>
      <c r="B834" t="s">
        <v>1265</v>
      </c>
      <c r="C834" t="s">
        <v>3219</v>
      </c>
      <c r="D834" s="2">
        <v>2</v>
      </c>
      <c r="E834" s="11" t="s">
        <v>534</v>
      </c>
      <c r="F834" t="s">
        <v>47</v>
      </c>
      <c r="G834" s="2" t="s">
        <v>31</v>
      </c>
      <c r="H834" s="1">
        <v>89.994000000000014</v>
      </c>
    </row>
    <row r="835" spans="1:8" x14ac:dyDescent="0.3">
      <c r="A835" s="2">
        <v>554</v>
      </c>
      <c r="B835" t="s">
        <v>2642</v>
      </c>
      <c r="C835" t="s">
        <v>3219</v>
      </c>
      <c r="D835" s="2">
        <v>1</v>
      </c>
      <c r="E835" s="11" t="s">
        <v>2123</v>
      </c>
      <c r="F835" t="s">
        <v>47</v>
      </c>
      <c r="G835" s="2" t="s">
        <v>4</v>
      </c>
      <c r="H835" s="1">
        <v>142.994</v>
      </c>
    </row>
    <row r="836" spans="1:8" x14ac:dyDescent="0.3">
      <c r="A836" s="2">
        <v>554</v>
      </c>
      <c r="B836" t="s">
        <v>2607</v>
      </c>
      <c r="C836" t="s">
        <v>3224</v>
      </c>
      <c r="D836" s="2">
        <v>1</v>
      </c>
      <c r="E836" s="11" t="s">
        <v>193</v>
      </c>
      <c r="F836" t="s">
        <v>47</v>
      </c>
      <c r="G836" s="2" t="s">
        <v>4</v>
      </c>
      <c r="H836" s="1">
        <v>100.59400000000001</v>
      </c>
    </row>
    <row r="837" spans="1:8" x14ac:dyDescent="0.3">
      <c r="A837" s="2">
        <v>554</v>
      </c>
      <c r="B837" t="s">
        <v>226</v>
      </c>
      <c r="C837" t="s">
        <v>3224</v>
      </c>
      <c r="D837" s="2">
        <v>1</v>
      </c>
      <c r="E837" s="11" t="s">
        <v>193</v>
      </c>
      <c r="F837" t="s">
        <v>47</v>
      </c>
      <c r="G837" s="2" t="s">
        <v>31</v>
      </c>
      <c r="H837" s="1">
        <v>100.59400000000001</v>
      </c>
    </row>
    <row r="838" spans="1:8" x14ac:dyDescent="0.3">
      <c r="A838" s="2">
        <v>554</v>
      </c>
      <c r="B838" t="s">
        <v>3025</v>
      </c>
      <c r="C838" t="s">
        <v>3224</v>
      </c>
      <c r="D838" s="2">
        <v>2</v>
      </c>
      <c r="E838" s="11" t="s">
        <v>191</v>
      </c>
      <c r="F838" t="s">
        <v>39</v>
      </c>
      <c r="G838" s="2" t="s">
        <v>4</v>
      </c>
      <c r="H838" s="1">
        <v>63.494000000000007</v>
      </c>
    </row>
    <row r="839" spans="1:8" x14ac:dyDescent="0.3">
      <c r="A839" s="2">
        <v>554</v>
      </c>
      <c r="B839" t="s">
        <v>979</v>
      </c>
      <c r="C839" t="s">
        <v>3224</v>
      </c>
      <c r="D839" s="2">
        <v>1</v>
      </c>
      <c r="E839" s="11" t="s">
        <v>193</v>
      </c>
      <c r="F839" t="s">
        <v>36</v>
      </c>
      <c r="G839" s="2" t="s">
        <v>31</v>
      </c>
      <c r="H839" s="1">
        <v>100.59400000000001</v>
      </c>
    </row>
    <row r="840" spans="1:8" x14ac:dyDescent="0.3">
      <c r="A840" s="2">
        <v>554</v>
      </c>
      <c r="B840" t="s">
        <v>2052</v>
      </c>
      <c r="C840" t="s">
        <v>3224</v>
      </c>
      <c r="D840" s="2">
        <v>1</v>
      </c>
      <c r="E840" s="11" t="s">
        <v>191</v>
      </c>
      <c r="F840" t="s">
        <v>36</v>
      </c>
      <c r="G840" s="2" t="s">
        <v>4</v>
      </c>
      <c r="H840" s="1">
        <v>63.494000000000007</v>
      </c>
    </row>
    <row r="841" spans="1:8" x14ac:dyDescent="0.3">
      <c r="A841" s="2">
        <v>554</v>
      </c>
      <c r="B841" t="s">
        <v>2944</v>
      </c>
      <c r="C841" t="s">
        <v>3224</v>
      </c>
      <c r="D841" s="2">
        <v>1</v>
      </c>
      <c r="E841" s="11" t="s">
        <v>2212</v>
      </c>
      <c r="F841" t="s">
        <v>36</v>
      </c>
      <c r="G841" s="2" t="s">
        <v>31</v>
      </c>
      <c r="H841" s="1">
        <v>79.394000000000005</v>
      </c>
    </row>
    <row r="842" spans="1:8" x14ac:dyDescent="0.3">
      <c r="A842" s="2">
        <v>554</v>
      </c>
      <c r="B842" t="s">
        <v>2453</v>
      </c>
      <c r="C842" t="s">
        <v>3219</v>
      </c>
      <c r="D842" s="2">
        <v>1</v>
      </c>
      <c r="E842" s="11" t="s">
        <v>2271</v>
      </c>
      <c r="F842" t="s">
        <v>28</v>
      </c>
      <c r="G842" s="2" t="s">
        <v>31</v>
      </c>
      <c r="H842" s="1">
        <v>121.79400000000001</v>
      </c>
    </row>
    <row r="843" spans="1:8" x14ac:dyDescent="0.3">
      <c r="A843" s="2">
        <v>555</v>
      </c>
      <c r="B843" t="s">
        <v>3034</v>
      </c>
      <c r="C843" t="s">
        <v>3219</v>
      </c>
      <c r="D843" s="2">
        <v>1</v>
      </c>
      <c r="E843" s="11" t="s">
        <v>2338</v>
      </c>
      <c r="F843" t="s">
        <v>65</v>
      </c>
      <c r="G843" s="2" t="s">
        <v>23</v>
      </c>
      <c r="H843" s="1">
        <v>153.59400000000002</v>
      </c>
    </row>
    <row r="844" spans="1:8" x14ac:dyDescent="0.3">
      <c r="A844" s="2">
        <v>555</v>
      </c>
      <c r="B844" t="s">
        <v>2943</v>
      </c>
      <c r="C844" t="s">
        <v>3219</v>
      </c>
      <c r="D844" s="2">
        <v>1</v>
      </c>
      <c r="E844" s="11" t="s">
        <v>2251</v>
      </c>
      <c r="F844" t="s">
        <v>126</v>
      </c>
      <c r="G844" s="2" t="s">
        <v>23</v>
      </c>
      <c r="H844" s="1">
        <v>169.49400000000003</v>
      </c>
    </row>
    <row r="845" spans="1:8" x14ac:dyDescent="0.3">
      <c r="A845" s="2">
        <v>555</v>
      </c>
      <c r="B845" t="s">
        <v>3033</v>
      </c>
      <c r="C845" t="s">
        <v>3224</v>
      </c>
      <c r="D845" s="2">
        <v>1</v>
      </c>
      <c r="E845" s="11" t="s">
        <v>191</v>
      </c>
      <c r="F845" t="s">
        <v>126</v>
      </c>
      <c r="G845" s="2" t="s">
        <v>23</v>
      </c>
      <c r="H845" s="1">
        <v>63.494000000000007</v>
      </c>
    </row>
    <row r="846" spans="1:8" x14ac:dyDescent="0.3">
      <c r="A846" s="2">
        <v>555</v>
      </c>
      <c r="B846" t="s">
        <v>3032</v>
      </c>
      <c r="C846" t="s">
        <v>3224</v>
      </c>
      <c r="D846" s="2">
        <v>1</v>
      </c>
      <c r="E846" s="11" t="s">
        <v>2556</v>
      </c>
      <c r="F846" t="s">
        <v>959</v>
      </c>
      <c r="G846" s="2" t="s">
        <v>23</v>
      </c>
      <c r="H846" s="1">
        <v>100.59400000000001</v>
      </c>
    </row>
    <row r="847" spans="1:8" x14ac:dyDescent="0.3">
      <c r="A847" s="2">
        <v>555</v>
      </c>
      <c r="B847" t="s">
        <v>3031</v>
      </c>
      <c r="C847" t="s">
        <v>3</v>
      </c>
      <c r="D847" s="2">
        <v>1</v>
      </c>
      <c r="E847" s="11" t="s">
        <v>2203</v>
      </c>
      <c r="F847" t="s">
        <v>114</v>
      </c>
      <c r="G847" s="2" t="s">
        <v>23</v>
      </c>
      <c r="H847" s="1">
        <v>79.394000000000005</v>
      </c>
    </row>
    <row r="848" spans="1:8" x14ac:dyDescent="0.3">
      <c r="A848" s="2">
        <v>555</v>
      </c>
      <c r="B848" t="s">
        <v>3015</v>
      </c>
      <c r="C848" t="s">
        <v>3220</v>
      </c>
      <c r="D848" s="2">
        <v>1</v>
      </c>
      <c r="E848" s="11" t="s">
        <v>3007</v>
      </c>
      <c r="F848" t="s">
        <v>114</v>
      </c>
      <c r="G848" s="2" t="s">
        <v>23</v>
      </c>
      <c r="H848" s="1">
        <v>52.893999999999998</v>
      </c>
    </row>
    <row r="849" spans="1:8" x14ac:dyDescent="0.3">
      <c r="A849" s="2">
        <v>555</v>
      </c>
      <c r="B849" t="s">
        <v>3030</v>
      </c>
      <c r="C849" t="s">
        <v>3219</v>
      </c>
      <c r="D849" s="2">
        <v>1</v>
      </c>
      <c r="E849" s="11" t="s">
        <v>977</v>
      </c>
      <c r="F849" t="s">
        <v>114</v>
      </c>
      <c r="G849" s="2" t="s">
        <v>31</v>
      </c>
      <c r="H849" s="1">
        <v>116.49400000000001</v>
      </c>
    </row>
    <row r="850" spans="1:8" x14ac:dyDescent="0.3">
      <c r="A850" s="2">
        <v>555</v>
      </c>
      <c r="B850" t="s">
        <v>3027</v>
      </c>
      <c r="C850" t="s">
        <v>3334</v>
      </c>
      <c r="D850" s="2">
        <v>1</v>
      </c>
      <c r="E850" s="11" t="s">
        <v>2486</v>
      </c>
      <c r="F850" t="s">
        <v>114</v>
      </c>
      <c r="G850" s="2" t="s">
        <v>23</v>
      </c>
      <c r="H850" s="1">
        <v>105.89400000000001</v>
      </c>
    </row>
    <row r="851" spans="1:8" x14ac:dyDescent="0.3">
      <c r="A851" s="2">
        <v>555</v>
      </c>
      <c r="B851" t="s">
        <v>3010</v>
      </c>
      <c r="C851" t="s">
        <v>3220</v>
      </c>
      <c r="D851" s="2">
        <v>1</v>
      </c>
      <c r="E851" s="11" t="s">
        <v>3007</v>
      </c>
      <c r="F851" t="s">
        <v>47</v>
      </c>
      <c r="G851" s="2" t="s">
        <v>23</v>
      </c>
      <c r="H851" s="1">
        <v>52.893999999999998</v>
      </c>
    </row>
    <row r="852" spans="1:8" x14ac:dyDescent="0.3">
      <c r="A852" s="2">
        <v>555</v>
      </c>
      <c r="B852" t="s">
        <v>3029</v>
      </c>
      <c r="C852" t="s">
        <v>3334</v>
      </c>
      <c r="D852" s="2">
        <v>1</v>
      </c>
      <c r="E852" s="11" t="s">
        <v>2486</v>
      </c>
      <c r="F852" t="s">
        <v>47</v>
      </c>
      <c r="G852" s="2" t="s">
        <v>23</v>
      </c>
      <c r="H852" s="1">
        <v>105.89400000000001</v>
      </c>
    </row>
    <row r="853" spans="1:8" x14ac:dyDescent="0.3">
      <c r="A853" s="2">
        <v>555</v>
      </c>
      <c r="B853" t="s">
        <v>2635</v>
      </c>
      <c r="C853" t="s">
        <v>3224</v>
      </c>
      <c r="D853" s="2">
        <v>1</v>
      </c>
      <c r="E853" s="11" t="s">
        <v>2379</v>
      </c>
      <c r="F853" t="s">
        <v>47</v>
      </c>
      <c r="G853" s="2" t="s">
        <v>23</v>
      </c>
      <c r="H853" s="1">
        <v>95.294000000000011</v>
      </c>
    </row>
    <row r="854" spans="1:8" x14ac:dyDescent="0.3">
      <c r="A854" s="2">
        <v>555</v>
      </c>
      <c r="B854" t="s">
        <v>2580</v>
      </c>
      <c r="C854" t="s">
        <v>3</v>
      </c>
      <c r="D854" s="2">
        <v>1</v>
      </c>
      <c r="E854" s="11" t="s">
        <v>2417</v>
      </c>
      <c r="F854" t="s">
        <v>47</v>
      </c>
      <c r="G854" s="2" t="s">
        <v>23</v>
      </c>
      <c r="H854" s="1">
        <v>74.094000000000008</v>
      </c>
    </row>
    <row r="855" spans="1:8" x14ac:dyDescent="0.3">
      <c r="A855" s="2">
        <v>555</v>
      </c>
      <c r="B855" t="s">
        <v>300</v>
      </c>
      <c r="C855" t="s">
        <v>3219</v>
      </c>
      <c r="D855" s="2">
        <v>1</v>
      </c>
      <c r="E855" s="11" t="s">
        <v>66</v>
      </c>
      <c r="F855" t="s">
        <v>47</v>
      </c>
      <c r="G855" s="2" t="s">
        <v>23</v>
      </c>
      <c r="H855" s="1">
        <v>180.09400000000002</v>
      </c>
    </row>
    <row r="856" spans="1:8" x14ac:dyDescent="0.3">
      <c r="A856" s="2">
        <v>556</v>
      </c>
      <c r="B856" t="s">
        <v>540</v>
      </c>
      <c r="C856" t="s">
        <v>3219</v>
      </c>
      <c r="D856" s="2">
        <v>1</v>
      </c>
      <c r="E856" s="11" t="s">
        <v>534</v>
      </c>
      <c r="F856" t="s">
        <v>65</v>
      </c>
      <c r="G856" s="2" t="s">
        <v>23</v>
      </c>
      <c r="H856" s="1">
        <v>89.994000000000014</v>
      </c>
    </row>
    <row r="857" spans="1:8" x14ac:dyDescent="0.3">
      <c r="A857" s="2">
        <v>556</v>
      </c>
      <c r="B857" t="s">
        <v>2449</v>
      </c>
      <c r="C857" t="s">
        <v>3219</v>
      </c>
      <c r="D857" s="2">
        <v>1</v>
      </c>
      <c r="E857" s="11" t="s">
        <v>102</v>
      </c>
      <c r="F857" t="s">
        <v>126</v>
      </c>
      <c r="G857" s="2" t="s">
        <v>23</v>
      </c>
      <c r="H857" s="1">
        <v>121.79400000000001</v>
      </c>
    </row>
    <row r="858" spans="1:8" x14ac:dyDescent="0.3">
      <c r="A858" s="2">
        <v>556</v>
      </c>
      <c r="B858" t="s">
        <v>2814</v>
      </c>
      <c r="C858" t="s">
        <v>3220</v>
      </c>
      <c r="D858" s="2">
        <v>1</v>
      </c>
      <c r="E858" s="11" t="s">
        <v>2419</v>
      </c>
      <c r="F858" t="s">
        <v>959</v>
      </c>
      <c r="G858" s="2" t="s">
        <v>31</v>
      </c>
      <c r="H858" s="1">
        <v>47.594000000000001</v>
      </c>
    </row>
    <row r="859" spans="1:8" x14ac:dyDescent="0.3">
      <c r="A859" s="2">
        <v>556</v>
      </c>
      <c r="B859" t="s">
        <v>3028</v>
      </c>
      <c r="C859" t="s">
        <v>3</v>
      </c>
      <c r="D859" s="2">
        <v>1</v>
      </c>
      <c r="E859" s="11" t="s">
        <v>2602</v>
      </c>
      <c r="F859" t="s">
        <v>114</v>
      </c>
      <c r="G859" s="2" t="s">
        <v>31</v>
      </c>
      <c r="H859" s="1">
        <v>100.59400000000001</v>
      </c>
    </row>
    <row r="860" spans="1:8" x14ac:dyDescent="0.3">
      <c r="A860" s="2">
        <v>556</v>
      </c>
      <c r="B860" t="s">
        <v>2974</v>
      </c>
      <c r="C860" t="s">
        <v>3224</v>
      </c>
      <c r="D860" s="2">
        <v>1</v>
      </c>
      <c r="E860" s="11" t="s">
        <v>2600</v>
      </c>
      <c r="F860" t="s">
        <v>114</v>
      </c>
      <c r="G860" s="2" t="s">
        <v>31</v>
      </c>
      <c r="H860" s="1">
        <v>42.294000000000004</v>
      </c>
    </row>
    <row r="861" spans="1:8" x14ac:dyDescent="0.3">
      <c r="A861" s="2">
        <v>556</v>
      </c>
      <c r="B861" t="s">
        <v>3027</v>
      </c>
      <c r="C861" t="s">
        <v>3334</v>
      </c>
      <c r="D861" s="2">
        <v>1</v>
      </c>
      <c r="E861" s="11" t="s">
        <v>2486</v>
      </c>
      <c r="F861" t="s">
        <v>114</v>
      </c>
      <c r="G861" s="2" t="s">
        <v>23</v>
      </c>
      <c r="H861" s="1">
        <v>105.89400000000001</v>
      </c>
    </row>
    <row r="862" spans="1:8" x14ac:dyDescent="0.3">
      <c r="A862" s="2">
        <v>556</v>
      </c>
      <c r="B862" t="s">
        <v>2641</v>
      </c>
      <c r="C862" t="s">
        <v>3219</v>
      </c>
      <c r="D862" s="2">
        <v>1</v>
      </c>
      <c r="E862" s="11" t="s">
        <v>2123</v>
      </c>
      <c r="F862" t="s">
        <v>47</v>
      </c>
      <c r="G862" s="2" t="s">
        <v>23</v>
      </c>
      <c r="H862" s="1">
        <v>142.994</v>
      </c>
    </row>
    <row r="863" spans="1:8" x14ac:dyDescent="0.3">
      <c r="A863" s="2">
        <v>556</v>
      </c>
      <c r="B863" t="s">
        <v>2549</v>
      </c>
      <c r="C863" t="s">
        <v>3221</v>
      </c>
      <c r="D863" s="2">
        <v>1</v>
      </c>
      <c r="E863" s="11" t="s">
        <v>383</v>
      </c>
      <c r="F863" t="s">
        <v>47</v>
      </c>
      <c r="G863" s="2" t="s">
        <v>23</v>
      </c>
      <c r="H863" s="1">
        <v>164.19400000000002</v>
      </c>
    </row>
    <row r="864" spans="1:8" x14ac:dyDescent="0.3">
      <c r="A864" s="2">
        <v>556</v>
      </c>
      <c r="B864" t="s">
        <v>2227</v>
      </c>
      <c r="C864" t="s">
        <v>3224</v>
      </c>
      <c r="D864" s="2">
        <v>1</v>
      </c>
      <c r="E864" s="11" t="s">
        <v>191</v>
      </c>
      <c r="F864" t="s">
        <v>47</v>
      </c>
      <c r="G864" s="2" t="s">
        <v>4</v>
      </c>
      <c r="H864" s="1">
        <v>63.494000000000007</v>
      </c>
    </row>
    <row r="865" spans="1:8" x14ac:dyDescent="0.3">
      <c r="A865" s="2">
        <v>556</v>
      </c>
      <c r="B865" t="s">
        <v>983</v>
      </c>
      <c r="C865" t="s">
        <v>3224</v>
      </c>
      <c r="D865" s="2">
        <v>1</v>
      </c>
      <c r="E865" s="11" t="s">
        <v>193</v>
      </c>
      <c r="F865" t="s">
        <v>39</v>
      </c>
      <c r="G865" s="2" t="s">
        <v>31</v>
      </c>
      <c r="H865" s="1">
        <v>100.59400000000001</v>
      </c>
    </row>
    <row r="866" spans="1:8" x14ac:dyDescent="0.3">
      <c r="A866" s="2">
        <v>556</v>
      </c>
      <c r="B866" t="s">
        <v>3026</v>
      </c>
      <c r="C866" t="s">
        <v>3219</v>
      </c>
      <c r="D866" s="2">
        <v>1</v>
      </c>
      <c r="E866" s="11" t="s">
        <v>2251</v>
      </c>
      <c r="F866" t="s">
        <v>39</v>
      </c>
      <c r="G866" s="2" t="s">
        <v>4</v>
      </c>
      <c r="H866" s="1">
        <v>169.49400000000003</v>
      </c>
    </row>
    <row r="867" spans="1:8" x14ac:dyDescent="0.3">
      <c r="A867" s="2">
        <v>556</v>
      </c>
      <c r="B867" t="s">
        <v>3025</v>
      </c>
      <c r="C867" t="s">
        <v>3224</v>
      </c>
      <c r="D867" s="2">
        <v>1</v>
      </c>
      <c r="E867" s="11" t="s">
        <v>191</v>
      </c>
      <c r="F867" t="s">
        <v>39</v>
      </c>
      <c r="G867" s="2" t="s">
        <v>4</v>
      </c>
      <c r="H867" s="1">
        <v>63.494000000000007</v>
      </c>
    </row>
    <row r="868" spans="1:8" x14ac:dyDescent="0.3">
      <c r="A868" s="2">
        <v>557</v>
      </c>
      <c r="B868" t="s">
        <v>2847</v>
      </c>
      <c r="C868" t="s">
        <v>3217</v>
      </c>
      <c r="D868" s="2">
        <v>1</v>
      </c>
      <c r="E868" s="11" t="s">
        <v>2654</v>
      </c>
      <c r="F868" t="s">
        <v>65</v>
      </c>
      <c r="G868" s="2" t="s">
        <v>4</v>
      </c>
      <c r="H868" s="1">
        <v>26.393999999999998</v>
      </c>
    </row>
    <row r="869" spans="1:8" x14ac:dyDescent="0.3">
      <c r="A869" s="2">
        <v>557</v>
      </c>
      <c r="B869" t="s">
        <v>3024</v>
      </c>
      <c r="C869" t="s">
        <v>3217</v>
      </c>
      <c r="D869" s="2">
        <v>1</v>
      </c>
      <c r="E869" s="11" t="s">
        <v>2654</v>
      </c>
      <c r="F869" t="s">
        <v>65</v>
      </c>
      <c r="G869" s="2" t="s">
        <v>31</v>
      </c>
      <c r="H869" s="1">
        <v>26.393999999999998</v>
      </c>
    </row>
    <row r="870" spans="1:8" x14ac:dyDescent="0.3">
      <c r="A870" s="2">
        <v>557</v>
      </c>
      <c r="B870" t="s">
        <v>3023</v>
      </c>
      <c r="C870" t="s">
        <v>3217</v>
      </c>
      <c r="D870" s="2">
        <v>1</v>
      </c>
      <c r="E870" s="11" t="s">
        <v>2654</v>
      </c>
      <c r="F870" t="s">
        <v>65</v>
      </c>
      <c r="G870" s="2" t="s">
        <v>23</v>
      </c>
      <c r="H870" s="1">
        <v>26.393999999999998</v>
      </c>
    </row>
    <row r="871" spans="1:8" x14ac:dyDescent="0.3">
      <c r="A871" s="2">
        <v>557</v>
      </c>
      <c r="B871" t="s">
        <v>757</v>
      </c>
      <c r="C871" t="s">
        <v>1</v>
      </c>
      <c r="D871" s="2">
        <v>1</v>
      </c>
      <c r="E871" s="11" t="s">
        <v>53</v>
      </c>
      <c r="F871" t="s">
        <v>65</v>
      </c>
      <c r="G871" s="2" t="s">
        <v>4</v>
      </c>
      <c r="H871" s="1">
        <v>36.994</v>
      </c>
    </row>
    <row r="872" spans="1:8" x14ac:dyDescent="0.3">
      <c r="A872" s="2">
        <v>557</v>
      </c>
      <c r="B872" t="s">
        <v>756</v>
      </c>
      <c r="C872" t="s">
        <v>1</v>
      </c>
      <c r="D872" s="2">
        <v>1</v>
      </c>
      <c r="E872" s="11" t="s">
        <v>53</v>
      </c>
      <c r="F872" t="s">
        <v>65</v>
      </c>
      <c r="G872" s="2" t="s">
        <v>203</v>
      </c>
      <c r="H872" s="1">
        <v>36.994</v>
      </c>
    </row>
    <row r="873" spans="1:8" x14ac:dyDescent="0.3">
      <c r="A873" s="2">
        <v>557</v>
      </c>
      <c r="B873" t="s">
        <v>757</v>
      </c>
      <c r="C873" t="s">
        <v>1</v>
      </c>
      <c r="D873" s="2">
        <v>1</v>
      </c>
      <c r="E873" s="11" t="s">
        <v>53</v>
      </c>
      <c r="F873" t="s">
        <v>65</v>
      </c>
      <c r="G873" s="2" t="s">
        <v>4</v>
      </c>
      <c r="H873" s="1">
        <v>36.994</v>
      </c>
    </row>
    <row r="874" spans="1:8" x14ac:dyDescent="0.3">
      <c r="A874" s="2">
        <v>557</v>
      </c>
      <c r="B874" t="s">
        <v>756</v>
      </c>
      <c r="C874" t="s">
        <v>1</v>
      </c>
      <c r="D874" s="2">
        <v>1</v>
      </c>
      <c r="E874" s="11" t="s">
        <v>53</v>
      </c>
      <c r="F874" t="s">
        <v>65</v>
      </c>
      <c r="G874" s="2" t="s">
        <v>203</v>
      </c>
      <c r="H874" s="1">
        <v>36.994</v>
      </c>
    </row>
    <row r="875" spans="1:8" x14ac:dyDescent="0.3">
      <c r="A875" s="2">
        <v>557</v>
      </c>
      <c r="B875" t="s">
        <v>755</v>
      </c>
      <c r="C875" t="s">
        <v>1</v>
      </c>
      <c r="D875" s="2">
        <v>1</v>
      </c>
      <c r="E875" s="11" t="s">
        <v>53</v>
      </c>
      <c r="F875" t="s">
        <v>65</v>
      </c>
      <c r="G875" s="2" t="s">
        <v>31</v>
      </c>
      <c r="H875" s="1">
        <v>36.994</v>
      </c>
    </row>
    <row r="876" spans="1:8" x14ac:dyDescent="0.3">
      <c r="A876" s="2">
        <v>557</v>
      </c>
      <c r="B876" t="s">
        <v>754</v>
      </c>
      <c r="C876" t="s">
        <v>1</v>
      </c>
      <c r="D876" s="2">
        <v>1</v>
      </c>
      <c r="E876" s="11" t="s">
        <v>53</v>
      </c>
      <c r="F876" t="s">
        <v>65</v>
      </c>
      <c r="G876" s="2" t="s">
        <v>23</v>
      </c>
      <c r="H876" s="1">
        <v>36.994</v>
      </c>
    </row>
    <row r="877" spans="1:8" x14ac:dyDescent="0.3">
      <c r="A877" s="2">
        <v>557</v>
      </c>
      <c r="B877" t="s">
        <v>3022</v>
      </c>
      <c r="C877" t="s">
        <v>3220</v>
      </c>
      <c r="D877" s="2">
        <v>1</v>
      </c>
      <c r="E877" s="11" t="s">
        <v>3007</v>
      </c>
      <c r="F877" t="s">
        <v>65</v>
      </c>
      <c r="G877" s="2" t="s">
        <v>23</v>
      </c>
      <c r="H877" s="1">
        <v>52.893999999999998</v>
      </c>
    </row>
    <row r="878" spans="1:8" x14ac:dyDescent="0.3">
      <c r="A878" s="2">
        <v>557</v>
      </c>
      <c r="B878" t="s">
        <v>3021</v>
      </c>
      <c r="C878" t="s">
        <v>3217</v>
      </c>
      <c r="D878" s="2">
        <v>1</v>
      </c>
      <c r="E878" s="11" t="s">
        <v>2613</v>
      </c>
      <c r="F878" t="s">
        <v>65</v>
      </c>
      <c r="G878" s="2" t="s">
        <v>23</v>
      </c>
      <c r="H878" s="1">
        <v>79.394000000000005</v>
      </c>
    </row>
    <row r="879" spans="1:8" x14ac:dyDescent="0.3">
      <c r="A879" s="2">
        <v>557</v>
      </c>
      <c r="B879" t="s">
        <v>3020</v>
      </c>
      <c r="C879" t="s">
        <v>3217</v>
      </c>
      <c r="D879" s="2">
        <v>1</v>
      </c>
      <c r="E879" s="11" t="s">
        <v>2654</v>
      </c>
      <c r="F879" t="s">
        <v>126</v>
      </c>
      <c r="G879" s="2" t="s">
        <v>4</v>
      </c>
      <c r="H879" s="1">
        <v>26.393999999999998</v>
      </c>
    </row>
    <row r="880" spans="1:8" x14ac:dyDescent="0.3">
      <c r="A880" s="2">
        <v>557</v>
      </c>
      <c r="B880" t="s">
        <v>2844</v>
      </c>
      <c r="C880" t="s">
        <v>3217</v>
      </c>
      <c r="D880" s="2">
        <v>1</v>
      </c>
      <c r="E880" s="11" t="s">
        <v>2654</v>
      </c>
      <c r="F880" t="s">
        <v>126</v>
      </c>
      <c r="G880" s="2" t="s">
        <v>31</v>
      </c>
      <c r="H880" s="1">
        <v>26.393999999999998</v>
      </c>
    </row>
    <row r="881" spans="1:8" x14ac:dyDescent="0.3">
      <c r="A881" s="2">
        <v>557</v>
      </c>
      <c r="B881" t="s">
        <v>2943</v>
      </c>
      <c r="C881" t="s">
        <v>3219</v>
      </c>
      <c r="D881" s="2">
        <v>1</v>
      </c>
      <c r="E881" s="11" t="s">
        <v>2251</v>
      </c>
      <c r="F881" t="s">
        <v>126</v>
      </c>
      <c r="G881" s="2" t="s">
        <v>23</v>
      </c>
      <c r="H881" s="1">
        <v>169.49400000000003</v>
      </c>
    </row>
    <row r="882" spans="1:8" x14ac:dyDescent="0.3">
      <c r="A882" s="2">
        <v>557</v>
      </c>
      <c r="B882" t="s">
        <v>2858</v>
      </c>
      <c r="C882" t="s">
        <v>3219</v>
      </c>
      <c r="D882" s="2">
        <v>1</v>
      </c>
      <c r="E882" s="11" t="s">
        <v>66</v>
      </c>
      <c r="F882" t="s">
        <v>126</v>
      </c>
      <c r="G882" s="2" t="s">
        <v>31</v>
      </c>
      <c r="H882" s="1">
        <v>180.09400000000002</v>
      </c>
    </row>
    <row r="883" spans="1:8" x14ac:dyDescent="0.3">
      <c r="A883" s="2">
        <v>557</v>
      </c>
      <c r="B883" t="s">
        <v>400</v>
      </c>
      <c r="C883" t="s">
        <v>3219</v>
      </c>
      <c r="D883" s="2">
        <v>1</v>
      </c>
      <c r="E883" s="11" t="s">
        <v>66</v>
      </c>
      <c r="F883" t="s">
        <v>126</v>
      </c>
      <c r="G883" s="2" t="s">
        <v>23</v>
      </c>
      <c r="H883" s="1">
        <v>180.09400000000002</v>
      </c>
    </row>
    <row r="884" spans="1:8" x14ac:dyDescent="0.3">
      <c r="A884" s="2">
        <v>557</v>
      </c>
      <c r="B884" t="s">
        <v>2904</v>
      </c>
      <c r="C884" t="s">
        <v>3217</v>
      </c>
      <c r="D884" s="2">
        <v>1</v>
      </c>
      <c r="E884" s="11" t="s">
        <v>2654</v>
      </c>
      <c r="F884" t="s">
        <v>28</v>
      </c>
      <c r="G884" s="2" t="s">
        <v>31</v>
      </c>
      <c r="H884" s="1">
        <v>26.393999999999998</v>
      </c>
    </row>
    <row r="885" spans="1:8" x14ac:dyDescent="0.3">
      <c r="A885" s="2">
        <v>557</v>
      </c>
      <c r="B885" t="s">
        <v>2841</v>
      </c>
      <c r="C885" t="s">
        <v>3217</v>
      </c>
      <c r="D885" s="2">
        <v>1</v>
      </c>
      <c r="E885" s="11" t="s">
        <v>2654</v>
      </c>
      <c r="F885" t="s">
        <v>28</v>
      </c>
      <c r="G885" s="2" t="s">
        <v>23</v>
      </c>
      <c r="H885" s="1">
        <v>26.393999999999998</v>
      </c>
    </row>
    <row r="886" spans="1:8" x14ac:dyDescent="0.3">
      <c r="A886" s="2">
        <v>557</v>
      </c>
      <c r="B886" t="s">
        <v>2985</v>
      </c>
      <c r="C886" t="s">
        <v>3220</v>
      </c>
      <c r="D886" s="2">
        <v>1</v>
      </c>
      <c r="E886" s="11" t="s">
        <v>2816</v>
      </c>
      <c r="F886" t="s">
        <v>28</v>
      </c>
      <c r="G886" s="2" t="s">
        <v>23</v>
      </c>
      <c r="H886" s="1">
        <v>63.494000000000007</v>
      </c>
    </row>
    <row r="887" spans="1:8" x14ac:dyDescent="0.3">
      <c r="A887" s="2">
        <v>557</v>
      </c>
      <c r="B887" t="s">
        <v>2817</v>
      </c>
      <c r="C887" t="s">
        <v>3220</v>
      </c>
      <c r="D887" s="2">
        <v>1</v>
      </c>
      <c r="E887" s="11" t="s">
        <v>2816</v>
      </c>
      <c r="F887" t="s">
        <v>28</v>
      </c>
      <c r="G887" s="2" t="s">
        <v>31</v>
      </c>
      <c r="H887" s="1">
        <v>63.494000000000007</v>
      </c>
    </row>
    <row r="888" spans="1:8" x14ac:dyDescent="0.3">
      <c r="A888" s="2">
        <v>557</v>
      </c>
      <c r="B888" t="s">
        <v>873</v>
      </c>
      <c r="C888" t="s">
        <v>1</v>
      </c>
      <c r="D888" s="2">
        <v>1</v>
      </c>
      <c r="E888" s="11" t="s">
        <v>53</v>
      </c>
      <c r="F888" t="s">
        <v>55</v>
      </c>
      <c r="G888" s="2" t="s">
        <v>4</v>
      </c>
      <c r="H888" s="1">
        <v>36.994</v>
      </c>
    </row>
    <row r="889" spans="1:8" x14ac:dyDescent="0.3">
      <c r="A889" s="2">
        <v>557</v>
      </c>
      <c r="B889" t="s">
        <v>1001</v>
      </c>
      <c r="C889" t="s">
        <v>1</v>
      </c>
      <c r="D889" s="2">
        <v>1</v>
      </c>
      <c r="E889" s="11" t="s">
        <v>53</v>
      </c>
      <c r="F889" t="s">
        <v>55</v>
      </c>
      <c r="G889" s="2" t="s">
        <v>31</v>
      </c>
      <c r="H889" s="1">
        <v>36.994</v>
      </c>
    </row>
    <row r="890" spans="1:8" x14ac:dyDescent="0.3">
      <c r="A890" s="2">
        <v>557</v>
      </c>
      <c r="B890" t="s">
        <v>761</v>
      </c>
      <c r="C890" t="s">
        <v>1</v>
      </c>
      <c r="D890" s="2">
        <v>1</v>
      </c>
      <c r="E890" s="11" t="s">
        <v>53</v>
      </c>
      <c r="F890" t="s">
        <v>55</v>
      </c>
      <c r="G890" s="2" t="s">
        <v>23</v>
      </c>
      <c r="H890" s="1">
        <v>36.994</v>
      </c>
    </row>
    <row r="891" spans="1:8" x14ac:dyDescent="0.3">
      <c r="A891" s="2">
        <v>557</v>
      </c>
      <c r="B891" t="s">
        <v>2841</v>
      </c>
      <c r="C891" t="s">
        <v>3217</v>
      </c>
      <c r="D891" s="2">
        <v>1</v>
      </c>
      <c r="E891" s="11" t="s">
        <v>2654</v>
      </c>
      <c r="F891" t="s">
        <v>28</v>
      </c>
      <c r="G891" s="2" t="s">
        <v>23</v>
      </c>
      <c r="H891" s="1">
        <v>26.393999999999998</v>
      </c>
    </row>
    <row r="892" spans="1:8" x14ac:dyDescent="0.3">
      <c r="A892" s="2">
        <v>557</v>
      </c>
      <c r="B892" t="s">
        <v>3019</v>
      </c>
      <c r="C892" t="s">
        <v>1</v>
      </c>
      <c r="D892" s="2">
        <v>1</v>
      </c>
      <c r="E892" s="11" t="s">
        <v>2739</v>
      </c>
      <c r="F892" t="s">
        <v>28</v>
      </c>
      <c r="G892" s="2" t="s">
        <v>31</v>
      </c>
      <c r="H892" s="1">
        <v>89.994000000000014</v>
      </c>
    </row>
    <row r="893" spans="1:8" x14ac:dyDescent="0.3">
      <c r="A893" s="2">
        <v>557</v>
      </c>
      <c r="B893" t="s">
        <v>1221</v>
      </c>
      <c r="C893" t="s">
        <v>3219</v>
      </c>
      <c r="D893" s="2">
        <v>1</v>
      </c>
      <c r="E893" s="11" t="s">
        <v>66</v>
      </c>
      <c r="F893" t="s">
        <v>28</v>
      </c>
      <c r="G893" s="2" t="s">
        <v>23</v>
      </c>
      <c r="H893" s="1">
        <v>180.09400000000002</v>
      </c>
    </row>
    <row r="894" spans="1:8" x14ac:dyDescent="0.3">
      <c r="A894" s="2">
        <v>557</v>
      </c>
      <c r="B894" t="s">
        <v>3018</v>
      </c>
      <c r="C894" t="s">
        <v>3217</v>
      </c>
      <c r="D894" s="2">
        <v>1</v>
      </c>
      <c r="E894" s="11" t="s">
        <v>2654</v>
      </c>
      <c r="F894" t="s">
        <v>114</v>
      </c>
      <c r="G894" s="2" t="s">
        <v>4</v>
      </c>
      <c r="H894" s="1">
        <v>26.393999999999998</v>
      </c>
    </row>
    <row r="895" spans="1:8" x14ac:dyDescent="0.3">
      <c r="A895" s="2">
        <v>557</v>
      </c>
      <c r="B895" t="s">
        <v>1909</v>
      </c>
      <c r="C895" t="s">
        <v>1</v>
      </c>
      <c r="D895" s="2">
        <v>1</v>
      </c>
      <c r="E895" s="11" t="s">
        <v>53</v>
      </c>
      <c r="F895" t="s">
        <v>114</v>
      </c>
      <c r="G895" s="2" t="s">
        <v>4</v>
      </c>
      <c r="H895" s="1">
        <v>36.994</v>
      </c>
    </row>
    <row r="896" spans="1:8" x14ac:dyDescent="0.3">
      <c r="A896" s="2">
        <v>557</v>
      </c>
      <c r="B896" t="s">
        <v>1324</v>
      </c>
      <c r="C896" t="s">
        <v>1</v>
      </c>
      <c r="D896" s="2">
        <v>1</v>
      </c>
      <c r="E896" s="11" t="s">
        <v>53</v>
      </c>
      <c r="F896" t="s">
        <v>114</v>
      </c>
      <c r="G896" s="2" t="s">
        <v>31</v>
      </c>
      <c r="H896" s="1">
        <v>36.994</v>
      </c>
    </row>
    <row r="897" spans="1:8" x14ac:dyDescent="0.3">
      <c r="A897" s="2">
        <v>557</v>
      </c>
      <c r="B897" t="s">
        <v>1323</v>
      </c>
      <c r="C897" t="s">
        <v>1</v>
      </c>
      <c r="D897" s="2">
        <v>1</v>
      </c>
      <c r="E897" s="11" t="s">
        <v>53</v>
      </c>
      <c r="F897" t="s">
        <v>114</v>
      </c>
      <c r="G897" s="2" t="s">
        <v>23</v>
      </c>
      <c r="H897" s="1">
        <v>36.994</v>
      </c>
    </row>
    <row r="898" spans="1:8" x14ac:dyDescent="0.3">
      <c r="A898" s="2">
        <v>557</v>
      </c>
      <c r="B898" t="s">
        <v>3017</v>
      </c>
      <c r="C898" t="s">
        <v>3220</v>
      </c>
      <c r="D898" s="2">
        <v>1</v>
      </c>
      <c r="E898" s="11" t="s">
        <v>3007</v>
      </c>
      <c r="F898" t="s">
        <v>114</v>
      </c>
      <c r="G898" s="2" t="s">
        <v>4</v>
      </c>
      <c r="H898" s="1">
        <v>52.893999999999998</v>
      </c>
    </row>
    <row r="899" spans="1:8" x14ac:dyDescent="0.3">
      <c r="A899" s="2">
        <v>557</v>
      </c>
      <c r="B899" t="s">
        <v>3016</v>
      </c>
      <c r="C899" t="s">
        <v>3220</v>
      </c>
      <c r="D899" s="2">
        <v>1</v>
      </c>
      <c r="E899" s="11" t="s">
        <v>3007</v>
      </c>
      <c r="F899" t="s">
        <v>114</v>
      </c>
      <c r="G899" s="2" t="s">
        <v>31</v>
      </c>
      <c r="H899" s="1">
        <v>52.893999999999998</v>
      </c>
    </row>
    <row r="900" spans="1:8" x14ac:dyDescent="0.3">
      <c r="A900" s="2">
        <v>557</v>
      </c>
      <c r="B900" t="s">
        <v>3015</v>
      </c>
      <c r="C900" t="s">
        <v>3220</v>
      </c>
      <c r="D900" s="2">
        <v>1</v>
      </c>
      <c r="E900" s="11" t="s">
        <v>3007</v>
      </c>
      <c r="F900" t="s">
        <v>114</v>
      </c>
      <c r="G900" s="2" t="s">
        <v>23</v>
      </c>
      <c r="H900" s="1">
        <v>52.893999999999998</v>
      </c>
    </row>
    <row r="901" spans="1:8" x14ac:dyDescent="0.3">
      <c r="A901" s="2">
        <v>557</v>
      </c>
      <c r="B901" t="s">
        <v>3014</v>
      </c>
      <c r="C901" t="s">
        <v>3220</v>
      </c>
      <c r="D901" s="2">
        <v>1</v>
      </c>
      <c r="E901" s="11" t="s">
        <v>2816</v>
      </c>
      <c r="F901" t="s">
        <v>114</v>
      </c>
      <c r="G901" s="2" t="s">
        <v>23</v>
      </c>
      <c r="H901" s="1">
        <v>63.494000000000007</v>
      </c>
    </row>
    <row r="902" spans="1:8" x14ac:dyDescent="0.3">
      <c r="A902" s="2">
        <v>557</v>
      </c>
      <c r="B902" t="s">
        <v>3013</v>
      </c>
      <c r="C902" t="s">
        <v>3219</v>
      </c>
      <c r="D902" s="2">
        <v>2</v>
      </c>
      <c r="E902" s="11" t="s">
        <v>3012</v>
      </c>
      <c r="F902" t="s">
        <v>254</v>
      </c>
      <c r="G902" s="2" t="s">
        <v>31</v>
      </c>
      <c r="H902" s="1">
        <v>137.69400000000002</v>
      </c>
    </row>
    <row r="903" spans="1:8" x14ac:dyDescent="0.3">
      <c r="A903" s="2">
        <v>557</v>
      </c>
      <c r="B903" t="s">
        <v>1136</v>
      </c>
      <c r="C903" t="s">
        <v>1</v>
      </c>
      <c r="D903" s="2">
        <v>1</v>
      </c>
      <c r="E903" s="11" t="s">
        <v>53</v>
      </c>
      <c r="F903" t="s">
        <v>36</v>
      </c>
      <c r="G903" s="2" t="s">
        <v>31</v>
      </c>
      <c r="H903" s="1">
        <v>36.994</v>
      </c>
    </row>
    <row r="904" spans="1:8" x14ac:dyDescent="0.3">
      <c r="A904" s="2">
        <v>557</v>
      </c>
      <c r="B904" t="s">
        <v>1905</v>
      </c>
      <c r="C904" t="s">
        <v>1</v>
      </c>
      <c r="D904" s="2">
        <v>1</v>
      </c>
      <c r="E904" s="11" t="s">
        <v>53</v>
      </c>
      <c r="F904" t="s">
        <v>36</v>
      </c>
      <c r="G904" s="2" t="s">
        <v>23</v>
      </c>
      <c r="H904" s="1">
        <v>36.994</v>
      </c>
    </row>
    <row r="905" spans="1:8" x14ac:dyDescent="0.3">
      <c r="A905" s="2">
        <v>557</v>
      </c>
      <c r="B905" t="s">
        <v>54</v>
      </c>
      <c r="C905" t="s">
        <v>1</v>
      </c>
      <c r="D905" s="2">
        <v>1</v>
      </c>
      <c r="E905" s="11" t="s">
        <v>53</v>
      </c>
      <c r="F905" t="s">
        <v>47</v>
      </c>
      <c r="G905" s="2" t="s">
        <v>4</v>
      </c>
      <c r="H905" s="1">
        <v>36.994</v>
      </c>
    </row>
    <row r="906" spans="1:8" x14ac:dyDescent="0.3">
      <c r="A906" s="2">
        <v>557</v>
      </c>
      <c r="B906" t="s">
        <v>1595</v>
      </c>
      <c r="C906" t="s">
        <v>1</v>
      </c>
      <c r="D906" s="2">
        <v>1</v>
      </c>
      <c r="E906" s="11" t="s">
        <v>53</v>
      </c>
      <c r="F906" t="s">
        <v>47</v>
      </c>
      <c r="G906" s="2" t="s">
        <v>31</v>
      </c>
      <c r="H906" s="1">
        <v>36.994</v>
      </c>
    </row>
    <row r="907" spans="1:8" x14ac:dyDescent="0.3">
      <c r="A907" s="2">
        <v>557</v>
      </c>
      <c r="B907" t="s">
        <v>288</v>
      </c>
      <c r="C907" t="s">
        <v>1</v>
      </c>
      <c r="D907" s="2">
        <v>1</v>
      </c>
      <c r="E907" s="11" t="s">
        <v>53</v>
      </c>
      <c r="F907" t="s">
        <v>47</v>
      </c>
      <c r="G907" s="2" t="s">
        <v>23</v>
      </c>
      <c r="H907" s="1">
        <v>36.994</v>
      </c>
    </row>
    <row r="908" spans="1:8" x14ac:dyDescent="0.3">
      <c r="A908" s="2">
        <v>557</v>
      </c>
      <c r="B908" t="s">
        <v>3011</v>
      </c>
      <c r="C908" t="s">
        <v>3220</v>
      </c>
      <c r="D908" s="2">
        <v>1</v>
      </c>
      <c r="E908" s="11" t="s">
        <v>3007</v>
      </c>
      <c r="F908" t="s">
        <v>47</v>
      </c>
      <c r="G908" s="2" t="s">
        <v>31</v>
      </c>
      <c r="H908" s="1">
        <v>52.893999999999998</v>
      </c>
    </row>
    <row r="909" spans="1:8" x14ac:dyDescent="0.3">
      <c r="A909" s="2">
        <v>557</v>
      </c>
      <c r="B909" t="s">
        <v>3010</v>
      </c>
      <c r="C909" t="s">
        <v>3220</v>
      </c>
      <c r="D909" s="2">
        <v>1</v>
      </c>
      <c r="E909" s="11" t="s">
        <v>3007</v>
      </c>
      <c r="F909" t="s">
        <v>47</v>
      </c>
      <c r="G909" s="2" t="s">
        <v>23</v>
      </c>
      <c r="H909" s="1">
        <v>52.893999999999998</v>
      </c>
    </row>
    <row r="910" spans="1:8" x14ac:dyDescent="0.3">
      <c r="A910" s="2">
        <v>557</v>
      </c>
      <c r="B910" t="s">
        <v>3009</v>
      </c>
      <c r="C910" t="s">
        <v>3220</v>
      </c>
      <c r="D910" s="2">
        <v>1</v>
      </c>
      <c r="E910" s="11" t="s">
        <v>2816</v>
      </c>
      <c r="F910" t="s">
        <v>47</v>
      </c>
      <c r="G910" s="2" t="s">
        <v>4</v>
      </c>
      <c r="H910" s="1">
        <v>63.494000000000007</v>
      </c>
    </row>
    <row r="911" spans="1:8" x14ac:dyDescent="0.3">
      <c r="A911" s="2">
        <v>557</v>
      </c>
      <c r="B911" t="s">
        <v>2740</v>
      </c>
      <c r="C911" t="s">
        <v>1</v>
      </c>
      <c r="D911" s="2">
        <v>1</v>
      </c>
      <c r="E911" s="11" t="s">
        <v>2739</v>
      </c>
      <c r="F911" t="s">
        <v>47</v>
      </c>
      <c r="G911" s="2" t="s">
        <v>203</v>
      </c>
      <c r="H911" s="1">
        <v>89.994000000000014</v>
      </c>
    </row>
    <row r="912" spans="1:8" x14ac:dyDescent="0.3">
      <c r="A912" s="2">
        <v>557</v>
      </c>
      <c r="B912" t="s">
        <v>2888</v>
      </c>
      <c r="C912" t="s">
        <v>3219</v>
      </c>
      <c r="D912" s="2">
        <v>1</v>
      </c>
      <c r="E912" s="11" t="s">
        <v>2251</v>
      </c>
      <c r="F912" t="s">
        <v>47</v>
      </c>
      <c r="G912" s="2" t="s">
        <v>31</v>
      </c>
      <c r="H912" s="1">
        <v>169.49400000000003</v>
      </c>
    </row>
    <row r="913" spans="1:8" x14ac:dyDescent="0.3">
      <c r="A913" s="2">
        <v>557</v>
      </c>
      <c r="B913" t="s">
        <v>301</v>
      </c>
      <c r="C913" t="s">
        <v>3219</v>
      </c>
      <c r="D913" s="2">
        <v>1</v>
      </c>
      <c r="E913" s="11" t="s">
        <v>66</v>
      </c>
      <c r="F913" t="s">
        <v>47</v>
      </c>
      <c r="G913" s="2" t="s">
        <v>4</v>
      </c>
      <c r="H913" s="1">
        <v>180.09400000000002</v>
      </c>
    </row>
    <row r="914" spans="1:8" x14ac:dyDescent="0.3">
      <c r="A914" s="2">
        <v>557</v>
      </c>
      <c r="B914" t="s">
        <v>300</v>
      </c>
      <c r="C914" t="s">
        <v>3219</v>
      </c>
      <c r="D914" s="2">
        <v>1</v>
      </c>
      <c r="E914" s="11" t="s">
        <v>66</v>
      </c>
      <c r="F914" t="s">
        <v>47</v>
      </c>
      <c r="G914" s="2" t="s">
        <v>23</v>
      </c>
      <c r="H914" s="1">
        <v>180.09400000000002</v>
      </c>
    </row>
    <row r="915" spans="1:8" x14ac:dyDescent="0.3">
      <c r="A915" s="2">
        <v>557</v>
      </c>
      <c r="B915" t="s">
        <v>2826</v>
      </c>
      <c r="C915" t="s">
        <v>3217</v>
      </c>
      <c r="D915" s="2">
        <v>1</v>
      </c>
      <c r="E915" s="11" t="s">
        <v>2654</v>
      </c>
      <c r="F915" t="s">
        <v>39</v>
      </c>
      <c r="G915" s="2" t="s">
        <v>31</v>
      </c>
      <c r="H915" s="1">
        <v>26.393999999999998</v>
      </c>
    </row>
    <row r="916" spans="1:8" x14ac:dyDescent="0.3">
      <c r="A916" s="2">
        <v>557</v>
      </c>
      <c r="B916" t="s">
        <v>1491</v>
      </c>
      <c r="C916" t="s">
        <v>1</v>
      </c>
      <c r="D916" s="2">
        <v>1</v>
      </c>
      <c r="E916" s="11" t="s">
        <v>53</v>
      </c>
      <c r="F916" t="s">
        <v>39</v>
      </c>
      <c r="G916" s="2" t="s">
        <v>4</v>
      </c>
      <c r="H916" s="1">
        <v>36.994</v>
      </c>
    </row>
    <row r="917" spans="1:8" x14ac:dyDescent="0.3">
      <c r="A917" s="2">
        <v>557</v>
      </c>
      <c r="B917" t="s">
        <v>1594</v>
      </c>
      <c r="C917" t="s">
        <v>1</v>
      </c>
      <c r="D917" s="2">
        <v>1</v>
      </c>
      <c r="E917" s="11" t="s">
        <v>53</v>
      </c>
      <c r="F917" t="s">
        <v>39</v>
      </c>
      <c r="G917" s="2" t="s">
        <v>203</v>
      </c>
      <c r="H917" s="1">
        <v>36.994</v>
      </c>
    </row>
    <row r="918" spans="1:8" x14ac:dyDescent="0.3">
      <c r="A918" s="2">
        <v>557</v>
      </c>
      <c r="B918" t="s">
        <v>2618</v>
      </c>
      <c r="C918" t="s">
        <v>1</v>
      </c>
      <c r="D918" s="2">
        <v>1</v>
      </c>
      <c r="E918" s="11" t="s">
        <v>53</v>
      </c>
      <c r="F918" t="s">
        <v>39</v>
      </c>
      <c r="G918" s="2" t="s">
        <v>31</v>
      </c>
      <c r="H918" s="1">
        <v>36.994</v>
      </c>
    </row>
    <row r="919" spans="1:8" x14ac:dyDescent="0.3">
      <c r="A919" s="2">
        <v>557</v>
      </c>
      <c r="B919" t="s">
        <v>2617</v>
      </c>
      <c r="C919" t="s">
        <v>1</v>
      </c>
      <c r="D919" s="2">
        <v>1</v>
      </c>
      <c r="E919" s="11" t="s">
        <v>53</v>
      </c>
      <c r="F919" t="s">
        <v>39</v>
      </c>
      <c r="G919" s="2" t="s">
        <v>23</v>
      </c>
      <c r="H919" s="1">
        <v>36.994</v>
      </c>
    </row>
    <row r="920" spans="1:8" x14ac:dyDescent="0.3">
      <c r="A920" s="2">
        <v>557</v>
      </c>
      <c r="B920" t="s">
        <v>3008</v>
      </c>
      <c r="C920" t="s">
        <v>3220</v>
      </c>
      <c r="D920" s="2">
        <v>1</v>
      </c>
      <c r="E920" s="11" t="s">
        <v>3007</v>
      </c>
      <c r="F920" t="s">
        <v>39</v>
      </c>
      <c r="G920" s="2" t="s">
        <v>31</v>
      </c>
      <c r="H920" s="1">
        <v>52.893999999999998</v>
      </c>
    </row>
    <row r="921" spans="1:8" x14ac:dyDescent="0.3">
      <c r="A921" s="2">
        <v>557</v>
      </c>
      <c r="B921" t="s">
        <v>3006</v>
      </c>
      <c r="C921" t="s">
        <v>3217</v>
      </c>
      <c r="D921" s="2">
        <v>1</v>
      </c>
      <c r="E921" s="11" t="s">
        <v>2613</v>
      </c>
      <c r="F921" t="s">
        <v>39</v>
      </c>
      <c r="G921" s="2" t="s">
        <v>4</v>
      </c>
      <c r="H921" s="1">
        <v>79.394000000000005</v>
      </c>
    </row>
    <row r="922" spans="1:8" x14ac:dyDescent="0.3">
      <c r="A922" s="2">
        <v>557</v>
      </c>
      <c r="B922" t="s">
        <v>2820</v>
      </c>
      <c r="C922" t="s">
        <v>1</v>
      </c>
      <c r="D922" s="2">
        <v>1</v>
      </c>
      <c r="E922" s="11" t="s">
        <v>53</v>
      </c>
      <c r="F922" t="s">
        <v>1186</v>
      </c>
      <c r="G922" s="2" t="s">
        <v>4</v>
      </c>
      <c r="H922" s="1">
        <v>36.994</v>
      </c>
    </row>
    <row r="923" spans="1:8" x14ac:dyDescent="0.3">
      <c r="A923" s="2">
        <v>557</v>
      </c>
      <c r="B923" t="s">
        <v>1187</v>
      </c>
      <c r="C923" t="s">
        <v>1</v>
      </c>
      <c r="D923" s="2">
        <v>1</v>
      </c>
      <c r="E923" s="11" t="s">
        <v>53</v>
      </c>
      <c r="F923" t="s">
        <v>1186</v>
      </c>
      <c r="G923" s="2" t="s">
        <v>203</v>
      </c>
      <c r="H923" s="1">
        <v>36.994</v>
      </c>
    </row>
    <row r="924" spans="1:8" x14ac:dyDescent="0.3">
      <c r="A924" s="2">
        <v>557</v>
      </c>
      <c r="B924" t="s">
        <v>3005</v>
      </c>
      <c r="C924" t="s">
        <v>3217</v>
      </c>
      <c r="D924" s="2">
        <v>1</v>
      </c>
      <c r="E924" s="11" t="s">
        <v>2613</v>
      </c>
      <c r="F924" t="s">
        <v>28</v>
      </c>
      <c r="G924" s="2" t="s">
        <v>31</v>
      </c>
      <c r="H924" s="1">
        <v>79.394000000000005</v>
      </c>
    </row>
    <row r="925" spans="1:8" x14ac:dyDescent="0.3">
      <c r="A925" s="2">
        <v>558</v>
      </c>
      <c r="B925" t="s">
        <v>2231</v>
      </c>
      <c r="C925" t="s">
        <v>3219</v>
      </c>
      <c r="D925" s="2">
        <v>1</v>
      </c>
      <c r="E925" s="11" t="s">
        <v>534</v>
      </c>
      <c r="F925" t="s">
        <v>55</v>
      </c>
      <c r="G925" s="2" t="s">
        <v>4</v>
      </c>
      <c r="H925" s="1">
        <v>89.994000000000014</v>
      </c>
    </row>
    <row r="926" spans="1:8" x14ac:dyDescent="0.3">
      <c r="A926" s="2">
        <v>558</v>
      </c>
      <c r="B926" t="s">
        <v>1269</v>
      </c>
      <c r="C926" t="s">
        <v>3219</v>
      </c>
      <c r="D926" s="2">
        <v>1</v>
      </c>
      <c r="E926" s="11" t="s">
        <v>534</v>
      </c>
      <c r="F926" t="s">
        <v>55</v>
      </c>
      <c r="G926" s="2" t="s">
        <v>31</v>
      </c>
      <c r="H926" s="1">
        <v>89.994000000000014</v>
      </c>
    </row>
    <row r="927" spans="1:8" x14ac:dyDescent="0.3">
      <c r="A927" s="2">
        <v>558</v>
      </c>
      <c r="B927" t="s">
        <v>3004</v>
      </c>
      <c r="C927" t="s">
        <v>3219</v>
      </c>
      <c r="D927" s="2">
        <v>1</v>
      </c>
      <c r="E927" s="11" t="s">
        <v>534</v>
      </c>
      <c r="F927" t="s">
        <v>65</v>
      </c>
      <c r="G927" s="2" t="s">
        <v>4</v>
      </c>
      <c r="H927" s="1">
        <v>89.994000000000014</v>
      </c>
    </row>
    <row r="928" spans="1:8" x14ac:dyDescent="0.3">
      <c r="A928" s="2">
        <v>558</v>
      </c>
      <c r="B928" t="s">
        <v>1805</v>
      </c>
      <c r="C928" t="s">
        <v>3219</v>
      </c>
      <c r="D928" s="2">
        <v>1</v>
      </c>
      <c r="E928" s="11" t="s">
        <v>534</v>
      </c>
      <c r="F928" t="s">
        <v>65</v>
      </c>
      <c r="G928" s="2" t="s">
        <v>31</v>
      </c>
      <c r="H928" s="1">
        <v>89.994000000000014</v>
      </c>
    </row>
    <row r="929" spans="1:8" x14ac:dyDescent="0.3">
      <c r="A929" s="2">
        <v>558</v>
      </c>
      <c r="B929" t="s">
        <v>540</v>
      </c>
      <c r="C929" t="s">
        <v>3219</v>
      </c>
      <c r="D929" s="2">
        <v>1</v>
      </c>
      <c r="E929" s="11" t="s">
        <v>534</v>
      </c>
      <c r="F929" t="s">
        <v>65</v>
      </c>
      <c r="G929" s="2" t="s">
        <v>23</v>
      </c>
      <c r="H929" s="1">
        <v>89.994000000000014</v>
      </c>
    </row>
    <row r="930" spans="1:8" x14ac:dyDescent="0.3">
      <c r="A930" s="2">
        <v>558</v>
      </c>
      <c r="B930" t="s">
        <v>3004</v>
      </c>
      <c r="C930" t="s">
        <v>3219</v>
      </c>
      <c r="D930" s="2">
        <v>1</v>
      </c>
      <c r="E930" s="11" t="s">
        <v>534</v>
      </c>
      <c r="F930" t="s">
        <v>65</v>
      </c>
      <c r="G930" s="2" t="s">
        <v>4</v>
      </c>
      <c r="H930" s="1">
        <v>89.994000000000014</v>
      </c>
    </row>
    <row r="931" spans="1:8" x14ac:dyDescent="0.3">
      <c r="A931" s="2">
        <v>558</v>
      </c>
      <c r="B931" t="s">
        <v>1805</v>
      </c>
      <c r="C931" t="s">
        <v>3219</v>
      </c>
      <c r="D931" s="2">
        <v>1</v>
      </c>
      <c r="E931" s="11" t="s">
        <v>534</v>
      </c>
      <c r="F931" t="s">
        <v>65</v>
      </c>
      <c r="G931" s="2" t="s">
        <v>31</v>
      </c>
      <c r="H931" s="1">
        <v>89.994000000000014</v>
      </c>
    </row>
    <row r="932" spans="1:8" x14ac:dyDescent="0.3">
      <c r="A932" s="2">
        <v>558</v>
      </c>
      <c r="B932" t="s">
        <v>2252</v>
      </c>
      <c r="C932" t="s">
        <v>3219</v>
      </c>
      <c r="D932" s="2">
        <v>1</v>
      </c>
      <c r="E932" s="11" t="s">
        <v>2251</v>
      </c>
      <c r="F932" t="s">
        <v>126</v>
      </c>
      <c r="G932" s="2" t="s">
        <v>4</v>
      </c>
      <c r="H932" s="1">
        <v>169.49400000000003</v>
      </c>
    </row>
    <row r="933" spans="1:8" x14ac:dyDescent="0.3">
      <c r="A933" s="2">
        <v>558</v>
      </c>
      <c r="B933" t="s">
        <v>2540</v>
      </c>
      <c r="C933" t="s">
        <v>3219</v>
      </c>
      <c r="D933" s="2">
        <v>1</v>
      </c>
      <c r="E933" s="11" t="s">
        <v>2251</v>
      </c>
      <c r="F933" t="s">
        <v>126</v>
      </c>
      <c r="G933" s="2" t="s">
        <v>31</v>
      </c>
      <c r="H933" s="1">
        <v>169.49400000000003</v>
      </c>
    </row>
    <row r="934" spans="1:8" x14ac:dyDescent="0.3">
      <c r="A934" s="2">
        <v>558</v>
      </c>
      <c r="B934" t="s">
        <v>2943</v>
      </c>
      <c r="C934" t="s">
        <v>3219</v>
      </c>
      <c r="D934" s="2">
        <v>1</v>
      </c>
      <c r="E934" s="11" t="s">
        <v>2251</v>
      </c>
      <c r="F934" t="s">
        <v>126</v>
      </c>
      <c r="G934" s="2" t="s">
        <v>23</v>
      </c>
      <c r="H934" s="1">
        <v>169.49400000000003</v>
      </c>
    </row>
    <row r="935" spans="1:8" x14ac:dyDescent="0.3">
      <c r="A935" s="2">
        <v>558</v>
      </c>
      <c r="B935" t="s">
        <v>2345</v>
      </c>
      <c r="C935" t="s">
        <v>3219</v>
      </c>
      <c r="D935" s="2">
        <v>1</v>
      </c>
      <c r="E935" s="11" t="s">
        <v>534</v>
      </c>
      <c r="F935" t="s">
        <v>62</v>
      </c>
      <c r="G935" s="2" t="s">
        <v>4</v>
      </c>
      <c r="H935" s="1">
        <v>89.994000000000014</v>
      </c>
    </row>
    <row r="936" spans="1:8" x14ac:dyDescent="0.3">
      <c r="A936" s="2">
        <v>558</v>
      </c>
      <c r="B936" t="s">
        <v>1073</v>
      </c>
      <c r="C936" t="s">
        <v>3219</v>
      </c>
      <c r="D936" s="2">
        <v>1</v>
      </c>
      <c r="E936" s="11" t="s">
        <v>534</v>
      </c>
      <c r="F936" t="s">
        <v>62</v>
      </c>
      <c r="G936" s="2" t="s">
        <v>31</v>
      </c>
      <c r="H936" s="1">
        <v>89.994000000000014</v>
      </c>
    </row>
    <row r="937" spans="1:8" x14ac:dyDescent="0.3">
      <c r="A937" s="2">
        <v>558</v>
      </c>
      <c r="B937" t="s">
        <v>2975</v>
      </c>
      <c r="C937" t="s">
        <v>3219</v>
      </c>
      <c r="D937" s="2">
        <v>1</v>
      </c>
      <c r="E937" s="11" t="s">
        <v>534</v>
      </c>
      <c r="F937" t="s">
        <v>62</v>
      </c>
      <c r="G937" s="2" t="s">
        <v>23</v>
      </c>
      <c r="H937" s="1">
        <v>89.994000000000014</v>
      </c>
    </row>
    <row r="938" spans="1:8" x14ac:dyDescent="0.3">
      <c r="A938" s="2">
        <v>558</v>
      </c>
      <c r="B938" t="s">
        <v>2537</v>
      </c>
      <c r="C938" t="s">
        <v>3219</v>
      </c>
      <c r="D938" s="2">
        <v>1</v>
      </c>
      <c r="E938" s="11" t="s">
        <v>534</v>
      </c>
      <c r="F938" t="s">
        <v>28</v>
      </c>
      <c r="G938" s="2" t="s">
        <v>4</v>
      </c>
      <c r="H938" s="1">
        <v>89.994000000000014</v>
      </c>
    </row>
    <row r="939" spans="1:8" x14ac:dyDescent="0.3">
      <c r="A939" s="2">
        <v>558</v>
      </c>
      <c r="B939" t="s">
        <v>2480</v>
      </c>
      <c r="C939" t="s">
        <v>0</v>
      </c>
      <c r="D939" s="2">
        <v>1</v>
      </c>
      <c r="E939" s="11" t="s">
        <v>2479</v>
      </c>
      <c r="F939" t="s">
        <v>683</v>
      </c>
      <c r="G939" s="2" t="s">
        <v>4</v>
      </c>
      <c r="H939" s="1">
        <v>132.39400000000001</v>
      </c>
    </row>
    <row r="940" spans="1:8" x14ac:dyDescent="0.3">
      <c r="A940" s="2">
        <v>558</v>
      </c>
      <c r="B940" t="s">
        <v>2763</v>
      </c>
      <c r="C940" t="s">
        <v>0</v>
      </c>
      <c r="D940" s="2">
        <v>1</v>
      </c>
      <c r="E940" s="11" t="s">
        <v>2479</v>
      </c>
      <c r="F940" t="s">
        <v>683</v>
      </c>
      <c r="G940" s="2" t="s">
        <v>31</v>
      </c>
      <c r="H940" s="1">
        <v>132.39400000000001</v>
      </c>
    </row>
    <row r="941" spans="1:8" x14ac:dyDescent="0.3">
      <c r="A941" s="2">
        <v>558</v>
      </c>
      <c r="B941" t="s">
        <v>2583</v>
      </c>
      <c r="C941" t="s">
        <v>0</v>
      </c>
      <c r="D941" s="2">
        <v>1</v>
      </c>
      <c r="E941" s="11" t="s">
        <v>2479</v>
      </c>
      <c r="F941" t="s">
        <v>683</v>
      </c>
      <c r="G941" s="2" t="s">
        <v>23</v>
      </c>
      <c r="H941" s="1">
        <v>132.39400000000001</v>
      </c>
    </row>
    <row r="942" spans="1:8" x14ac:dyDescent="0.3">
      <c r="A942" s="2">
        <v>558</v>
      </c>
      <c r="B942" t="s">
        <v>535</v>
      </c>
      <c r="C942" t="s">
        <v>3219</v>
      </c>
      <c r="D942" s="2">
        <v>1</v>
      </c>
      <c r="E942" s="11" t="s">
        <v>534</v>
      </c>
      <c r="F942" t="s">
        <v>47</v>
      </c>
      <c r="G942" s="2" t="s">
        <v>4</v>
      </c>
      <c r="H942" s="1">
        <v>89.994000000000014</v>
      </c>
    </row>
    <row r="943" spans="1:8" x14ac:dyDescent="0.3">
      <c r="A943" s="2">
        <v>558</v>
      </c>
      <c r="B943" t="s">
        <v>1265</v>
      </c>
      <c r="C943" t="s">
        <v>3219</v>
      </c>
      <c r="D943" s="2">
        <v>1</v>
      </c>
      <c r="E943" s="11" t="s">
        <v>534</v>
      </c>
      <c r="F943" t="s">
        <v>47</v>
      </c>
      <c r="G943" s="2" t="s">
        <v>31</v>
      </c>
      <c r="H943" s="1">
        <v>89.994000000000014</v>
      </c>
    </row>
    <row r="944" spans="1:8" x14ac:dyDescent="0.3">
      <c r="A944" s="2">
        <v>558</v>
      </c>
      <c r="B944" t="s">
        <v>925</v>
      </c>
      <c r="C944" t="s">
        <v>3219</v>
      </c>
      <c r="D944" s="2">
        <v>1</v>
      </c>
      <c r="E944" s="11" t="s">
        <v>534</v>
      </c>
      <c r="F944" t="s">
        <v>47</v>
      </c>
      <c r="G944" s="2" t="s">
        <v>23</v>
      </c>
      <c r="H944" s="1">
        <v>89.994000000000014</v>
      </c>
    </row>
    <row r="945" spans="1:8" x14ac:dyDescent="0.3">
      <c r="A945" s="2">
        <v>558</v>
      </c>
      <c r="B945" t="s">
        <v>2776</v>
      </c>
      <c r="C945" t="s">
        <v>3219</v>
      </c>
      <c r="D945" s="2">
        <v>1</v>
      </c>
      <c r="E945" s="11" t="s">
        <v>2251</v>
      </c>
      <c r="F945" t="s">
        <v>47</v>
      </c>
      <c r="G945" s="2" t="s">
        <v>4</v>
      </c>
      <c r="H945" s="1">
        <v>169.49400000000003</v>
      </c>
    </row>
    <row r="946" spans="1:8" x14ac:dyDescent="0.3">
      <c r="A946" s="2">
        <v>558</v>
      </c>
      <c r="B946" t="s">
        <v>2888</v>
      </c>
      <c r="C946" t="s">
        <v>3219</v>
      </c>
      <c r="D946" s="2">
        <v>1</v>
      </c>
      <c r="E946" s="11" t="s">
        <v>2251</v>
      </c>
      <c r="F946" t="s">
        <v>47</v>
      </c>
      <c r="G946" s="2" t="s">
        <v>31</v>
      </c>
      <c r="H946" s="1">
        <v>169.49400000000003</v>
      </c>
    </row>
    <row r="947" spans="1:8" x14ac:dyDescent="0.3">
      <c r="A947" s="2">
        <v>558</v>
      </c>
      <c r="B947" t="s">
        <v>2859</v>
      </c>
      <c r="C947" t="s">
        <v>3219</v>
      </c>
      <c r="D947" s="2">
        <v>1</v>
      </c>
      <c r="E947" s="11" t="s">
        <v>2251</v>
      </c>
      <c r="F947" t="s">
        <v>47</v>
      </c>
      <c r="G947" s="2" t="s">
        <v>23</v>
      </c>
      <c r="H947" s="1">
        <v>169.49400000000003</v>
      </c>
    </row>
    <row r="948" spans="1:8" x14ac:dyDescent="0.3">
      <c r="A948" s="2">
        <v>559</v>
      </c>
      <c r="B948" t="s">
        <v>3003</v>
      </c>
      <c r="C948" t="s">
        <v>1</v>
      </c>
      <c r="D948" s="2">
        <v>1</v>
      </c>
      <c r="E948" s="11" t="s">
        <v>2737</v>
      </c>
      <c r="F948" t="s">
        <v>55</v>
      </c>
      <c r="G948" s="2" t="s">
        <v>23</v>
      </c>
      <c r="H948" s="1">
        <v>79.394000000000005</v>
      </c>
    </row>
    <row r="949" spans="1:8" x14ac:dyDescent="0.3">
      <c r="A949" s="2">
        <v>559</v>
      </c>
      <c r="B949" t="s">
        <v>3002</v>
      </c>
      <c r="C949" t="s">
        <v>3224</v>
      </c>
      <c r="D949" s="2">
        <v>1</v>
      </c>
      <c r="E949" s="11" t="s">
        <v>2803</v>
      </c>
      <c r="F949" t="s">
        <v>65</v>
      </c>
      <c r="G949" s="2" t="s">
        <v>23</v>
      </c>
      <c r="H949" s="1">
        <v>95.294000000000011</v>
      </c>
    </row>
    <row r="950" spans="1:8" x14ac:dyDescent="0.3">
      <c r="A950" s="2">
        <v>559</v>
      </c>
      <c r="B950" t="s">
        <v>2137</v>
      </c>
      <c r="C950" t="s">
        <v>1</v>
      </c>
      <c r="D950" s="2">
        <v>1</v>
      </c>
      <c r="E950" s="11" t="s">
        <v>2136</v>
      </c>
      <c r="F950" t="s">
        <v>28</v>
      </c>
      <c r="G950" s="2" t="s">
        <v>4</v>
      </c>
      <c r="H950" s="1">
        <v>52.893999999999998</v>
      </c>
    </row>
    <row r="951" spans="1:8" x14ac:dyDescent="0.3">
      <c r="A951" s="2">
        <v>559</v>
      </c>
      <c r="B951" t="s">
        <v>3001</v>
      </c>
      <c r="C951" t="s">
        <v>3224</v>
      </c>
      <c r="D951" s="2">
        <v>1</v>
      </c>
      <c r="E951" s="11" t="s">
        <v>2180</v>
      </c>
      <c r="F951" t="s">
        <v>62</v>
      </c>
      <c r="G951" s="2" t="s">
        <v>23</v>
      </c>
      <c r="H951" s="1">
        <v>84.694000000000017</v>
      </c>
    </row>
    <row r="952" spans="1:8" x14ac:dyDescent="0.3">
      <c r="A952" s="2">
        <v>559</v>
      </c>
      <c r="B952" t="s">
        <v>3000</v>
      </c>
      <c r="C952" t="s">
        <v>3224</v>
      </c>
      <c r="D952" s="2">
        <v>1</v>
      </c>
      <c r="E952" s="11" t="s">
        <v>2475</v>
      </c>
      <c r="F952" t="s">
        <v>55</v>
      </c>
      <c r="G952" s="2" t="s">
        <v>23</v>
      </c>
      <c r="H952" s="1">
        <v>36.994</v>
      </c>
    </row>
    <row r="953" spans="1:8" x14ac:dyDescent="0.3">
      <c r="A953" s="2">
        <v>559</v>
      </c>
      <c r="B953" t="s">
        <v>2690</v>
      </c>
      <c r="C953" t="s">
        <v>3224</v>
      </c>
      <c r="D953" s="2">
        <v>1</v>
      </c>
      <c r="E953" s="11" t="s">
        <v>2212</v>
      </c>
      <c r="F953" t="s">
        <v>55</v>
      </c>
      <c r="G953" s="2" t="s">
        <v>31</v>
      </c>
      <c r="H953" s="1">
        <v>79.394000000000005</v>
      </c>
    </row>
    <row r="954" spans="1:8" x14ac:dyDescent="0.3">
      <c r="A954" s="2">
        <v>559</v>
      </c>
      <c r="B954" t="s">
        <v>2980</v>
      </c>
      <c r="C954" t="s">
        <v>3224</v>
      </c>
      <c r="D954" s="2">
        <v>1</v>
      </c>
      <c r="E954" s="11" t="s">
        <v>2638</v>
      </c>
      <c r="F954" t="s">
        <v>28</v>
      </c>
      <c r="G954" s="2" t="s">
        <v>31</v>
      </c>
      <c r="H954" s="1">
        <v>58.19400000000001</v>
      </c>
    </row>
    <row r="955" spans="1:8" x14ac:dyDescent="0.3">
      <c r="A955" s="2">
        <v>559</v>
      </c>
      <c r="B955" t="s">
        <v>2999</v>
      </c>
      <c r="C955" t="s">
        <v>1</v>
      </c>
      <c r="D955" s="2">
        <v>1</v>
      </c>
      <c r="E955" s="11" t="s">
        <v>2739</v>
      </c>
      <c r="F955" t="s">
        <v>28</v>
      </c>
      <c r="G955" s="2" t="s">
        <v>4</v>
      </c>
      <c r="H955" s="1">
        <v>89.994000000000014</v>
      </c>
    </row>
    <row r="956" spans="1:8" x14ac:dyDescent="0.3">
      <c r="A956" s="2">
        <v>559</v>
      </c>
      <c r="B956" t="s">
        <v>2388</v>
      </c>
      <c r="C956" t="s">
        <v>3224</v>
      </c>
      <c r="D956" s="2">
        <v>1</v>
      </c>
      <c r="E956" s="11" t="s">
        <v>2379</v>
      </c>
      <c r="F956" t="s">
        <v>28</v>
      </c>
      <c r="G956" s="2" t="s">
        <v>23</v>
      </c>
      <c r="H956" s="1">
        <v>95.294000000000011</v>
      </c>
    </row>
    <row r="957" spans="1:8" x14ac:dyDescent="0.3">
      <c r="A957" s="2">
        <v>559</v>
      </c>
      <c r="B957" t="s">
        <v>2993</v>
      </c>
      <c r="C957" t="s">
        <v>1</v>
      </c>
      <c r="D957" s="2">
        <v>1</v>
      </c>
      <c r="E957" s="11" t="s">
        <v>2920</v>
      </c>
      <c r="F957" t="s">
        <v>114</v>
      </c>
      <c r="G957" s="2" t="s">
        <v>31</v>
      </c>
      <c r="H957" s="1">
        <v>84.694000000000017</v>
      </c>
    </row>
    <row r="958" spans="1:8" x14ac:dyDescent="0.3">
      <c r="A958" s="2">
        <v>559</v>
      </c>
      <c r="B958" t="s">
        <v>2926</v>
      </c>
      <c r="C958" t="s">
        <v>1</v>
      </c>
      <c r="D958" s="2">
        <v>1</v>
      </c>
      <c r="E958" s="11" t="s">
        <v>2920</v>
      </c>
      <c r="F958" t="s">
        <v>683</v>
      </c>
      <c r="G958" s="2" t="s">
        <v>23</v>
      </c>
      <c r="H958" s="1">
        <v>84.694000000000017</v>
      </c>
    </row>
    <row r="959" spans="1:8" x14ac:dyDescent="0.3">
      <c r="A959" s="2">
        <v>559</v>
      </c>
      <c r="B959" t="s">
        <v>2639</v>
      </c>
      <c r="C959" t="s">
        <v>3224</v>
      </c>
      <c r="D959" s="2">
        <v>1</v>
      </c>
      <c r="E959" s="11" t="s">
        <v>2638</v>
      </c>
      <c r="F959" t="s">
        <v>47</v>
      </c>
      <c r="G959" s="2" t="s">
        <v>23</v>
      </c>
      <c r="H959" s="1">
        <v>58.19400000000001</v>
      </c>
    </row>
    <row r="960" spans="1:8" x14ac:dyDescent="0.3">
      <c r="A960" s="2">
        <v>559</v>
      </c>
      <c r="B960" t="s">
        <v>2998</v>
      </c>
      <c r="C960" t="s">
        <v>1</v>
      </c>
      <c r="D960" s="2">
        <v>1</v>
      </c>
      <c r="E960" s="11" t="s">
        <v>2920</v>
      </c>
      <c r="F960" t="s">
        <v>47</v>
      </c>
      <c r="G960" s="2" t="s">
        <v>4</v>
      </c>
      <c r="H960" s="1">
        <v>84.694000000000017</v>
      </c>
    </row>
    <row r="961" spans="1:8" x14ac:dyDescent="0.3">
      <c r="A961" s="2">
        <v>559</v>
      </c>
      <c r="B961" t="s">
        <v>1857</v>
      </c>
      <c r="C961" t="s">
        <v>0</v>
      </c>
      <c r="D961" s="2">
        <v>1</v>
      </c>
      <c r="E961" s="11" t="s">
        <v>1856</v>
      </c>
      <c r="F961" t="s">
        <v>47</v>
      </c>
      <c r="G961" s="2" t="s">
        <v>31</v>
      </c>
      <c r="H961" s="1">
        <v>158.89400000000001</v>
      </c>
    </row>
    <row r="962" spans="1:8" x14ac:dyDescent="0.3">
      <c r="A962" s="2">
        <v>559</v>
      </c>
      <c r="B962" t="s">
        <v>2997</v>
      </c>
      <c r="C962" t="s">
        <v>3224</v>
      </c>
      <c r="D962" s="2">
        <v>1</v>
      </c>
      <c r="E962" s="11" t="s">
        <v>2803</v>
      </c>
      <c r="F962" t="s">
        <v>39</v>
      </c>
      <c r="G962" s="2" t="s">
        <v>31</v>
      </c>
      <c r="H962" s="1">
        <v>95.294000000000011</v>
      </c>
    </row>
    <row r="963" spans="1:8" x14ac:dyDescent="0.3">
      <c r="A963" s="2">
        <v>559</v>
      </c>
      <c r="B963" t="s">
        <v>2942</v>
      </c>
      <c r="C963" t="s">
        <v>3224</v>
      </c>
      <c r="D963" s="2">
        <v>1</v>
      </c>
      <c r="E963" s="11" t="s">
        <v>2495</v>
      </c>
      <c r="F963" t="s">
        <v>39</v>
      </c>
      <c r="G963" s="2" t="s">
        <v>23</v>
      </c>
      <c r="H963" s="1">
        <v>95.294000000000011</v>
      </c>
    </row>
    <row r="964" spans="1:8" x14ac:dyDescent="0.3">
      <c r="A964" s="2">
        <v>559</v>
      </c>
      <c r="B964" t="s">
        <v>1931</v>
      </c>
      <c r="C964" t="s">
        <v>3224</v>
      </c>
      <c r="D964" s="2">
        <v>1</v>
      </c>
      <c r="E964" s="11" t="s">
        <v>1478</v>
      </c>
      <c r="F964" t="s">
        <v>39</v>
      </c>
      <c r="G964" s="2" t="s">
        <v>23</v>
      </c>
      <c r="H964" s="1">
        <v>116.49400000000001</v>
      </c>
    </row>
    <row r="965" spans="1:8" x14ac:dyDescent="0.3">
      <c r="A965" s="2">
        <v>559</v>
      </c>
      <c r="B965" t="s">
        <v>2996</v>
      </c>
      <c r="C965" t="s">
        <v>1</v>
      </c>
      <c r="D965" s="2">
        <v>1</v>
      </c>
      <c r="E965" s="11" t="s">
        <v>2737</v>
      </c>
      <c r="F965" t="s">
        <v>28</v>
      </c>
      <c r="G965" s="2" t="s">
        <v>4</v>
      </c>
      <c r="H965" s="1">
        <v>79.394000000000005</v>
      </c>
    </row>
    <row r="966" spans="1:8" x14ac:dyDescent="0.3">
      <c r="A966" s="2">
        <v>559</v>
      </c>
      <c r="B966" t="s">
        <v>2819</v>
      </c>
      <c r="C966" t="s">
        <v>3217</v>
      </c>
      <c r="D966" s="2">
        <v>1</v>
      </c>
      <c r="E966" s="11" t="s">
        <v>2613</v>
      </c>
      <c r="F966" t="s">
        <v>28</v>
      </c>
      <c r="G966" s="2" t="s">
        <v>23</v>
      </c>
      <c r="H966" s="1">
        <v>79.394000000000005</v>
      </c>
    </row>
    <row r="967" spans="1:8" x14ac:dyDescent="0.3">
      <c r="A967" s="2">
        <v>559</v>
      </c>
      <c r="B967" t="s">
        <v>2995</v>
      </c>
      <c r="C967" t="s">
        <v>3224</v>
      </c>
      <c r="D967" s="2">
        <v>1</v>
      </c>
      <c r="E967" s="11" t="s">
        <v>2422</v>
      </c>
      <c r="F967" t="s">
        <v>28</v>
      </c>
      <c r="G967" s="2" t="s">
        <v>23</v>
      </c>
      <c r="H967" s="1">
        <v>63.494000000000007</v>
      </c>
    </row>
    <row r="968" spans="1:8" x14ac:dyDescent="0.3">
      <c r="A968" s="2">
        <v>560</v>
      </c>
      <c r="B968" t="s">
        <v>2709</v>
      </c>
      <c r="C968" t="s">
        <v>2</v>
      </c>
      <c r="D968" s="2">
        <v>1</v>
      </c>
      <c r="E968" s="11" t="s">
        <v>2081</v>
      </c>
      <c r="F968" t="s">
        <v>28</v>
      </c>
      <c r="G968" s="2" t="s">
        <v>23</v>
      </c>
      <c r="H968" s="1">
        <v>74.094000000000008</v>
      </c>
    </row>
    <row r="969" spans="1:8" x14ac:dyDescent="0.3">
      <c r="A969" s="2">
        <v>560</v>
      </c>
      <c r="B969" t="s">
        <v>2994</v>
      </c>
      <c r="C969" t="s">
        <v>1</v>
      </c>
      <c r="D969" s="2">
        <v>1</v>
      </c>
      <c r="E969" s="11" t="s">
        <v>2920</v>
      </c>
      <c r="F969" t="s">
        <v>114</v>
      </c>
      <c r="G969" s="2" t="s">
        <v>4</v>
      </c>
      <c r="H969" s="1">
        <v>84.694000000000017</v>
      </c>
    </row>
    <row r="970" spans="1:8" x14ac:dyDescent="0.3">
      <c r="A970" s="2">
        <v>560</v>
      </c>
      <c r="B970" t="s">
        <v>2993</v>
      </c>
      <c r="C970" t="s">
        <v>1</v>
      </c>
      <c r="D970" s="2">
        <v>1</v>
      </c>
      <c r="E970" s="11" t="s">
        <v>2920</v>
      </c>
      <c r="F970" t="s">
        <v>114</v>
      </c>
      <c r="G970" s="2" t="s">
        <v>31</v>
      </c>
      <c r="H970" s="1">
        <v>84.694000000000017</v>
      </c>
    </row>
    <row r="971" spans="1:8" x14ac:dyDescent="0.3">
      <c r="A971" s="2">
        <v>560</v>
      </c>
      <c r="B971" t="s">
        <v>2927</v>
      </c>
      <c r="C971" t="s">
        <v>1</v>
      </c>
      <c r="D971" s="2">
        <v>2</v>
      </c>
      <c r="E971" s="11" t="s">
        <v>2920</v>
      </c>
      <c r="F971" t="s">
        <v>114</v>
      </c>
      <c r="G971" s="2" t="s">
        <v>23</v>
      </c>
      <c r="H971" s="1">
        <v>84.694000000000017</v>
      </c>
    </row>
    <row r="972" spans="1:8" x14ac:dyDescent="0.3">
      <c r="A972" s="2">
        <v>560</v>
      </c>
      <c r="B972" t="s">
        <v>2770</v>
      </c>
      <c r="C972" t="s">
        <v>3</v>
      </c>
      <c r="D972" s="2">
        <v>1</v>
      </c>
      <c r="E972" s="11" t="s">
        <v>2769</v>
      </c>
      <c r="F972" t="s">
        <v>78</v>
      </c>
      <c r="G972" s="2" t="s">
        <v>4</v>
      </c>
      <c r="H972" s="1">
        <v>95.294000000000011</v>
      </c>
    </row>
    <row r="973" spans="1:8" x14ac:dyDescent="0.3">
      <c r="A973" s="2">
        <v>560</v>
      </c>
      <c r="B973" t="s">
        <v>2992</v>
      </c>
      <c r="C973" t="s">
        <v>3</v>
      </c>
      <c r="D973" s="2">
        <v>1</v>
      </c>
      <c r="E973" s="11" t="s">
        <v>2769</v>
      </c>
      <c r="F973" t="s">
        <v>78</v>
      </c>
      <c r="G973" s="2" t="s">
        <v>31</v>
      </c>
      <c r="H973" s="1">
        <v>95.294000000000011</v>
      </c>
    </row>
    <row r="974" spans="1:8" x14ac:dyDescent="0.3">
      <c r="A974" s="2">
        <v>560</v>
      </c>
      <c r="B974" t="s">
        <v>2991</v>
      </c>
      <c r="C974" t="s">
        <v>3</v>
      </c>
      <c r="D974" s="2">
        <v>1</v>
      </c>
      <c r="E974" s="11" t="s">
        <v>2769</v>
      </c>
      <c r="F974" t="s">
        <v>78</v>
      </c>
      <c r="G974" s="2" t="s">
        <v>23</v>
      </c>
      <c r="H974" s="1">
        <v>95.294000000000011</v>
      </c>
    </row>
    <row r="975" spans="1:8" x14ac:dyDescent="0.3">
      <c r="A975" s="2">
        <v>560</v>
      </c>
      <c r="B975" t="s">
        <v>2708</v>
      </c>
      <c r="C975" t="s">
        <v>3224</v>
      </c>
      <c r="D975" s="2">
        <v>1</v>
      </c>
      <c r="E975" s="11" t="s">
        <v>2150</v>
      </c>
      <c r="F975" t="s">
        <v>78</v>
      </c>
      <c r="G975" s="2" t="s">
        <v>4</v>
      </c>
      <c r="H975" s="1">
        <v>74.094000000000008</v>
      </c>
    </row>
    <row r="976" spans="1:8" x14ac:dyDescent="0.3">
      <c r="A976" s="2">
        <v>560</v>
      </c>
      <c r="B976" t="s">
        <v>2151</v>
      </c>
      <c r="C976" t="s">
        <v>3224</v>
      </c>
      <c r="D976" s="2">
        <v>1</v>
      </c>
      <c r="E976" s="11" t="s">
        <v>2150</v>
      </c>
      <c r="F976" t="s">
        <v>78</v>
      </c>
      <c r="G976" s="2" t="s">
        <v>31</v>
      </c>
      <c r="H976" s="1">
        <v>74.094000000000008</v>
      </c>
    </row>
    <row r="977" spans="1:8" x14ac:dyDescent="0.3">
      <c r="A977" s="2">
        <v>560</v>
      </c>
      <c r="B977" t="s">
        <v>2707</v>
      </c>
      <c r="C977" t="s">
        <v>3224</v>
      </c>
      <c r="D977" s="2">
        <v>1</v>
      </c>
      <c r="E977" s="11" t="s">
        <v>2150</v>
      </c>
      <c r="F977" t="s">
        <v>78</v>
      </c>
      <c r="G977" s="2" t="s">
        <v>23</v>
      </c>
      <c r="H977" s="1">
        <v>74.094000000000008</v>
      </c>
    </row>
    <row r="978" spans="1:8" x14ac:dyDescent="0.3">
      <c r="A978" s="2">
        <v>560</v>
      </c>
      <c r="B978" t="s">
        <v>2990</v>
      </c>
      <c r="C978" t="s">
        <v>0</v>
      </c>
      <c r="D978" s="2">
        <v>1</v>
      </c>
      <c r="E978" s="11" t="s">
        <v>1856</v>
      </c>
      <c r="F978" t="s">
        <v>47</v>
      </c>
      <c r="G978" s="2" t="s">
        <v>4</v>
      </c>
      <c r="H978" s="1">
        <v>158.89400000000001</v>
      </c>
    </row>
    <row r="979" spans="1:8" x14ac:dyDescent="0.3">
      <c r="A979" s="2">
        <v>560</v>
      </c>
      <c r="B979" t="s">
        <v>1857</v>
      </c>
      <c r="C979" t="s">
        <v>0</v>
      </c>
      <c r="D979" s="2">
        <v>1</v>
      </c>
      <c r="E979" s="11" t="s">
        <v>1856</v>
      </c>
      <c r="F979" t="s">
        <v>47</v>
      </c>
      <c r="G979" s="2" t="s">
        <v>31</v>
      </c>
      <c r="H979" s="1">
        <v>158.89400000000001</v>
      </c>
    </row>
    <row r="980" spans="1:8" x14ac:dyDescent="0.3">
      <c r="A980" s="2">
        <v>560</v>
      </c>
      <c r="B980" t="s">
        <v>2963</v>
      </c>
      <c r="C980" t="s">
        <v>0</v>
      </c>
      <c r="D980" s="2">
        <v>1</v>
      </c>
      <c r="E980" s="11" t="s">
        <v>1856</v>
      </c>
      <c r="F980" t="s">
        <v>47</v>
      </c>
      <c r="G980" s="2" t="s">
        <v>23</v>
      </c>
      <c r="H980" s="1">
        <v>158.89400000000001</v>
      </c>
    </row>
    <row r="981" spans="1:8" x14ac:dyDescent="0.3">
      <c r="A981" s="2">
        <v>560</v>
      </c>
      <c r="B981" t="s">
        <v>2462</v>
      </c>
      <c r="C981" t="s">
        <v>3219</v>
      </c>
      <c r="D981" s="2">
        <v>1</v>
      </c>
      <c r="E981" s="11" t="s">
        <v>2123</v>
      </c>
      <c r="F981" t="s">
        <v>39</v>
      </c>
      <c r="G981" s="2" t="s">
        <v>4</v>
      </c>
      <c r="H981" s="1">
        <v>142.994</v>
      </c>
    </row>
    <row r="982" spans="1:8" x14ac:dyDescent="0.3">
      <c r="A982" s="2">
        <v>560</v>
      </c>
      <c r="B982" t="s">
        <v>2166</v>
      </c>
      <c r="C982" t="s">
        <v>3219</v>
      </c>
      <c r="D982" s="2">
        <v>1</v>
      </c>
      <c r="E982" s="11" t="s">
        <v>2123</v>
      </c>
      <c r="F982" t="s">
        <v>39</v>
      </c>
      <c r="G982" s="2" t="s">
        <v>31</v>
      </c>
      <c r="H982" s="1">
        <v>142.994</v>
      </c>
    </row>
    <row r="983" spans="1:8" x14ac:dyDescent="0.3">
      <c r="A983" s="2">
        <v>560</v>
      </c>
      <c r="B983" t="s">
        <v>101</v>
      </c>
      <c r="C983" t="s">
        <v>2</v>
      </c>
      <c r="D983" s="2">
        <v>1</v>
      </c>
      <c r="E983" s="11" t="s">
        <v>60</v>
      </c>
      <c r="F983" t="s">
        <v>39</v>
      </c>
      <c r="G983" s="2" t="s">
        <v>4</v>
      </c>
      <c r="H983" s="1">
        <v>68.794000000000011</v>
      </c>
    </row>
    <row r="984" spans="1:8" x14ac:dyDescent="0.3">
      <c r="A984" s="2">
        <v>560</v>
      </c>
      <c r="B984" t="s">
        <v>100</v>
      </c>
      <c r="C984" t="s">
        <v>2</v>
      </c>
      <c r="D984" s="2">
        <v>1</v>
      </c>
      <c r="E984" s="11" t="s">
        <v>60</v>
      </c>
      <c r="F984" t="s">
        <v>39</v>
      </c>
      <c r="G984" s="2" t="s">
        <v>31</v>
      </c>
      <c r="H984" s="1">
        <v>68.794000000000011</v>
      </c>
    </row>
    <row r="985" spans="1:8" x14ac:dyDescent="0.3">
      <c r="A985" s="2">
        <v>560</v>
      </c>
      <c r="B985" t="s">
        <v>99</v>
      </c>
      <c r="C985" t="s">
        <v>2</v>
      </c>
      <c r="D985" s="2">
        <v>1</v>
      </c>
      <c r="E985" s="11" t="s">
        <v>60</v>
      </c>
      <c r="F985" t="s">
        <v>39</v>
      </c>
      <c r="G985" s="2" t="s">
        <v>23</v>
      </c>
      <c r="H985" s="1">
        <v>68.794000000000011</v>
      </c>
    </row>
    <row r="986" spans="1:8" x14ac:dyDescent="0.3">
      <c r="A986" s="2">
        <v>560</v>
      </c>
      <c r="B986" t="s">
        <v>2102</v>
      </c>
      <c r="C986" t="s">
        <v>2</v>
      </c>
      <c r="D986" s="2">
        <v>1</v>
      </c>
      <c r="E986" s="11" t="s">
        <v>2081</v>
      </c>
      <c r="F986" t="s">
        <v>28</v>
      </c>
      <c r="G986" s="2" t="s">
        <v>4</v>
      </c>
      <c r="H986" s="1">
        <v>74.094000000000008</v>
      </c>
    </row>
    <row r="987" spans="1:8" x14ac:dyDescent="0.3">
      <c r="A987" s="2">
        <v>560</v>
      </c>
      <c r="B987" t="s">
        <v>2664</v>
      </c>
      <c r="C987" t="s">
        <v>2</v>
      </c>
      <c r="D987" s="2">
        <v>1</v>
      </c>
      <c r="E987" s="11" t="s">
        <v>2081</v>
      </c>
      <c r="F987" t="s">
        <v>28</v>
      </c>
      <c r="G987" s="2" t="s">
        <v>31</v>
      </c>
      <c r="H987" s="1">
        <v>74.094000000000008</v>
      </c>
    </row>
    <row r="988" spans="1:8" x14ac:dyDescent="0.3">
      <c r="A988" s="2">
        <v>561</v>
      </c>
      <c r="B988" t="s">
        <v>2987</v>
      </c>
      <c r="C988" t="s">
        <v>0</v>
      </c>
      <c r="D988" s="2">
        <v>1</v>
      </c>
      <c r="E988" s="11" t="s">
        <v>2959</v>
      </c>
      <c r="F988" t="s">
        <v>65</v>
      </c>
      <c r="G988" s="2" t="s">
        <v>31</v>
      </c>
      <c r="H988" s="1">
        <v>195.99400000000003</v>
      </c>
    </row>
    <row r="989" spans="1:8" x14ac:dyDescent="0.3">
      <c r="A989" s="2">
        <v>561</v>
      </c>
      <c r="B989" t="s">
        <v>2484</v>
      </c>
      <c r="C989" t="s">
        <v>0</v>
      </c>
      <c r="D989" s="2">
        <v>1</v>
      </c>
      <c r="E989" s="11" t="s">
        <v>2483</v>
      </c>
      <c r="F989" t="s">
        <v>65</v>
      </c>
      <c r="G989" s="2" t="s">
        <v>23</v>
      </c>
      <c r="H989" s="1">
        <v>148.29400000000001</v>
      </c>
    </row>
    <row r="990" spans="1:8" x14ac:dyDescent="0.3">
      <c r="A990" s="2">
        <v>561</v>
      </c>
      <c r="B990" t="s">
        <v>2901</v>
      </c>
      <c r="C990" t="s">
        <v>3224</v>
      </c>
      <c r="D990" s="2">
        <v>1</v>
      </c>
      <c r="E990" s="11" t="s">
        <v>2180</v>
      </c>
      <c r="F990" t="s">
        <v>28</v>
      </c>
      <c r="G990" s="2" t="s">
        <v>23</v>
      </c>
      <c r="H990" s="1">
        <v>84.694000000000017</v>
      </c>
    </row>
    <row r="991" spans="1:8" x14ac:dyDescent="0.3">
      <c r="A991" s="2">
        <v>561</v>
      </c>
      <c r="B991" t="s">
        <v>2830</v>
      </c>
      <c r="C991" t="s">
        <v>0</v>
      </c>
      <c r="D991" s="2">
        <v>1</v>
      </c>
      <c r="E991" s="11" t="s">
        <v>2829</v>
      </c>
      <c r="F991" t="s">
        <v>47</v>
      </c>
      <c r="G991" s="2" t="s">
        <v>23</v>
      </c>
      <c r="H991" s="1">
        <v>148.29400000000001</v>
      </c>
    </row>
    <row r="992" spans="1:8" x14ac:dyDescent="0.3">
      <c r="A992" s="2">
        <v>561</v>
      </c>
      <c r="B992" t="s">
        <v>2921</v>
      </c>
      <c r="C992" t="s">
        <v>1</v>
      </c>
      <c r="D992" s="2">
        <v>1</v>
      </c>
      <c r="E992" s="11" t="s">
        <v>2920</v>
      </c>
      <c r="F992" t="s">
        <v>47</v>
      </c>
      <c r="G992" s="2" t="s">
        <v>23</v>
      </c>
      <c r="H992" s="1">
        <v>84.694000000000017</v>
      </c>
    </row>
    <row r="993" spans="1:8" x14ac:dyDescent="0.3">
      <c r="A993" s="2">
        <v>561</v>
      </c>
      <c r="B993" t="s">
        <v>1922</v>
      </c>
      <c r="C993" t="s">
        <v>3224</v>
      </c>
      <c r="D993" s="2">
        <v>1</v>
      </c>
      <c r="E993" s="11" t="s">
        <v>1478</v>
      </c>
      <c r="F993" t="s">
        <v>47</v>
      </c>
      <c r="G993" s="2" t="s">
        <v>23</v>
      </c>
      <c r="H993" s="1">
        <v>116.49400000000001</v>
      </c>
    </row>
    <row r="994" spans="1:8" x14ac:dyDescent="0.3">
      <c r="A994" s="2">
        <v>561</v>
      </c>
      <c r="B994" t="s">
        <v>2989</v>
      </c>
      <c r="C994" t="s">
        <v>0</v>
      </c>
      <c r="D994" s="2">
        <v>1</v>
      </c>
      <c r="E994" s="11" t="s">
        <v>2961</v>
      </c>
      <c r="F994" t="s">
        <v>39</v>
      </c>
      <c r="G994" s="2" t="s">
        <v>23</v>
      </c>
      <c r="H994" s="1">
        <v>180.09400000000002</v>
      </c>
    </row>
    <row r="995" spans="1:8" x14ac:dyDescent="0.3">
      <c r="A995" s="2">
        <v>561</v>
      </c>
      <c r="B995" t="s">
        <v>2960</v>
      </c>
      <c r="C995" t="s">
        <v>0</v>
      </c>
      <c r="D995" s="2">
        <v>1</v>
      </c>
      <c r="E995" s="11" t="s">
        <v>2959</v>
      </c>
      <c r="F995" t="s">
        <v>39</v>
      </c>
      <c r="G995" s="2" t="s">
        <v>23</v>
      </c>
      <c r="H995" s="1">
        <v>195.99400000000003</v>
      </c>
    </row>
    <row r="996" spans="1:8" x14ac:dyDescent="0.3">
      <c r="A996" s="2">
        <v>561</v>
      </c>
      <c r="B996" t="s">
        <v>2918</v>
      </c>
      <c r="C996" t="s">
        <v>2</v>
      </c>
      <c r="D996" s="2">
        <v>1</v>
      </c>
      <c r="E996" s="11" t="s">
        <v>2126</v>
      </c>
      <c r="F996" t="s">
        <v>39</v>
      </c>
      <c r="G996" s="2" t="s">
        <v>23</v>
      </c>
      <c r="H996" s="1">
        <v>95.294000000000011</v>
      </c>
    </row>
    <row r="997" spans="1:8" x14ac:dyDescent="0.3">
      <c r="A997" s="2">
        <v>561</v>
      </c>
      <c r="B997" t="s">
        <v>2604</v>
      </c>
      <c r="C997" t="s">
        <v>0</v>
      </c>
      <c r="D997" s="2">
        <v>1</v>
      </c>
      <c r="E997" s="11" t="s">
        <v>2411</v>
      </c>
      <c r="F997" t="s">
        <v>39</v>
      </c>
      <c r="G997" s="2" t="s">
        <v>23</v>
      </c>
      <c r="H997" s="1">
        <v>153.59400000000002</v>
      </c>
    </row>
    <row r="998" spans="1:8" x14ac:dyDescent="0.3">
      <c r="A998" s="2">
        <v>561</v>
      </c>
      <c r="B998" t="s">
        <v>2914</v>
      </c>
      <c r="C998" t="s">
        <v>3224</v>
      </c>
      <c r="D998" s="2">
        <v>1</v>
      </c>
      <c r="E998" s="11" t="s">
        <v>2426</v>
      </c>
      <c r="F998" t="s">
        <v>39</v>
      </c>
      <c r="G998" s="2" t="s">
        <v>23</v>
      </c>
      <c r="H998" s="1">
        <v>95.294000000000011</v>
      </c>
    </row>
    <row r="999" spans="1:8" x14ac:dyDescent="0.3">
      <c r="A999" s="2">
        <v>561</v>
      </c>
      <c r="B999" t="s">
        <v>2988</v>
      </c>
      <c r="C999" t="s">
        <v>0</v>
      </c>
      <c r="D999" s="2">
        <v>1</v>
      </c>
      <c r="E999" s="11" t="s">
        <v>2961</v>
      </c>
      <c r="F999" t="s">
        <v>28</v>
      </c>
      <c r="G999" s="2" t="s">
        <v>31</v>
      </c>
      <c r="H999" s="1">
        <v>180.09400000000002</v>
      </c>
    </row>
    <row r="1000" spans="1:8" x14ac:dyDescent="0.3">
      <c r="A1000" s="2">
        <v>562</v>
      </c>
      <c r="B1000" t="s">
        <v>2987</v>
      </c>
      <c r="C1000" t="s">
        <v>0</v>
      </c>
      <c r="D1000" s="2">
        <v>1</v>
      </c>
      <c r="E1000" s="11" t="s">
        <v>2959</v>
      </c>
      <c r="F1000" t="s">
        <v>65</v>
      </c>
      <c r="G1000" s="2" t="s">
        <v>31</v>
      </c>
      <c r="H1000" s="1">
        <v>195.99400000000003</v>
      </c>
    </row>
    <row r="1001" spans="1:8" x14ac:dyDescent="0.3">
      <c r="A1001" s="2">
        <v>562</v>
      </c>
      <c r="B1001" t="s">
        <v>2986</v>
      </c>
      <c r="C1001" t="s">
        <v>3220</v>
      </c>
      <c r="D1001" s="2">
        <v>1</v>
      </c>
      <c r="E1001" s="11" t="s">
        <v>2816</v>
      </c>
      <c r="F1001" t="s">
        <v>28</v>
      </c>
      <c r="G1001" s="2" t="s">
        <v>4</v>
      </c>
      <c r="H1001" s="1">
        <v>63.494000000000007</v>
      </c>
    </row>
    <row r="1002" spans="1:8" x14ac:dyDescent="0.3">
      <c r="A1002" s="2">
        <v>562</v>
      </c>
      <c r="B1002" t="s">
        <v>2817</v>
      </c>
      <c r="C1002" t="s">
        <v>3220</v>
      </c>
      <c r="D1002" s="2">
        <v>1</v>
      </c>
      <c r="E1002" s="11" t="s">
        <v>2816</v>
      </c>
      <c r="F1002" t="s">
        <v>28</v>
      </c>
      <c r="G1002" s="2" t="s">
        <v>31</v>
      </c>
      <c r="H1002" s="1">
        <v>63.494000000000007</v>
      </c>
    </row>
    <row r="1003" spans="1:8" x14ac:dyDescent="0.3">
      <c r="A1003" s="2">
        <v>562</v>
      </c>
      <c r="B1003" t="s">
        <v>2985</v>
      </c>
      <c r="C1003" t="s">
        <v>3220</v>
      </c>
      <c r="D1003" s="2">
        <v>1</v>
      </c>
      <c r="E1003" s="11" t="s">
        <v>2816</v>
      </c>
      <c r="F1003" t="s">
        <v>28</v>
      </c>
      <c r="G1003" s="2" t="s">
        <v>23</v>
      </c>
      <c r="H1003" s="1">
        <v>63.494000000000007</v>
      </c>
    </row>
    <row r="1004" spans="1:8" x14ac:dyDescent="0.3">
      <c r="A1004" s="2">
        <v>562</v>
      </c>
      <c r="B1004" t="s">
        <v>2984</v>
      </c>
      <c r="C1004" t="s">
        <v>0</v>
      </c>
      <c r="D1004" s="2">
        <v>1</v>
      </c>
      <c r="E1004" s="11" t="s">
        <v>2982</v>
      </c>
      <c r="F1004" t="s">
        <v>28</v>
      </c>
      <c r="G1004" s="2" t="s">
        <v>4</v>
      </c>
      <c r="H1004" s="1">
        <v>185.39400000000001</v>
      </c>
    </row>
    <row r="1005" spans="1:8" x14ac:dyDescent="0.3">
      <c r="A1005" s="2">
        <v>562</v>
      </c>
      <c r="B1005" t="s">
        <v>2983</v>
      </c>
      <c r="C1005" t="s">
        <v>0</v>
      </c>
      <c r="D1005" s="2">
        <v>1</v>
      </c>
      <c r="E1005" s="11" t="s">
        <v>2982</v>
      </c>
      <c r="F1005" t="s">
        <v>28</v>
      </c>
      <c r="G1005" s="2" t="s">
        <v>31</v>
      </c>
      <c r="H1005" s="1">
        <v>185.39400000000001</v>
      </c>
    </row>
    <row r="1006" spans="1:8" x14ac:dyDescent="0.3">
      <c r="A1006" s="2">
        <v>562</v>
      </c>
      <c r="B1006" t="s">
        <v>2981</v>
      </c>
      <c r="C1006" t="s">
        <v>3224</v>
      </c>
      <c r="D1006" s="2">
        <v>1</v>
      </c>
      <c r="E1006" s="11" t="s">
        <v>2638</v>
      </c>
      <c r="F1006" t="s">
        <v>28</v>
      </c>
      <c r="G1006" s="2" t="s">
        <v>4</v>
      </c>
      <c r="H1006" s="1">
        <v>58.19400000000001</v>
      </c>
    </row>
    <row r="1007" spans="1:8" x14ac:dyDescent="0.3">
      <c r="A1007" s="2">
        <v>562</v>
      </c>
      <c r="B1007" t="s">
        <v>2980</v>
      </c>
      <c r="C1007" t="s">
        <v>3224</v>
      </c>
      <c r="D1007" s="2">
        <v>1</v>
      </c>
      <c r="E1007" s="11" t="s">
        <v>2638</v>
      </c>
      <c r="F1007" t="s">
        <v>28</v>
      </c>
      <c r="G1007" s="2" t="s">
        <v>31</v>
      </c>
      <c r="H1007" s="1">
        <v>58.19400000000001</v>
      </c>
    </row>
    <row r="1008" spans="1:8" x14ac:dyDescent="0.3">
      <c r="A1008" s="2">
        <v>562</v>
      </c>
      <c r="B1008" t="s">
        <v>2979</v>
      </c>
      <c r="C1008" t="s">
        <v>3224</v>
      </c>
      <c r="D1008" s="2">
        <v>1</v>
      </c>
      <c r="E1008" s="11" t="s">
        <v>2638</v>
      </c>
      <c r="F1008" t="s">
        <v>28</v>
      </c>
      <c r="G1008" s="2" t="s">
        <v>23</v>
      </c>
      <c r="H1008" s="1">
        <v>58.19400000000001</v>
      </c>
    </row>
    <row r="1009" spans="1:8" x14ac:dyDescent="0.3">
      <c r="A1009" s="2">
        <v>562</v>
      </c>
      <c r="B1009" t="s">
        <v>2590</v>
      </c>
      <c r="C1009" t="s">
        <v>3219</v>
      </c>
      <c r="D1009" s="2">
        <v>1</v>
      </c>
      <c r="E1009" s="11" t="s">
        <v>2233</v>
      </c>
      <c r="F1009" t="s">
        <v>28</v>
      </c>
      <c r="G1009" s="2" t="s">
        <v>4</v>
      </c>
      <c r="H1009" s="1">
        <v>148.29400000000001</v>
      </c>
    </row>
    <row r="1010" spans="1:8" x14ac:dyDescent="0.3">
      <c r="A1010" s="2">
        <v>562</v>
      </c>
      <c r="B1010" t="s">
        <v>2234</v>
      </c>
      <c r="C1010" t="s">
        <v>3219</v>
      </c>
      <c r="D1010" s="2">
        <v>1</v>
      </c>
      <c r="E1010" s="11" t="s">
        <v>2233</v>
      </c>
      <c r="F1010" t="s">
        <v>28</v>
      </c>
      <c r="G1010" s="2" t="s">
        <v>31</v>
      </c>
      <c r="H1010" s="1">
        <v>148.29400000000001</v>
      </c>
    </row>
    <row r="1011" spans="1:8" x14ac:dyDescent="0.3">
      <c r="A1011" s="2">
        <v>562</v>
      </c>
      <c r="B1011" t="s">
        <v>2643</v>
      </c>
      <c r="C1011" t="s">
        <v>3219</v>
      </c>
      <c r="D1011" s="2">
        <v>1</v>
      </c>
      <c r="E1011" s="11" t="s">
        <v>2233</v>
      </c>
      <c r="F1011" t="s">
        <v>28</v>
      </c>
      <c r="G1011" s="2" t="s">
        <v>23</v>
      </c>
      <c r="H1011" s="1">
        <v>148.29400000000001</v>
      </c>
    </row>
    <row r="1012" spans="1:8" x14ac:dyDescent="0.3">
      <c r="A1012" s="2">
        <v>562</v>
      </c>
      <c r="B1012" t="s">
        <v>2928</v>
      </c>
      <c r="C1012" t="s">
        <v>3224</v>
      </c>
      <c r="D1012" s="2">
        <v>1</v>
      </c>
      <c r="E1012" s="11" t="s">
        <v>2659</v>
      </c>
      <c r="F1012" t="s">
        <v>114</v>
      </c>
      <c r="G1012" s="2" t="s">
        <v>4</v>
      </c>
      <c r="H1012" s="1">
        <v>84.694000000000017</v>
      </c>
    </row>
    <row r="1013" spans="1:8" x14ac:dyDescent="0.3">
      <c r="A1013" s="2">
        <v>562</v>
      </c>
      <c r="B1013" t="s">
        <v>2663</v>
      </c>
      <c r="C1013" t="s">
        <v>3224</v>
      </c>
      <c r="D1013" s="2">
        <v>1</v>
      </c>
      <c r="E1013" s="11" t="s">
        <v>2659</v>
      </c>
      <c r="F1013" t="s">
        <v>114</v>
      </c>
      <c r="G1013" s="2" t="s">
        <v>31</v>
      </c>
      <c r="H1013" s="1">
        <v>84.694000000000017</v>
      </c>
    </row>
    <row r="1014" spans="1:8" x14ac:dyDescent="0.3">
      <c r="A1014" s="2">
        <v>562</v>
      </c>
      <c r="B1014" t="s">
        <v>2662</v>
      </c>
      <c r="C1014" t="s">
        <v>3224</v>
      </c>
      <c r="D1014" s="2">
        <v>1</v>
      </c>
      <c r="E1014" s="11" t="s">
        <v>2659</v>
      </c>
      <c r="F1014" t="s">
        <v>114</v>
      </c>
      <c r="G1014" s="2" t="s">
        <v>23</v>
      </c>
      <c r="H1014" s="1">
        <v>84.694000000000017</v>
      </c>
    </row>
    <row r="1015" spans="1:8" x14ac:dyDescent="0.3">
      <c r="A1015" s="2">
        <v>562</v>
      </c>
      <c r="B1015" t="s">
        <v>2978</v>
      </c>
      <c r="C1015" t="s">
        <v>0</v>
      </c>
      <c r="D1015" s="2">
        <v>1</v>
      </c>
      <c r="E1015" s="11" t="s">
        <v>2630</v>
      </c>
      <c r="F1015" t="s">
        <v>683</v>
      </c>
      <c r="G1015" s="2" t="s">
        <v>4</v>
      </c>
      <c r="H1015" s="1">
        <v>174.79400000000001</v>
      </c>
    </row>
    <row r="1016" spans="1:8" x14ac:dyDescent="0.3">
      <c r="A1016" s="2">
        <v>562</v>
      </c>
      <c r="B1016" t="s">
        <v>2960</v>
      </c>
      <c r="C1016" t="s">
        <v>0</v>
      </c>
      <c r="D1016" s="2">
        <v>1</v>
      </c>
      <c r="E1016" s="11" t="s">
        <v>2959</v>
      </c>
      <c r="F1016" t="s">
        <v>39</v>
      </c>
      <c r="G1016" s="2" t="s">
        <v>23</v>
      </c>
      <c r="H1016" s="1">
        <v>195.99400000000003</v>
      </c>
    </row>
    <row r="1017" spans="1:8" x14ac:dyDescent="0.3">
      <c r="A1017" s="2">
        <v>562</v>
      </c>
      <c r="B1017" t="s">
        <v>2977</v>
      </c>
      <c r="C1017" t="s">
        <v>0</v>
      </c>
      <c r="D1017" s="2">
        <v>1</v>
      </c>
      <c r="E1017" s="11" t="s">
        <v>2630</v>
      </c>
      <c r="F1017" t="s">
        <v>28</v>
      </c>
      <c r="G1017" s="2" t="s">
        <v>31</v>
      </c>
      <c r="H1017" s="1">
        <v>174.79400000000001</v>
      </c>
    </row>
    <row r="1018" spans="1:8" x14ac:dyDescent="0.3">
      <c r="A1018" s="2">
        <v>562</v>
      </c>
      <c r="B1018" t="s">
        <v>2631</v>
      </c>
      <c r="C1018" t="s">
        <v>0</v>
      </c>
      <c r="D1018" s="2">
        <v>1</v>
      </c>
      <c r="E1018" s="11" t="s">
        <v>2630</v>
      </c>
      <c r="F1018" t="s">
        <v>28</v>
      </c>
      <c r="G1018" s="2" t="s">
        <v>23</v>
      </c>
      <c r="H1018" s="1">
        <v>174.79400000000001</v>
      </c>
    </row>
    <row r="1019" spans="1:8" x14ac:dyDescent="0.3">
      <c r="A1019" s="2">
        <v>563</v>
      </c>
      <c r="B1019" t="s">
        <v>1805</v>
      </c>
      <c r="C1019" t="s">
        <v>3219</v>
      </c>
      <c r="D1019" s="2">
        <v>1</v>
      </c>
      <c r="E1019" s="11" t="s">
        <v>534</v>
      </c>
      <c r="F1019" t="s">
        <v>65</v>
      </c>
      <c r="G1019" s="2" t="s">
        <v>31</v>
      </c>
      <c r="H1019" s="1">
        <v>89.994000000000014</v>
      </c>
    </row>
    <row r="1020" spans="1:8" x14ac:dyDescent="0.3">
      <c r="A1020" s="2">
        <v>563</v>
      </c>
      <c r="B1020" t="s">
        <v>2940</v>
      </c>
      <c r="C1020" t="s">
        <v>3224</v>
      </c>
      <c r="D1020" s="2">
        <v>1</v>
      </c>
      <c r="E1020" s="11" t="s">
        <v>2381</v>
      </c>
      <c r="F1020" t="s">
        <v>65</v>
      </c>
      <c r="G1020" s="2" t="s">
        <v>31</v>
      </c>
      <c r="H1020" s="1">
        <v>36.994</v>
      </c>
    </row>
    <row r="1021" spans="1:8" x14ac:dyDescent="0.3">
      <c r="A1021" s="2">
        <v>563</v>
      </c>
      <c r="B1021" t="s">
        <v>2976</v>
      </c>
      <c r="C1021" t="s">
        <v>3217</v>
      </c>
      <c r="D1021" s="2">
        <v>1</v>
      </c>
      <c r="E1021" s="11" t="s">
        <v>1285</v>
      </c>
      <c r="F1021" t="s">
        <v>126</v>
      </c>
      <c r="G1021" s="2" t="s">
        <v>31</v>
      </c>
      <c r="H1021" s="1">
        <v>42.294000000000004</v>
      </c>
    </row>
    <row r="1022" spans="1:8" x14ac:dyDescent="0.3">
      <c r="A1022" s="2">
        <v>563</v>
      </c>
      <c r="B1022" t="s">
        <v>2904</v>
      </c>
      <c r="C1022" t="s">
        <v>3217</v>
      </c>
      <c r="D1022" s="2">
        <v>1</v>
      </c>
      <c r="E1022" s="11" t="s">
        <v>2654</v>
      </c>
      <c r="F1022" t="s">
        <v>28</v>
      </c>
      <c r="G1022" s="2" t="s">
        <v>31</v>
      </c>
      <c r="H1022" s="1">
        <v>26.393999999999998</v>
      </c>
    </row>
    <row r="1023" spans="1:8" x14ac:dyDescent="0.3">
      <c r="A1023" s="2">
        <v>563</v>
      </c>
      <c r="B1023" t="s">
        <v>2975</v>
      </c>
      <c r="C1023" t="s">
        <v>3219</v>
      </c>
      <c r="D1023" s="2">
        <v>1</v>
      </c>
      <c r="E1023" s="11" t="s">
        <v>534</v>
      </c>
      <c r="F1023" t="s">
        <v>62</v>
      </c>
      <c r="G1023" s="2" t="s">
        <v>23</v>
      </c>
      <c r="H1023" s="1">
        <v>89.994000000000014</v>
      </c>
    </row>
    <row r="1024" spans="1:8" x14ac:dyDescent="0.3">
      <c r="A1024" s="2">
        <v>563</v>
      </c>
      <c r="B1024" t="s">
        <v>2841</v>
      </c>
      <c r="C1024" t="s">
        <v>3217</v>
      </c>
      <c r="D1024" s="2">
        <v>1</v>
      </c>
      <c r="E1024" s="11" t="s">
        <v>2654</v>
      </c>
      <c r="F1024" t="s">
        <v>28</v>
      </c>
      <c r="G1024" s="2" t="s">
        <v>23</v>
      </c>
      <c r="H1024" s="1">
        <v>26.393999999999998</v>
      </c>
    </row>
    <row r="1025" spans="1:8" x14ac:dyDescent="0.3">
      <c r="A1025" s="2">
        <v>563</v>
      </c>
      <c r="B1025" t="s">
        <v>2951</v>
      </c>
      <c r="C1025" t="s">
        <v>3224</v>
      </c>
      <c r="D1025" s="2">
        <v>1</v>
      </c>
      <c r="E1025" s="11" t="s">
        <v>2212</v>
      </c>
      <c r="F1025" t="s">
        <v>28</v>
      </c>
      <c r="G1025" s="2" t="s">
        <v>23</v>
      </c>
      <c r="H1025" s="1">
        <v>79.394000000000005</v>
      </c>
    </row>
    <row r="1026" spans="1:8" x14ac:dyDescent="0.3">
      <c r="A1026" s="2">
        <v>563</v>
      </c>
      <c r="B1026" t="s">
        <v>2387</v>
      </c>
      <c r="C1026" t="s">
        <v>3224</v>
      </c>
      <c r="D1026" s="2">
        <v>1</v>
      </c>
      <c r="E1026" s="11" t="s">
        <v>2381</v>
      </c>
      <c r="F1026" t="s">
        <v>114</v>
      </c>
      <c r="G1026" s="2" t="s">
        <v>23</v>
      </c>
      <c r="H1026" s="1">
        <v>36.994</v>
      </c>
    </row>
    <row r="1027" spans="1:8" x14ac:dyDescent="0.3">
      <c r="A1027" s="2">
        <v>563</v>
      </c>
      <c r="B1027" t="s">
        <v>2974</v>
      </c>
      <c r="C1027" t="s">
        <v>3224</v>
      </c>
      <c r="D1027" s="2">
        <v>1</v>
      </c>
      <c r="E1027" s="11" t="s">
        <v>2600</v>
      </c>
      <c r="F1027" t="s">
        <v>114</v>
      </c>
      <c r="G1027" s="2" t="s">
        <v>31</v>
      </c>
      <c r="H1027" s="1">
        <v>42.294000000000004</v>
      </c>
    </row>
    <row r="1028" spans="1:8" x14ac:dyDescent="0.3">
      <c r="A1028" s="2">
        <v>563</v>
      </c>
      <c r="B1028" t="s">
        <v>2973</v>
      </c>
      <c r="C1028" t="s">
        <v>3224</v>
      </c>
      <c r="D1028" s="2">
        <v>1</v>
      </c>
      <c r="E1028" s="11" t="s">
        <v>2212</v>
      </c>
      <c r="F1028" t="s">
        <v>114</v>
      </c>
      <c r="G1028" s="2" t="s">
        <v>31</v>
      </c>
      <c r="H1028" s="1">
        <v>79.394000000000005</v>
      </c>
    </row>
    <row r="1029" spans="1:8" x14ac:dyDescent="0.3">
      <c r="A1029" s="2">
        <v>563</v>
      </c>
      <c r="B1029" t="s">
        <v>2972</v>
      </c>
      <c r="C1029" t="s">
        <v>3217</v>
      </c>
      <c r="D1029" s="2">
        <v>1</v>
      </c>
      <c r="E1029" s="11" t="s">
        <v>1285</v>
      </c>
      <c r="F1029" t="s">
        <v>114</v>
      </c>
      <c r="G1029" s="2" t="s">
        <v>31</v>
      </c>
      <c r="H1029" s="1">
        <v>42.294000000000004</v>
      </c>
    </row>
    <row r="1030" spans="1:8" x14ac:dyDescent="0.3">
      <c r="A1030" s="2">
        <v>563</v>
      </c>
      <c r="B1030" t="s">
        <v>2971</v>
      </c>
      <c r="C1030" t="s">
        <v>2</v>
      </c>
      <c r="D1030" s="2">
        <v>1</v>
      </c>
      <c r="E1030" s="11" t="s">
        <v>2081</v>
      </c>
      <c r="F1030" t="s">
        <v>47</v>
      </c>
      <c r="G1030" s="2" t="s">
        <v>31</v>
      </c>
      <c r="H1030" s="1">
        <v>74.094000000000008</v>
      </c>
    </row>
    <row r="1031" spans="1:8" x14ac:dyDescent="0.3">
      <c r="A1031" s="2">
        <v>563</v>
      </c>
      <c r="B1031" t="s">
        <v>2664</v>
      </c>
      <c r="C1031" t="s">
        <v>2</v>
      </c>
      <c r="D1031" s="2">
        <v>1</v>
      </c>
      <c r="E1031" s="11" t="s">
        <v>2081</v>
      </c>
      <c r="F1031" t="s">
        <v>28</v>
      </c>
      <c r="G1031" s="2" t="s">
        <v>31</v>
      </c>
      <c r="H1031" s="1">
        <v>74.094000000000008</v>
      </c>
    </row>
    <row r="1032" spans="1:8" x14ac:dyDescent="0.3">
      <c r="A1032" s="2">
        <v>563</v>
      </c>
      <c r="B1032" t="s">
        <v>2970</v>
      </c>
      <c r="C1032" t="s">
        <v>3224</v>
      </c>
      <c r="D1032" s="2">
        <v>1</v>
      </c>
      <c r="E1032" s="11" t="s">
        <v>2600</v>
      </c>
      <c r="F1032" t="s">
        <v>28</v>
      </c>
      <c r="G1032" s="2" t="s">
        <v>23</v>
      </c>
      <c r="H1032" s="1">
        <v>42.294000000000004</v>
      </c>
    </row>
    <row r="1033" spans="1:8" x14ac:dyDescent="0.3">
      <c r="A1033" s="2">
        <v>564</v>
      </c>
      <c r="B1033" t="s">
        <v>2969</v>
      </c>
      <c r="C1033" t="s">
        <v>0</v>
      </c>
      <c r="D1033" s="2">
        <v>1</v>
      </c>
      <c r="E1033" s="11" t="s">
        <v>2630</v>
      </c>
      <c r="F1033" t="s">
        <v>55</v>
      </c>
      <c r="G1033" s="2" t="s">
        <v>31</v>
      </c>
      <c r="H1033" s="1">
        <v>174.79400000000001</v>
      </c>
    </row>
    <row r="1034" spans="1:8" x14ac:dyDescent="0.3">
      <c r="A1034" s="2">
        <v>564</v>
      </c>
      <c r="B1034" t="s">
        <v>2968</v>
      </c>
      <c r="C1034" t="s">
        <v>0</v>
      </c>
      <c r="D1034" s="2">
        <v>1</v>
      </c>
      <c r="E1034" s="11" t="s">
        <v>2959</v>
      </c>
      <c r="F1034" t="s">
        <v>65</v>
      </c>
      <c r="G1034" s="2" t="s">
        <v>4</v>
      </c>
      <c r="H1034" s="1">
        <v>195.99400000000003</v>
      </c>
    </row>
    <row r="1035" spans="1:8" x14ac:dyDescent="0.3">
      <c r="A1035" s="2">
        <v>564</v>
      </c>
      <c r="B1035" t="s">
        <v>2805</v>
      </c>
      <c r="C1035" t="s">
        <v>0</v>
      </c>
      <c r="D1035" s="2">
        <v>1</v>
      </c>
      <c r="E1035" s="11" t="s">
        <v>2483</v>
      </c>
      <c r="F1035" t="s">
        <v>65</v>
      </c>
      <c r="G1035" s="2" t="s">
        <v>31</v>
      </c>
      <c r="H1035" s="1">
        <v>148.29400000000001</v>
      </c>
    </row>
    <row r="1036" spans="1:8" x14ac:dyDescent="0.3">
      <c r="A1036" s="2">
        <v>564</v>
      </c>
      <c r="B1036" t="s">
        <v>2967</v>
      </c>
      <c r="C1036" t="s">
        <v>0</v>
      </c>
      <c r="D1036" s="2">
        <v>1</v>
      </c>
      <c r="E1036" s="11" t="s">
        <v>2060</v>
      </c>
      <c r="F1036" t="s">
        <v>65</v>
      </c>
      <c r="G1036" s="2" t="s">
        <v>31</v>
      </c>
      <c r="H1036" s="1">
        <v>158.89400000000001</v>
      </c>
    </row>
    <row r="1037" spans="1:8" x14ac:dyDescent="0.3">
      <c r="A1037" s="2">
        <v>564</v>
      </c>
      <c r="B1037" t="s">
        <v>2966</v>
      </c>
      <c r="C1037" t="s">
        <v>0</v>
      </c>
      <c r="D1037" s="2">
        <v>1</v>
      </c>
      <c r="E1037" s="11" t="s">
        <v>2829</v>
      </c>
      <c r="F1037" t="s">
        <v>114</v>
      </c>
      <c r="G1037" s="2" t="s">
        <v>31</v>
      </c>
      <c r="H1037" s="1">
        <v>148.29400000000001</v>
      </c>
    </row>
    <row r="1038" spans="1:8" x14ac:dyDescent="0.3">
      <c r="A1038" s="2">
        <v>564</v>
      </c>
      <c r="B1038" t="s">
        <v>2965</v>
      </c>
      <c r="C1038" t="s">
        <v>0</v>
      </c>
      <c r="D1038" s="2">
        <v>1</v>
      </c>
      <c r="E1038" s="11" t="s">
        <v>1856</v>
      </c>
      <c r="F1038" t="s">
        <v>114</v>
      </c>
      <c r="G1038" s="2" t="s">
        <v>31</v>
      </c>
      <c r="H1038" s="1">
        <v>158.89400000000001</v>
      </c>
    </row>
    <row r="1039" spans="1:8" x14ac:dyDescent="0.3">
      <c r="A1039" s="2">
        <v>564</v>
      </c>
      <c r="B1039" t="s">
        <v>2964</v>
      </c>
      <c r="C1039" t="s">
        <v>0</v>
      </c>
      <c r="D1039" s="2">
        <v>1</v>
      </c>
      <c r="E1039" s="11" t="s">
        <v>2630</v>
      </c>
      <c r="F1039" t="s">
        <v>683</v>
      </c>
      <c r="G1039" s="2" t="s">
        <v>23</v>
      </c>
      <c r="H1039" s="1">
        <v>174.79400000000001</v>
      </c>
    </row>
    <row r="1040" spans="1:8" x14ac:dyDescent="0.3">
      <c r="A1040" s="2">
        <v>564</v>
      </c>
      <c r="B1040" t="s">
        <v>2901</v>
      </c>
      <c r="C1040" t="s">
        <v>3224</v>
      </c>
      <c r="D1040" s="2">
        <v>1</v>
      </c>
      <c r="E1040" s="11" t="s">
        <v>2180</v>
      </c>
      <c r="F1040" t="s">
        <v>28</v>
      </c>
      <c r="G1040" s="2" t="s">
        <v>23</v>
      </c>
      <c r="H1040" s="1">
        <v>84.694000000000017</v>
      </c>
    </row>
    <row r="1041" spans="1:8" x14ac:dyDescent="0.3">
      <c r="A1041" s="2">
        <v>564</v>
      </c>
      <c r="B1041" t="s">
        <v>2900</v>
      </c>
      <c r="C1041" t="s">
        <v>3</v>
      </c>
      <c r="D1041" s="2">
        <v>1</v>
      </c>
      <c r="E1041" s="11" t="s">
        <v>2178</v>
      </c>
      <c r="F1041" t="s">
        <v>28</v>
      </c>
      <c r="G1041" s="2" t="s">
        <v>23</v>
      </c>
      <c r="H1041" s="1">
        <v>111.19400000000002</v>
      </c>
    </row>
    <row r="1042" spans="1:8" x14ac:dyDescent="0.3">
      <c r="A1042" s="2">
        <v>564</v>
      </c>
      <c r="B1042" t="s">
        <v>2830</v>
      </c>
      <c r="C1042" t="s">
        <v>0</v>
      </c>
      <c r="D1042" s="2">
        <v>1</v>
      </c>
      <c r="E1042" s="11" t="s">
        <v>2829</v>
      </c>
      <c r="F1042" t="s">
        <v>47</v>
      </c>
      <c r="G1042" s="2" t="s">
        <v>23</v>
      </c>
      <c r="H1042" s="1">
        <v>148.29400000000001</v>
      </c>
    </row>
    <row r="1043" spans="1:8" x14ac:dyDescent="0.3">
      <c r="A1043" s="2">
        <v>564</v>
      </c>
      <c r="B1043" t="s">
        <v>1857</v>
      </c>
      <c r="C1043" t="s">
        <v>0</v>
      </c>
      <c r="D1043" s="2">
        <v>1</v>
      </c>
      <c r="E1043" s="11" t="s">
        <v>1856</v>
      </c>
      <c r="F1043" t="s">
        <v>47</v>
      </c>
      <c r="G1043" s="2" t="s">
        <v>31</v>
      </c>
      <c r="H1043" s="1">
        <v>158.89400000000001</v>
      </c>
    </row>
    <row r="1044" spans="1:8" x14ac:dyDescent="0.3">
      <c r="A1044" s="2">
        <v>564</v>
      </c>
      <c r="B1044" t="s">
        <v>2963</v>
      </c>
      <c r="C1044" t="s">
        <v>0</v>
      </c>
      <c r="D1044" s="2">
        <v>1</v>
      </c>
      <c r="E1044" s="11" t="s">
        <v>1856</v>
      </c>
      <c r="F1044" t="s">
        <v>47</v>
      </c>
      <c r="G1044" s="2" t="s">
        <v>23</v>
      </c>
      <c r="H1044" s="1">
        <v>158.89400000000001</v>
      </c>
    </row>
    <row r="1045" spans="1:8" x14ac:dyDescent="0.3">
      <c r="A1045" s="2">
        <v>564</v>
      </c>
      <c r="B1045" t="s">
        <v>1922</v>
      </c>
      <c r="C1045" t="s">
        <v>3224</v>
      </c>
      <c r="D1045" s="2">
        <v>1</v>
      </c>
      <c r="E1045" s="11" t="s">
        <v>1478</v>
      </c>
      <c r="F1045" t="s">
        <v>47</v>
      </c>
      <c r="G1045" s="2" t="s">
        <v>23</v>
      </c>
      <c r="H1045" s="1">
        <v>116.49400000000001</v>
      </c>
    </row>
    <row r="1046" spans="1:8" x14ac:dyDescent="0.3">
      <c r="A1046" s="2">
        <v>564</v>
      </c>
      <c r="B1046" t="s">
        <v>2962</v>
      </c>
      <c r="C1046" t="s">
        <v>0</v>
      </c>
      <c r="D1046" s="2">
        <v>1</v>
      </c>
      <c r="E1046" s="11" t="s">
        <v>2961</v>
      </c>
      <c r="F1046" t="s">
        <v>39</v>
      </c>
      <c r="G1046" s="2" t="s">
        <v>31</v>
      </c>
      <c r="H1046" s="1">
        <v>180.09400000000002</v>
      </c>
    </row>
    <row r="1047" spans="1:8" x14ac:dyDescent="0.3">
      <c r="A1047" s="2">
        <v>564</v>
      </c>
      <c r="B1047" t="s">
        <v>2960</v>
      </c>
      <c r="C1047" t="s">
        <v>0</v>
      </c>
      <c r="D1047" s="2">
        <v>1</v>
      </c>
      <c r="E1047" s="11" t="s">
        <v>2959</v>
      </c>
      <c r="F1047" t="s">
        <v>39</v>
      </c>
      <c r="G1047" s="2" t="s">
        <v>23</v>
      </c>
      <c r="H1047" s="1">
        <v>195.99400000000003</v>
      </c>
    </row>
    <row r="1048" spans="1:8" x14ac:dyDescent="0.3">
      <c r="A1048" s="2">
        <v>564</v>
      </c>
      <c r="B1048" t="s">
        <v>2918</v>
      </c>
      <c r="C1048" t="s">
        <v>2</v>
      </c>
      <c r="D1048" s="2">
        <v>1</v>
      </c>
      <c r="E1048" s="11" t="s">
        <v>2126</v>
      </c>
      <c r="F1048" t="s">
        <v>39</v>
      </c>
      <c r="G1048" s="2" t="s">
        <v>23</v>
      </c>
      <c r="H1048" s="1">
        <v>95.294000000000011</v>
      </c>
    </row>
    <row r="1049" spans="1:8" x14ac:dyDescent="0.3">
      <c r="A1049" s="2">
        <v>564</v>
      </c>
      <c r="B1049" t="s">
        <v>2958</v>
      </c>
      <c r="C1049" t="s">
        <v>0</v>
      </c>
      <c r="D1049" s="2">
        <v>1</v>
      </c>
      <c r="E1049" s="11" t="s">
        <v>1856</v>
      </c>
      <c r="F1049" t="s">
        <v>39</v>
      </c>
      <c r="G1049" s="2" t="s">
        <v>23</v>
      </c>
      <c r="H1049" s="1">
        <v>158.89400000000001</v>
      </c>
    </row>
    <row r="1050" spans="1:8" x14ac:dyDescent="0.3">
      <c r="A1050" s="2">
        <v>564</v>
      </c>
      <c r="B1050" t="s">
        <v>2604</v>
      </c>
      <c r="C1050" t="s">
        <v>0</v>
      </c>
      <c r="D1050" s="2">
        <v>1</v>
      </c>
      <c r="E1050" s="11" t="s">
        <v>2411</v>
      </c>
      <c r="F1050" t="s">
        <v>39</v>
      </c>
      <c r="G1050" s="2" t="s">
        <v>23</v>
      </c>
      <c r="H1050" s="1">
        <v>153.59400000000002</v>
      </c>
    </row>
    <row r="1051" spans="1:8" x14ac:dyDescent="0.3">
      <c r="A1051" s="2">
        <v>564</v>
      </c>
      <c r="B1051" t="s">
        <v>2914</v>
      </c>
      <c r="C1051" t="s">
        <v>3224</v>
      </c>
      <c r="D1051" s="2">
        <v>1</v>
      </c>
      <c r="E1051" s="11" t="s">
        <v>2426</v>
      </c>
      <c r="F1051" t="s">
        <v>39</v>
      </c>
      <c r="G1051" s="2" t="s">
        <v>23</v>
      </c>
      <c r="H1051" s="1">
        <v>95.294000000000011</v>
      </c>
    </row>
    <row r="1052" spans="1:8" x14ac:dyDescent="0.3">
      <c r="A1052" s="2">
        <v>564</v>
      </c>
      <c r="B1052" t="s">
        <v>2957</v>
      </c>
      <c r="C1052" t="s">
        <v>0</v>
      </c>
      <c r="D1052" s="2">
        <v>1</v>
      </c>
      <c r="E1052" s="11" t="s">
        <v>1856</v>
      </c>
      <c r="F1052" t="s">
        <v>36</v>
      </c>
      <c r="G1052" s="2" t="s">
        <v>31</v>
      </c>
      <c r="H1052" s="1">
        <v>158.89400000000001</v>
      </c>
    </row>
    <row r="1053" spans="1:8" x14ac:dyDescent="0.3">
      <c r="A1053" s="2">
        <v>565</v>
      </c>
      <c r="B1053" t="s">
        <v>2956</v>
      </c>
      <c r="C1053" t="s">
        <v>3224</v>
      </c>
      <c r="D1053" s="2">
        <v>1</v>
      </c>
      <c r="E1053" s="11" t="s">
        <v>2945</v>
      </c>
      <c r="F1053" t="s">
        <v>65</v>
      </c>
      <c r="G1053" s="2" t="s">
        <v>23</v>
      </c>
      <c r="H1053" s="1">
        <v>95.294000000000011</v>
      </c>
    </row>
    <row r="1054" spans="1:8" x14ac:dyDescent="0.3">
      <c r="A1054" s="2">
        <v>565</v>
      </c>
      <c r="B1054" t="s">
        <v>2955</v>
      </c>
      <c r="C1054" t="s">
        <v>0</v>
      </c>
      <c r="D1054" s="2">
        <v>1</v>
      </c>
      <c r="E1054" s="11" t="s">
        <v>2692</v>
      </c>
      <c r="F1054" t="s">
        <v>114</v>
      </c>
      <c r="G1054" s="2" t="s">
        <v>4</v>
      </c>
      <c r="H1054" s="1">
        <v>158.89400000000001</v>
      </c>
    </row>
    <row r="1055" spans="1:8" x14ac:dyDescent="0.3">
      <c r="A1055" s="2">
        <v>565</v>
      </c>
      <c r="B1055" t="s">
        <v>2954</v>
      </c>
      <c r="C1055" t="s">
        <v>3365</v>
      </c>
      <c r="D1055" s="2">
        <v>1</v>
      </c>
      <c r="E1055" s="11" t="s">
        <v>2760</v>
      </c>
      <c r="F1055" t="s">
        <v>126</v>
      </c>
      <c r="G1055" s="2" t="s">
        <v>31</v>
      </c>
      <c r="H1055" s="1">
        <v>164.19400000000002</v>
      </c>
    </row>
    <row r="1056" spans="1:8" x14ac:dyDescent="0.3">
      <c r="A1056" s="2">
        <v>565</v>
      </c>
      <c r="B1056" t="s">
        <v>2877</v>
      </c>
      <c r="C1056" t="s">
        <v>3365</v>
      </c>
      <c r="D1056" s="2">
        <v>1</v>
      </c>
      <c r="E1056" s="11" t="s">
        <v>2760</v>
      </c>
      <c r="F1056" t="s">
        <v>126</v>
      </c>
      <c r="G1056" s="2" t="s">
        <v>23</v>
      </c>
      <c r="H1056" s="1">
        <v>164.19400000000002</v>
      </c>
    </row>
    <row r="1057" spans="1:8" x14ac:dyDescent="0.3">
      <c r="A1057" s="2">
        <v>565</v>
      </c>
      <c r="B1057" t="s">
        <v>2953</v>
      </c>
      <c r="C1057" t="s">
        <v>3224</v>
      </c>
      <c r="D1057" s="2">
        <v>1</v>
      </c>
      <c r="E1057" s="11" t="s">
        <v>2945</v>
      </c>
      <c r="F1057" t="s">
        <v>28</v>
      </c>
      <c r="G1057" s="2" t="s">
        <v>31</v>
      </c>
      <c r="H1057" s="1">
        <v>95.294000000000011</v>
      </c>
    </row>
    <row r="1058" spans="1:8" x14ac:dyDescent="0.3">
      <c r="A1058" s="2">
        <v>565</v>
      </c>
      <c r="B1058" t="s">
        <v>1073</v>
      </c>
      <c r="C1058" t="s">
        <v>3219</v>
      </c>
      <c r="D1058" s="2">
        <v>1</v>
      </c>
      <c r="E1058" s="11" t="s">
        <v>534</v>
      </c>
      <c r="F1058" t="s">
        <v>62</v>
      </c>
      <c r="G1058" s="2" t="s">
        <v>31</v>
      </c>
      <c r="H1058" s="1">
        <v>89.994000000000014</v>
      </c>
    </row>
    <row r="1059" spans="1:8" x14ac:dyDescent="0.3">
      <c r="A1059" s="2">
        <v>565</v>
      </c>
      <c r="B1059" t="s">
        <v>2952</v>
      </c>
      <c r="C1059" t="s">
        <v>3225</v>
      </c>
      <c r="D1059" s="2">
        <v>1</v>
      </c>
      <c r="E1059" s="11" t="s">
        <v>2636</v>
      </c>
      <c r="F1059" t="s">
        <v>28</v>
      </c>
      <c r="G1059" s="2" t="s">
        <v>23</v>
      </c>
      <c r="H1059" s="1">
        <v>158.89400000000001</v>
      </c>
    </row>
    <row r="1060" spans="1:8" x14ac:dyDescent="0.3">
      <c r="A1060" s="2">
        <v>565</v>
      </c>
      <c r="B1060" t="s">
        <v>2951</v>
      </c>
      <c r="C1060" t="s">
        <v>3224</v>
      </c>
      <c r="D1060" s="2">
        <v>1</v>
      </c>
      <c r="E1060" s="11" t="s">
        <v>2212</v>
      </c>
      <c r="F1060" t="s">
        <v>28</v>
      </c>
      <c r="G1060" s="2" t="s">
        <v>23</v>
      </c>
      <c r="H1060" s="1">
        <v>79.394000000000005</v>
      </c>
    </row>
    <row r="1061" spans="1:8" x14ac:dyDescent="0.3">
      <c r="A1061" s="2">
        <v>565</v>
      </c>
      <c r="B1061" t="s">
        <v>2950</v>
      </c>
      <c r="C1061" t="s">
        <v>0</v>
      </c>
      <c r="D1061" s="2">
        <v>1</v>
      </c>
      <c r="E1061" s="11" t="s">
        <v>2829</v>
      </c>
      <c r="F1061" t="s">
        <v>114</v>
      </c>
      <c r="G1061" s="2" t="s">
        <v>4</v>
      </c>
      <c r="H1061" s="1">
        <v>148.29400000000001</v>
      </c>
    </row>
    <row r="1062" spans="1:8" x14ac:dyDescent="0.3">
      <c r="A1062" s="2">
        <v>565</v>
      </c>
      <c r="B1062" t="s">
        <v>1894</v>
      </c>
      <c r="C1062" t="s">
        <v>3219</v>
      </c>
      <c r="D1062" s="2">
        <v>1</v>
      </c>
      <c r="E1062" s="11" t="s">
        <v>1845</v>
      </c>
      <c r="F1062" t="s">
        <v>114</v>
      </c>
      <c r="G1062" s="2" t="s">
        <v>31</v>
      </c>
      <c r="H1062" s="1">
        <v>180.09400000000002</v>
      </c>
    </row>
    <row r="1063" spans="1:8" x14ac:dyDescent="0.3">
      <c r="A1063" s="2">
        <v>565</v>
      </c>
      <c r="B1063" t="s">
        <v>1847</v>
      </c>
      <c r="C1063" t="s">
        <v>3219</v>
      </c>
      <c r="D1063" s="2">
        <v>1</v>
      </c>
      <c r="E1063" s="11" t="s">
        <v>1845</v>
      </c>
      <c r="F1063" t="s">
        <v>114</v>
      </c>
      <c r="G1063" s="2" t="s">
        <v>23</v>
      </c>
      <c r="H1063" s="1">
        <v>180.09400000000002</v>
      </c>
    </row>
    <row r="1064" spans="1:8" x14ac:dyDescent="0.3">
      <c r="A1064" s="2">
        <v>565</v>
      </c>
      <c r="B1064" t="s">
        <v>2949</v>
      </c>
      <c r="C1064" t="s">
        <v>1</v>
      </c>
      <c r="D1064" s="2">
        <v>1</v>
      </c>
      <c r="E1064" s="11" t="s">
        <v>2920</v>
      </c>
      <c r="F1064" t="s">
        <v>683</v>
      </c>
      <c r="G1064" s="2" t="s">
        <v>4</v>
      </c>
      <c r="H1064" s="1">
        <v>84.694000000000017</v>
      </c>
    </row>
    <row r="1065" spans="1:8" x14ac:dyDescent="0.3">
      <c r="A1065" s="2">
        <v>565</v>
      </c>
      <c r="B1065" t="s">
        <v>2948</v>
      </c>
      <c r="C1065" t="s">
        <v>1</v>
      </c>
      <c r="D1065" s="2">
        <v>1</v>
      </c>
      <c r="E1065" s="11" t="s">
        <v>2920</v>
      </c>
      <c r="F1065" t="s">
        <v>683</v>
      </c>
      <c r="G1065" s="2" t="s">
        <v>31</v>
      </c>
      <c r="H1065" s="1">
        <v>84.694000000000017</v>
      </c>
    </row>
    <row r="1066" spans="1:8" x14ac:dyDescent="0.3">
      <c r="A1066" s="2">
        <v>565</v>
      </c>
      <c r="B1066" t="s">
        <v>2876</v>
      </c>
      <c r="C1066" t="s">
        <v>3365</v>
      </c>
      <c r="D1066" s="2">
        <v>1</v>
      </c>
      <c r="E1066" s="11" t="s">
        <v>2760</v>
      </c>
      <c r="F1066" t="s">
        <v>47</v>
      </c>
      <c r="G1066" s="2" t="s">
        <v>4</v>
      </c>
      <c r="H1066" s="1">
        <v>164.19400000000002</v>
      </c>
    </row>
    <row r="1067" spans="1:8" x14ac:dyDescent="0.3">
      <c r="A1067" s="2">
        <v>565</v>
      </c>
      <c r="B1067" t="s">
        <v>2751</v>
      </c>
      <c r="C1067" t="s">
        <v>3225</v>
      </c>
      <c r="D1067" s="2">
        <v>1</v>
      </c>
      <c r="E1067" s="11" t="s">
        <v>2636</v>
      </c>
      <c r="F1067" t="s">
        <v>47</v>
      </c>
      <c r="G1067" s="2" t="s">
        <v>4</v>
      </c>
      <c r="H1067" s="1">
        <v>158.89400000000001</v>
      </c>
    </row>
    <row r="1068" spans="1:8" x14ac:dyDescent="0.3">
      <c r="A1068" s="2">
        <v>565</v>
      </c>
      <c r="B1068" t="s">
        <v>2947</v>
      </c>
      <c r="C1068" t="s">
        <v>3225</v>
      </c>
      <c r="D1068" s="2">
        <v>1</v>
      </c>
      <c r="E1068" s="11" t="s">
        <v>2636</v>
      </c>
      <c r="F1068" t="s">
        <v>47</v>
      </c>
      <c r="G1068" s="2" t="s">
        <v>31</v>
      </c>
      <c r="H1068" s="1">
        <v>158.89400000000001</v>
      </c>
    </row>
    <row r="1069" spans="1:8" x14ac:dyDescent="0.3">
      <c r="A1069" s="2">
        <v>565</v>
      </c>
      <c r="B1069" t="s">
        <v>2946</v>
      </c>
      <c r="C1069" t="s">
        <v>3224</v>
      </c>
      <c r="D1069" s="2">
        <v>1</v>
      </c>
      <c r="E1069" s="11" t="s">
        <v>2945</v>
      </c>
      <c r="F1069" t="s">
        <v>47</v>
      </c>
      <c r="G1069" s="2" t="s">
        <v>4</v>
      </c>
      <c r="H1069" s="1">
        <v>95.294000000000011</v>
      </c>
    </row>
    <row r="1070" spans="1:8" x14ac:dyDescent="0.3">
      <c r="A1070" s="2">
        <v>565</v>
      </c>
      <c r="B1070" t="s">
        <v>2921</v>
      </c>
      <c r="C1070" t="s">
        <v>1</v>
      </c>
      <c r="D1070" s="2">
        <v>1</v>
      </c>
      <c r="E1070" s="11" t="s">
        <v>2920</v>
      </c>
      <c r="F1070" t="s">
        <v>47</v>
      </c>
      <c r="G1070" s="2" t="s">
        <v>23</v>
      </c>
      <c r="H1070" s="1">
        <v>84.694000000000017</v>
      </c>
    </row>
    <row r="1071" spans="1:8" x14ac:dyDescent="0.3">
      <c r="A1071" s="2">
        <v>565</v>
      </c>
      <c r="B1071" t="s">
        <v>1382</v>
      </c>
      <c r="C1071" t="s">
        <v>3219</v>
      </c>
      <c r="D1071" s="2">
        <v>1</v>
      </c>
      <c r="E1071" s="11" t="s">
        <v>673</v>
      </c>
      <c r="F1071" t="s">
        <v>47</v>
      </c>
      <c r="G1071" s="2" t="s">
        <v>4</v>
      </c>
      <c r="H1071" s="1">
        <v>89.994000000000014</v>
      </c>
    </row>
    <row r="1072" spans="1:8" x14ac:dyDescent="0.3">
      <c r="A1072" s="2">
        <v>565</v>
      </c>
      <c r="B1072" t="s">
        <v>1917</v>
      </c>
      <c r="C1072" t="s">
        <v>3219</v>
      </c>
      <c r="D1072" s="2">
        <v>1</v>
      </c>
      <c r="E1072" s="11" t="s">
        <v>1845</v>
      </c>
      <c r="F1072" t="s">
        <v>39</v>
      </c>
      <c r="G1072" s="2" t="s">
        <v>23</v>
      </c>
      <c r="H1072" s="1">
        <v>180.09400000000002</v>
      </c>
    </row>
    <row r="1073" spans="1:8" x14ac:dyDescent="0.3">
      <c r="A1073" s="2">
        <v>565</v>
      </c>
      <c r="B1073" t="s">
        <v>2125</v>
      </c>
      <c r="C1073" t="s">
        <v>3219</v>
      </c>
      <c r="D1073" s="2">
        <v>1</v>
      </c>
      <c r="E1073" s="11" t="s">
        <v>673</v>
      </c>
      <c r="F1073" t="s">
        <v>39</v>
      </c>
      <c r="G1073" s="2" t="s">
        <v>4</v>
      </c>
      <c r="H1073" s="1">
        <v>89.994000000000014</v>
      </c>
    </row>
    <row r="1074" spans="1:8" x14ac:dyDescent="0.3">
      <c r="A1074" s="2">
        <v>565</v>
      </c>
      <c r="B1074" t="s">
        <v>2225</v>
      </c>
      <c r="C1074" t="s">
        <v>3224</v>
      </c>
      <c r="D1074" s="2">
        <v>1</v>
      </c>
      <c r="E1074" s="11" t="s">
        <v>2212</v>
      </c>
      <c r="F1074" t="s">
        <v>36</v>
      </c>
      <c r="G1074" s="2" t="s">
        <v>4</v>
      </c>
      <c r="H1074" s="1">
        <v>79.394000000000005</v>
      </c>
    </row>
    <row r="1075" spans="1:8" x14ac:dyDescent="0.3">
      <c r="A1075" s="2">
        <v>565</v>
      </c>
      <c r="B1075" t="s">
        <v>2944</v>
      </c>
      <c r="C1075" t="s">
        <v>3224</v>
      </c>
      <c r="D1075" s="2">
        <v>1</v>
      </c>
      <c r="E1075" s="11" t="s">
        <v>2212</v>
      </c>
      <c r="F1075" t="s">
        <v>36</v>
      </c>
      <c r="G1075" s="2" t="s">
        <v>31</v>
      </c>
      <c r="H1075" s="1">
        <v>79.394000000000005</v>
      </c>
    </row>
    <row r="1076" spans="1:8" x14ac:dyDescent="0.3">
      <c r="A1076" s="2">
        <v>566</v>
      </c>
      <c r="B1076" t="s">
        <v>2943</v>
      </c>
      <c r="C1076" t="s">
        <v>3219</v>
      </c>
      <c r="D1076" s="2">
        <v>1</v>
      </c>
      <c r="E1076" s="11" t="s">
        <v>2251</v>
      </c>
      <c r="F1076" t="s">
        <v>126</v>
      </c>
      <c r="G1076" s="2" t="s">
        <v>23</v>
      </c>
      <c r="H1076" s="1">
        <v>169.49400000000003</v>
      </c>
    </row>
    <row r="1077" spans="1:8" x14ac:dyDescent="0.3">
      <c r="A1077" s="2">
        <v>566</v>
      </c>
      <c r="B1077" t="s">
        <v>1797</v>
      </c>
      <c r="C1077" t="s">
        <v>1</v>
      </c>
      <c r="D1077" s="2">
        <v>1</v>
      </c>
      <c r="E1077" s="11" t="s">
        <v>281</v>
      </c>
      <c r="F1077" t="s">
        <v>62</v>
      </c>
      <c r="G1077" s="2" t="s">
        <v>23</v>
      </c>
      <c r="H1077" s="1">
        <v>58.194000000000003</v>
      </c>
    </row>
    <row r="1078" spans="1:8" x14ac:dyDescent="0.3">
      <c r="A1078" s="2">
        <v>566</v>
      </c>
      <c r="B1078" t="s">
        <v>2709</v>
      </c>
      <c r="C1078" t="s">
        <v>2</v>
      </c>
      <c r="D1078" s="2">
        <v>1</v>
      </c>
      <c r="E1078" s="11" t="s">
        <v>2081</v>
      </c>
      <c r="F1078" t="s">
        <v>28</v>
      </c>
      <c r="G1078" s="2" t="s">
        <v>23</v>
      </c>
      <c r="H1078" s="1">
        <v>74.094000000000008</v>
      </c>
    </row>
    <row r="1079" spans="1:8" x14ac:dyDescent="0.3">
      <c r="A1079" s="2">
        <v>566</v>
      </c>
      <c r="B1079" t="s">
        <v>2447</v>
      </c>
      <c r="C1079" t="s">
        <v>0</v>
      </c>
      <c r="D1079" s="2">
        <v>1</v>
      </c>
      <c r="E1079" s="11" t="s">
        <v>2060</v>
      </c>
      <c r="F1079" t="s">
        <v>28</v>
      </c>
      <c r="G1079" s="2" t="s">
        <v>31</v>
      </c>
      <c r="H1079" s="1">
        <v>158.89400000000001</v>
      </c>
    </row>
    <row r="1080" spans="1:8" x14ac:dyDescent="0.3">
      <c r="A1080" s="2">
        <v>566</v>
      </c>
      <c r="B1080" t="s">
        <v>2436</v>
      </c>
      <c r="C1080" t="s">
        <v>0</v>
      </c>
      <c r="D1080" s="2">
        <v>1</v>
      </c>
      <c r="E1080" s="11" t="s">
        <v>2060</v>
      </c>
      <c r="F1080" t="s">
        <v>28</v>
      </c>
      <c r="G1080" s="2" t="s">
        <v>23</v>
      </c>
      <c r="H1080" s="1">
        <v>158.89400000000001</v>
      </c>
    </row>
    <row r="1081" spans="1:8" x14ac:dyDescent="0.3">
      <c r="A1081" s="2">
        <v>566</v>
      </c>
      <c r="B1081" t="s">
        <v>1114</v>
      </c>
      <c r="C1081" t="s">
        <v>1</v>
      </c>
      <c r="D1081" s="2">
        <v>1</v>
      </c>
      <c r="E1081" s="11" t="s">
        <v>281</v>
      </c>
      <c r="F1081" t="s">
        <v>28</v>
      </c>
      <c r="G1081" s="2" t="s">
        <v>23</v>
      </c>
      <c r="H1081" s="1">
        <v>58.194000000000003</v>
      </c>
    </row>
    <row r="1082" spans="1:8" x14ac:dyDescent="0.3">
      <c r="A1082" s="2">
        <v>566</v>
      </c>
      <c r="B1082" t="s">
        <v>1240</v>
      </c>
      <c r="C1082" t="s">
        <v>1</v>
      </c>
      <c r="D1082" s="2">
        <v>1</v>
      </c>
      <c r="E1082" s="11" t="s">
        <v>281</v>
      </c>
      <c r="F1082" t="s">
        <v>959</v>
      </c>
      <c r="G1082" s="2" t="s">
        <v>31</v>
      </c>
      <c r="H1082" s="1">
        <v>58.194000000000003</v>
      </c>
    </row>
    <row r="1083" spans="1:8" x14ac:dyDescent="0.3">
      <c r="A1083" s="2">
        <v>566</v>
      </c>
      <c r="B1083" t="s">
        <v>1622</v>
      </c>
      <c r="C1083" t="s">
        <v>3224</v>
      </c>
      <c r="D1083" s="2">
        <v>1</v>
      </c>
      <c r="E1083" s="11" t="s">
        <v>1478</v>
      </c>
      <c r="F1083" t="s">
        <v>114</v>
      </c>
      <c r="G1083" s="2" t="s">
        <v>23</v>
      </c>
      <c r="H1083" s="1">
        <v>116.49400000000001</v>
      </c>
    </row>
    <row r="1084" spans="1:8" x14ac:dyDescent="0.3">
      <c r="A1084" s="2">
        <v>566</v>
      </c>
      <c r="B1084" t="s">
        <v>1310</v>
      </c>
      <c r="C1084" t="s">
        <v>1</v>
      </c>
      <c r="D1084" s="2">
        <v>1</v>
      </c>
      <c r="E1084" s="11" t="s">
        <v>281</v>
      </c>
      <c r="F1084" t="s">
        <v>114</v>
      </c>
      <c r="G1084" s="2" t="s">
        <v>31</v>
      </c>
      <c r="H1084" s="1">
        <v>58.194000000000003</v>
      </c>
    </row>
    <row r="1085" spans="1:8" x14ac:dyDescent="0.3">
      <c r="A1085" s="2">
        <v>566</v>
      </c>
      <c r="B1085" t="s">
        <v>1776</v>
      </c>
      <c r="C1085" t="s">
        <v>1</v>
      </c>
      <c r="D1085" s="2">
        <v>1</v>
      </c>
      <c r="E1085" s="11" t="s">
        <v>281</v>
      </c>
      <c r="F1085" t="s">
        <v>78</v>
      </c>
      <c r="G1085" s="2" t="s">
        <v>4</v>
      </c>
      <c r="H1085" s="1">
        <v>58.194000000000003</v>
      </c>
    </row>
    <row r="1086" spans="1:8" x14ac:dyDescent="0.3">
      <c r="A1086" s="2">
        <v>566</v>
      </c>
      <c r="B1086" t="s">
        <v>2942</v>
      </c>
      <c r="C1086" t="s">
        <v>3224</v>
      </c>
      <c r="D1086" s="2">
        <v>1</v>
      </c>
      <c r="E1086" s="11" t="s">
        <v>2495</v>
      </c>
      <c r="F1086" t="s">
        <v>39</v>
      </c>
      <c r="G1086" s="2" t="s">
        <v>23</v>
      </c>
      <c r="H1086" s="1">
        <v>95.294000000000011</v>
      </c>
    </row>
    <row r="1087" spans="1:8" x14ac:dyDescent="0.3">
      <c r="A1087" s="2">
        <v>566</v>
      </c>
      <c r="B1087" t="s">
        <v>284</v>
      </c>
      <c r="C1087" t="s">
        <v>1</v>
      </c>
      <c r="D1087" s="2">
        <v>1</v>
      </c>
      <c r="E1087" s="11" t="s">
        <v>281</v>
      </c>
      <c r="F1087" t="s">
        <v>39</v>
      </c>
      <c r="G1087" s="2" t="s">
        <v>203</v>
      </c>
      <c r="H1087" s="1">
        <v>58.194000000000003</v>
      </c>
    </row>
    <row r="1088" spans="1:8" x14ac:dyDescent="0.3">
      <c r="A1088" s="2">
        <v>566</v>
      </c>
      <c r="B1088" t="s">
        <v>2941</v>
      </c>
      <c r="C1088" t="s">
        <v>3224</v>
      </c>
      <c r="D1088" s="2">
        <v>1</v>
      </c>
      <c r="E1088" s="11" t="s">
        <v>2563</v>
      </c>
      <c r="F1088" t="s">
        <v>28</v>
      </c>
      <c r="G1088" s="2" t="s">
        <v>31</v>
      </c>
      <c r="H1088" s="1">
        <v>74.094000000000008</v>
      </c>
    </row>
    <row r="1089" spans="1:8" x14ac:dyDescent="0.3">
      <c r="A1089" s="2">
        <v>566</v>
      </c>
      <c r="B1089" t="s">
        <v>2686</v>
      </c>
      <c r="C1089" t="s">
        <v>0</v>
      </c>
      <c r="D1089" s="2">
        <v>1</v>
      </c>
      <c r="E1089" s="11" t="s">
        <v>2479</v>
      </c>
      <c r="F1089" t="s">
        <v>28</v>
      </c>
      <c r="G1089" s="2" t="s">
        <v>23</v>
      </c>
      <c r="H1089" s="1">
        <v>132.39400000000001</v>
      </c>
    </row>
    <row r="1090" spans="1:8" x14ac:dyDescent="0.3">
      <c r="A1090" s="2">
        <v>567</v>
      </c>
      <c r="B1090" t="s">
        <v>2800</v>
      </c>
      <c r="C1090" t="s">
        <v>3220</v>
      </c>
      <c r="D1090" s="2">
        <v>1</v>
      </c>
      <c r="E1090" s="11" t="s">
        <v>2492</v>
      </c>
      <c r="F1090" t="s">
        <v>65</v>
      </c>
      <c r="G1090" s="2" t="s">
        <v>4</v>
      </c>
      <c r="H1090" s="1">
        <v>36.994</v>
      </c>
    </row>
    <row r="1091" spans="1:8" x14ac:dyDescent="0.3">
      <c r="A1091" s="2">
        <v>567</v>
      </c>
      <c r="B1091" t="s">
        <v>2933</v>
      </c>
      <c r="C1091" t="s">
        <v>3224</v>
      </c>
      <c r="D1091" s="2">
        <v>1</v>
      </c>
      <c r="E1091" s="11" t="s">
        <v>2659</v>
      </c>
      <c r="F1091" t="s">
        <v>81</v>
      </c>
      <c r="G1091" s="2" t="s">
        <v>4</v>
      </c>
      <c r="H1091" s="1">
        <v>84.694000000000017</v>
      </c>
    </row>
    <row r="1092" spans="1:8" x14ac:dyDescent="0.3">
      <c r="A1092" s="2">
        <v>567</v>
      </c>
      <c r="B1092" t="s">
        <v>2931</v>
      </c>
      <c r="C1092" t="s">
        <v>3224</v>
      </c>
      <c r="D1092" s="2">
        <v>1</v>
      </c>
      <c r="E1092" s="11" t="s">
        <v>2659</v>
      </c>
      <c r="F1092" t="s">
        <v>28</v>
      </c>
      <c r="G1092" s="2" t="s">
        <v>31</v>
      </c>
      <c r="H1092" s="1">
        <v>84.694000000000017</v>
      </c>
    </row>
    <row r="1093" spans="1:8" x14ac:dyDescent="0.3">
      <c r="A1093" s="2">
        <v>567</v>
      </c>
      <c r="B1093" t="s">
        <v>2662</v>
      </c>
      <c r="C1093" t="s">
        <v>3224</v>
      </c>
      <c r="D1093" s="2">
        <v>1</v>
      </c>
      <c r="E1093" s="11" t="s">
        <v>2659</v>
      </c>
      <c r="F1093" t="s">
        <v>114</v>
      </c>
      <c r="G1093" s="2" t="s">
        <v>23</v>
      </c>
      <c r="H1093" s="1">
        <v>84.694000000000017</v>
      </c>
    </row>
    <row r="1094" spans="1:8" x14ac:dyDescent="0.3">
      <c r="A1094" s="2">
        <v>567</v>
      </c>
      <c r="B1094" t="s">
        <v>2927</v>
      </c>
      <c r="C1094" t="s">
        <v>1</v>
      </c>
      <c r="D1094" s="2">
        <v>1</v>
      </c>
      <c r="E1094" s="11" t="s">
        <v>2920</v>
      </c>
      <c r="F1094" t="s">
        <v>114</v>
      </c>
      <c r="G1094" s="2" t="s">
        <v>23</v>
      </c>
      <c r="H1094" s="1">
        <v>84.694000000000017</v>
      </c>
    </row>
    <row r="1095" spans="1:8" x14ac:dyDescent="0.3">
      <c r="A1095" s="2">
        <v>567</v>
      </c>
      <c r="B1095" t="s">
        <v>2926</v>
      </c>
      <c r="C1095" t="s">
        <v>1</v>
      </c>
      <c r="D1095" s="2">
        <v>3</v>
      </c>
      <c r="E1095" s="11" t="s">
        <v>2920</v>
      </c>
      <c r="F1095" t="s">
        <v>683</v>
      </c>
      <c r="G1095" s="2" t="s">
        <v>23</v>
      </c>
      <c r="H1095" s="1">
        <v>84.694000000000017</v>
      </c>
    </row>
    <row r="1096" spans="1:8" x14ac:dyDescent="0.3">
      <c r="A1096" s="2">
        <v>567</v>
      </c>
      <c r="B1096" t="s">
        <v>2910</v>
      </c>
      <c r="C1096" t="s">
        <v>3220</v>
      </c>
      <c r="D1096" s="2">
        <v>1</v>
      </c>
      <c r="E1096" s="11" t="s">
        <v>2492</v>
      </c>
      <c r="F1096" t="s">
        <v>39</v>
      </c>
      <c r="G1096" s="2" t="s">
        <v>23</v>
      </c>
      <c r="H1096" s="1">
        <v>36.994</v>
      </c>
    </row>
    <row r="1097" spans="1:8" x14ac:dyDescent="0.3">
      <c r="A1097" s="2">
        <v>567</v>
      </c>
      <c r="B1097" t="s">
        <v>1914</v>
      </c>
      <c r="C1097" t="s">
        <v>3219</v>
      </c>
      <c r="D1097" s="2">
        <v>1</v>
      </c>
      <c r="E1097" s="11" t="s">
        <v>1845</v>
      </c>
      <c r="F1097" t="s">
        <v>39</v>
      </c>
      <c r="G1097" s="2" t="s">
        <v>31</v>
      </c>
      <c r="H1097" s="1">
        <v>180.09400000000002</v>
      </c>
    </row>
    <row r="1098" spans="1:8" x14ac:dyDescent="0.3">
      <c r="A1098" s="2">
        <v>567</v>
      </c>
      <c r="B1098" t="s">
        <v>1917</v>
      </c>
      <c r="C1098" t="s">
        <v>3219</v>
      </c>
      <c r="D1098" s="2">
        <v>1</v>
      </c>
      <c r="E1098" s="11" t="s">
        <v>1845</v>
      </c>
      <c r="F1098" t="s">
        <v>39</v>
      </c>
      <c r="G1098" s="2" t="s">
        <v>23</v>
      </c>
      <c r="H1098" s="1">
        <v>180.09400000000002</v>
      </c>
    </row>
    <row r="1099" spans="1:8" x14ac:dyDescent="0.3">
      <c r="A1099" s="2">
        <v>568</v>
      </c>
      <c r="B1099" t="s">
        <v>2485</v>
      </c>
      <c r="C1099" t="s">
        <v>3224</v>
      </c>
      <c r="D1099" s="2">
        <v>1</v>
      </c>
      <c r="E1099" s="11" t="s">
        <v>2381</v>
      </c>
      <c r="F1099" t="s">
        <v>65</v>
      </c>
      <c r="G1099" s="2" t="s">
        <v>4</v>
      </c>
      <c r="H1099" s="1">
        <v>36.994</v>
      </c>
    </row>
    <row r="1100" spans="1:8" x14ac:dyDescent="0.3">
      <c r="A1100" s="2">
        <v>568</v>
      </c>
      <c r="B1100" t="s">
        <v>2940</v>
      </c>
      <c r="C1100" t="s">
        <v>3224</v>
      </c>
      <c r="D1100" s="2">
        <v>1</v>
      </c>
      <c r="E1100" s="11" t="s">
        <v>2381</v>
      </c>
      <c r="F1100" t="s">
        <v>65</v>
      </c>
      <c r="G1100" s="2" t="s">
        <v>31</v>
      </c>
      <c r="H1100" s="1">
        <v>36.994</v>
      </c>
    </row>
    <row r="1101" spans="1:8" x14ac:dyDescent="0.3">
      <c r="A1101" s="2">
        <v>568</v>
      </c>
      <c r="B1101" t="s">
        <v>2567</v>
      </c>
      <c r="C1101" t="s">
        <v>3224</v>
      </c>
      <c r="D1101" s="2">
        <v>1</v>
      </c>
      <c r="E1101" s="11" t="s">
        <v>2381</v>
      </c>
      <c r="F1101" t="s">
        <v>65</v>
      </c>
      <c r="G1101" s="2" t="s">
        <v>23</v>
      </c>
      <c r="H1101" s="1">
        <v>36.994</v>
      </c>
    </row>
    <row r="1102" spans="1:8" x14ac:dyDescent="0.3">
      <c r="A1102" s="2">
        <v>568</v>
      </c>
      <c r="B1102" t="s">
        <v>2485</v>
      </c>
      <c r="C1102" t="s">
        <v>3224</v>
      </c>
      <c r="D1102" s="2">
        <v>1</v>
      </c>
      <c r="E1102" s="11" t="s">
        <v>2381</v>
      </c>
      <c r="F1102" t="s">
        <v>65</v>
      </c>
      <c r="G1102" s="2" t="s">
        <v>4</v>
      </c>
      <c r="H1102" s="1">
        <v>36.994</v>
      </c>
    </row>
    <row r="1103" spans="1:8" x14ac:dyDescent="0.3">
      <c r="A1103" s="2">
        <v>568</v>
      </c>
      <c r="B1103" t="s">
        <v>2940</v>
      </c>
      <c r="C1103" t="s">
        <v>3224</v>
      </c>
      <c r="D1103" s="2">
        <v>1</v>
      </c>
      <c r="E1103" s="11" t="s">
        <v>2381</v>
      </c>
      <c r="F1103" t="s">
        <v>65</v>
      </c>
      <c r="G1103" s="2" t="s">
        <v>31</v>
      </c>
      <c r="H1103" s="1">
        <v>36.994</v>
      </c>
    </row>
    <row r="1104" spans="1:8" x14ac:dyDescent="0.3">
      <c r="A1104" s="2">
        <v>568</v>
      </c>
      <c r="B1104" t="s">
        <v>2567</v>
      </c>
      <c r="C1104" t="s">
        <v>3224</v>
      </c>
      <c r="D1104" s="2">
        <v>2</v>
      </c>
      <c r="E1104" s="11" t="s">
        <v>2381</v>
      </c>
      <c r="F1104" t="s">
        <v>65</v>
      </c>
      <c r="G1104" s="2" t="s">
        <v>23</v>
      </c>
      <c r="H1104" s="1">
        <v>36.994</v>
      </c>
    </row>
    <row r="1105" spans="1:8" x14ac:dyDescent="0.3">
      <c r="A1105" s="2">
        <v>568</v>
      </c>
      <c r="B1105" t="s">
        <v>2939</v>
      </c>
      <c r="C1105" t="s">
        <v>3219</v>
      </c>
      <c r="D1105" s="2">
        <v>2</v>
      </c>
      <c r="E1105" s="11" t="s">
        <v>1729</v>
      </c>
      <c r="F1105" t="s">
        <v>65</v>
      </c>
      <c r="G1105" s="2" t="s">
        <v>4</v>
      </c>
      <c r="H1105" s="1">
        <v>148.29400000000001</v>
      </c>
    </row>
    <row r="1106" spans="1:8" x14ac:dyDescent="0.3">
      <c r="A1106" s="2">
        <v>568</v>
      </c>
      <c r="B1106" t="s">
        <v>2938</v>
      </c>
      <c r="C1106" t="s">
        <v>3219</v>
      </c>
      <c r="D1106" s="2">
        <v>2</v>
      </c>
      <c r="E1106" s="11" t="s">
        <v>1729</v>
      </c>
      <c r="F1106" t="s">
        <v>65</v>
      </c>
      <c r="G1106" s="2" t="s">
        <v>31</v>
      </c>
      <c r="H1106" s="1">
        <v>148.29400000000001</v>
      </c>
    </row>
    <row r="1107" spans="1:8" x14ac:dyDescent="0.3">
      <c r="A1107" s="2">
        <v>568</v>
      </c>
      <c r="B1107" t="s">
        <v>2937</v>
      </c>
      <c r="C1107" t="s">
        <v>3219</v>
      </c>
      <c r="D1107" s="2">
        <v>1</v>
      </c>
      <c r="E1107" s="11" t="s">
        <v>1729</v>
      </c>
      <c r="F1107" t="s">
        <v>65</v>
      </c>
      <c r="G1107" s="2" t="s">
        <v>23</v>
      </c>
      <c r="H1107" s="1">
        <v>148.29400000000001</v>
      </c>
    </row>
    <row r="1108" spans="1:8" x14ac:dyDescent="0.3">
      <c r="A1108" s="2">
        <v>568</v>
      </c>
      <c r="B1108" t="s">
        <v>2936</v>
      </c>
      <c r="C1108" t="s">
        <v>2</v>
      </c>
      <c r="D1108" s="2">
        <v>1</v>
      </c>
      <c r="E1108" s="11" t="s">
        <v>2126</v>
      </c>
      <c r="F1108" t="s">
        <v>126</v>
      </c>
      <c r="G1108" s="2" t="s">
        <v>4</v>
      </c>
      <c r="H1108" s="1">
        <v>95.294000000000011</v>
      </c>
    </row>
    <row r="1109" spans="1:8" x14ac:dyDescent="0.3">
      <c r="A1109" s="2">
        <v>568</v>
      </c>
      <c r="B1109" t="s">
        <v>2935</v>
      </c>
      <c r="C1109" t="s">
        <v>2</v>
      </c>
      <c r="D1109" s="2">
        <v>1</v>
      </c>
      <c r="E1109" s="11" t="s">
        <v>2126</v>
      </c>
      <c r="F1109" t="s">
        <v>126</v>
      </c>
      <c r="G1109" s="2" t="s">
        <v>31</v>
      </c>
      <c r="H1109" s="1">
        <v>95.294000000000011</v>
      </c>
    </row>
    <row r="1110" spans="1:8" x14ac:dyDescent="0.3">
      <c r="A1110" s="2">
        <v>568</v>
      </c>
      <c r="B1110" t="s">
        <v>2428</v>
      </c>
      <c r="C1110" t="s">
        <v>2</v>
      </c>
      <c r="D1110" s="2">
        <v>1</v>
      </c>
      <c r="E1110" s="11" t="s">
        <v>2126</v>
      </c>
      <c r="F1110" t="s">
        <v>126</v>
      </c>
      <c r="G1110" s="2" t="s">
        <v>23</v>
      </c>
      <c r="H1110" s="1">
        <v>95.294000000000011</v>
      </c>
    </row>
    <row r="1111" spans="1:8" x14ac:dyDescent="0.3">
      <c r="A1111" s="2">
        <v>568</v>
      </c>
      <c r="B1111" t="s">
        <v>2934</v>
      </c>
      <c r="C1111" t="s">
        <v>0</v>
      </c>
      <c r="D1111" s="2">
        <v>1</v>
      </c>
      <c r="E1111" s="11" t="s">
        <v>2411</v>
      </c>
      <c r="F1111" t="s">
        <v>126</v>
      </c>
      <c r="G1111" s="2" t="s">
        <v>4</v>
      </c>
      <c r="H1111" s="1">
        <v>153.59400000000002</v>
      </c>
    </row>
    <row r="1112" spans="1:8" x14ac:dyDescent="0.3">
      <c r="A1112" s="2">
        <v>568</v>
      </c>
      <c r="B1112" t="s">
        <v>2610</v>
      </c>
      <c r="C1112" t="s">
        <v>0</v>
      </c>
      <c r="D1112" s="2">
        <v>2</v>
      </c>
      <c r="E1112" s="11" t="s">
        <v>2411</v>
      </c>
      <c r="F1112" t="s">
        <v>126</v>
      </c>
      <c r="G1112" s="2" t="s">
        <v>31</v>
      </c>
      <c r="H1112" s="1">
        <v>153.59400000000002</v>
      </c>
    </row>
    <row r="1113" spans="1:8" x14ac:dyDescent="0.3">
      <c r="A1113" s="2">
        <v>568</v>
      </c>
      <c r="B1113" t="s">
        <v>2412</v>
      </c>
      <c r="C1113" t="s">
        <v>0</v>
      </c>
      <c r="D1113" s="2">
        <v>2</v>
      </c>
      <c r="E1113" s="11" t="s">
        <v>2411</v>
      </c>
      <c r="F1113" t="s">
        <v>126</v>
      </c>
      <c r="G1113" s="2" t="s">
        <v>23</v>
      </c>
      <c r="H1113" s="1">
        <v>153.59400000000002</v>
      </c>
    </row>
    <row r="1114" spans="1:8" x14ac:dyDescent="0.3">
      <c r="A1114" s="2">
        <v>568</v>
      </c>
      <c r="B1114" t="s">
        <v>2732</v>
      </c>
      <c r="C1114" t="s">
        <v>3224</v>
      </c>
      <c r="D1114" s="2">
        <v>2</v>
      </c>
      <c r="E1114" s="11" t="s">
        <v>2426</v>
      </c>
      <c r="F1114" t="s">
        <v>126</v>
      </c>
      <c r="G1114" s="2" t="s">
        <v>4</v>
      </c>
      <c r="H1114" s="1">
        <v>95.294000000000011</v>
      </c>
    </row>
    <row r="1115" spans="1:8" x14ac:dyDescent="0.3">
      <c r="A1115" s="2">
        <v>568</v>
      </c>
      <c r="B1115" t="s">
        <v>2427</v>
      </c>
      <c r="C1115" t="s">
        <v>3224</v>
      </c>
      <c r="D1115" s="2">
        <v>1</v>
      </c>
      <c r="E1115" s="11" t="s">
        <v>2426</v>
      </c>
      <c r="F1115" t="s">
        <v>126</v>
      </c>
      <c r="G1115" s="2" t="s">
        <v>23</v>
      </c>
      <c r="H1115" s="1">
        <v>95.294000000000011</v>
      </c>
    </row>
    <row r="1116" spans="1:8" x14ac:dyDescent="0.3">
      <c r="A1116" s="2">
        <v>568</v>
      </c>
      <c r="B1116" t="s">
        <v>2933</v>
      </c>
      <c r="C1116" t="s">
        <v>3224</v>
      </c>
      <c r="D1116" s="2">
        <v>1</v>
      </c>
      <c r="E1116" s="11" t="s">
        <v>2659</v>
      </c>
      <c r="F1116" t="s">
        <v>81</v>
      </c>
      <c r="G1116" s="2" t="s">
        <v>4</v>
      </c>
      <c r="H1116" s="1">
        <v>84.694000000000017</v>
      </c>
    </row>
    <row r="1117" spans="1:8" x14ac:dyDescent="0.3">
      <c r="A1117" s="2">
        <v>568</v>
      </c>
      <c r="B1117" t="s">
        <v>2932</v>
      </c>
      <c r="C1117" t="s">
        <v>3224</v>
      </c>
      <c r="D1117" s="2">
        <v>2</v>
      </c>
      <c r="E1117" s="11" t="s">
        <v>2659</v>
      </c>
      <c r="F1117" t="s">
        <v>81</v>
      </c>
      <c r="G1117" s="2" t="s">
        <v>31</v>
      </c>
      <c r="H1117" s="1">
        <v>84.694000000000017</v>
      </c>
    </row>
    <row r="1118" spans="1:8" x14ac:dyDescent="0.3">
      <c r="A1118" s="2">
        <v>568</v>
      </c>
      <c r="B1118" t="s">
        <v>2666</v>
      </c>
      <c r="C1118" t="s">
        <v>3224</v>
      </c>
      <c r="D1118" s="2">
        <v>2</v>
      </c>
      <c r="E1118" s="11" t="s">
        <v>2659</v>
      </c>
      <c r="F1118" t="s">
        <v>28</v>
      </c>
      <c r="G1118" s="2" t="s">
        <v>4</v>
      </c>
      <c r="H1118" s="1">
        <v>84.694000000000017</v>
      </c>
    </row>
    <row r="1119" spans="1:8" x14ac:dyDescent="0.3">
      <c r="A1119" s="2">
        <v>568</v>
      </c>
      <c r="B1119" t="s">
        <v>2931</v>
      </c>
      <c r="C1119" t="s">
        <v>3224</v>
      </c>
      <c r="D1119" s="2">
        <v>2</v>
      </c>
      <c r="E1119" s="11" t="s">
        <v>2659</v>
      </c>
      <c r="F1119" t="s">
        <v>28</v>
      </c>
      <c r="G1119" s="2" t="s">
        <v>31</v>
      </c>
      <c r="H1119" s="1">
        <v>84.694000000000017</v>
      </c>
    </row>
    <row r="1120" spans="1:8" x14ac:dyDescent="0.3">
      <c r="A1120" s="2">
        <v>568</v>
      </c>
      <c r="B1120" t="s">
        <v>2665</v>
      </c>
      <c r="C1120" t="s">
        <v>3224</v>
      </c>
      <c r="D1120" s="2">
        <v>1</v>
      </c>
      <c r="E1120" s="11" t="s">
        <v>2659</v>
      </c>
      <c r="F1120" t="s">
        <v>28</v>
      </c>
      <c r="G1120" s="2" t="s">
        <v>23</v>
      </c>
      <c r="H1120" s="1">
        <v>84.694000000000017</v>
      </c>
    </row>
    <row r="1121" spans="1:8" x14ac:dyDescent="0.3">
      <c r="A1121" s="2">
        <v>568</v>
      </c>
      <c r="B1121" t="s">
        <v>2930</v>
      </c>
      <c r="C1121" t="s">
        <v>3219</v>
      </c>
      <c r="D1121" s="2">
        <v>2</v>
      </c>
      <c r="E1121" s="11" t="s">
        <v>1729</v>
      </c>
      <c r="F1121" t="s">
        <v>62</v>
      </c>
      <c r="G1121" s="2" t="s">
        <v>4</v>
      </c>
      <c r="H1121" s="1">
        <v>148.29400000000001</v>
      </c>
    </row>
    <row r="1122" spans="1:8" x14ac:dyDescent="0.3">
      <c r="A1122" s="2">
        <v>568</v>
      </c>
      <c r="B1122" t="s">
        <v>2929</v>
      </c>
      <c r="C1122" t="s">
        <v>3219</v>
      </c>
      <c r="D1122" s="2">
        <v>2</v>
      </c>
      <c r="E1122" s="11" t="s">
        <v>1729</v>
      </c>
      <c r="F1122" t="s">
        <v>62</v>
      </c>
      <c r="G1122" s="2" t="s">
        <v>31</v>
      </c>
      <c r="H1122" s="1">
        <v>148.29400000000001</v>
      </c>
    </row>
    <row r="1123" spans="1:8" x14ac:dyDescent="0.3">
      <c r="A1123" s="2">
        <v>568</v>
      </c>
      <c r="B1123" t="s">
        <v>1730</v>
      </c>
      <c r="C1123" t="s">
        <v>3219</v>
      </c>
      <c r="D1123" s="2">
        <v>2</v>
      </c>
      <c r="E1123" s="11" t="s">
        <v>1729</v>
      </c>
      <c r="F1123" t="s">
        <v>62</v>
      </c>
      <c r="G1123" s="2" t="s">
        <v>23</v>
      </c>
      <c r="H1123" s="1">
        <v>148.29400000000001</v>
      </c>
    </row>
    <row r="1124" spans="1:8" x14ac:dyDescent="0.3">
      <c r="A1124" s="2">
        <v>568</v>
      </c>
      <c r="B1124" t="s">
        <v>2764</v>
      </c>
      <c r="C1124" t="s">
        <v>3224</v>
      </c>
      <c r="D1124" s="2">
        <v>1</v>
      </c>
      <c r="E1124" s="11" t="s">
        <v>2381</v>
      </c>
      <c r="F1124" t="s">
        <v>114</v>
      </c>
      <c r="G1124" s="2" t="s">
        <v>4</v>
      </c>
      <c r="H1124" s="1">
        <v>36.994</v>
      </c>
    </row>
    <row r="1125" spans="1:8" x14ac:dyDescent="0.3">
      <c r="A1125" s="2">
        <v>568</v>
      </c>
      <c r="B1125" t="s">
        <v>2481</v>
      </c>
      <c r="C1125" t="s">
        <v>3224</v>
      </c>
      <c r="D1125" s="2">
        <v>1</v>
      </c>
      <c r="E1125" s="11" t="s">
        <v>2381</v>
      </c>
      <c r="F1125" t="s">
        <v>114</v>
      </c>
      <c r="G1125" s="2" t="s">
        <v>31</v>
      </c>
      <c r="H1125" s="1">
        <v>36.994</v>
      </c>
    </row>
    <row r="1126" spans="1:8" x14ac:dyDescent="0.3">
      <c r="A1126" s="2">
        <v>568</v>
      </c>
      <c r="B1126" t="s">
        <v>2387</v>
      </c>
      <c r="C1126" t="s">
        <v>3224</v>
      </c>
      <c r="D1126" s="2">
        <v>1</v>
      </c>
      <c r="E1126" s="11" t="s">
        <v>2381</v>
      </c>
      <c r="F1126" t="s">
        <v>114</v>
      </c>
      <c r="G1126" s="2" t="s">
        <v>23</v>
      </c>
      <c r="H1126" s="1">
        <v>36.994</v>
      </c>
    </row>
    <row r="1127" spans="1:8" x14ac:dyDescent="0.3">
      <c r="A1127" s="2">
        <v>568</v>
      </c>
      <c r="B1127" t="s">
        <v>2928</v>
      </c>
      <c r="C1127" t="s">
        <v>3224</v>
      </c>
      <c r="D1127" s="2">
        <v>1</v>
      </c>
      <c r="E1127" s="11" t="s">
        <v>2659</v>
      </c>
      <c r="F1127" t="s">
        <v>114</v>
      </c>
      <c r="G1127" s="2" t="s">
        <v>4</v>
      </c>
      <c r="H1127" s="1">
        <v>84.694000000000017</v>
      </c>
    </row>
    <row r="1128" spans="1:8" x14ac:dyDescent="0.3">
      <c r="A1128" s="2">
        <v>568</v>
      </c>
      <c r="B1128" t="s">
        <v>2663</v>
      </c>
      <c r="C1128" t="s">
        <v>3224</v>
      </c>
      <c r="D1128" s="2">
        <v>2</v>
      </c>
      <c r="E1128" s="11" t="s">
        <v>2659</v>
      </c>
      <c r="F1128" t="s">
        <v>114</v>
      </c>
      <c r="G1128" s="2" t="s">
        <v>31</v>
      </c>
      <c r="H1128" s="1">
        <v>84.694000000000017</v>
      </c>
    </row>
    <row r="1129" spans="1:8" x14ac:dyDescent="0.3">
      <c r="A1129" s="2">
        <v>568</v>
      </c>
      <c r="B1129" t="s">
        <v>2662</v>
      </c>
      <c r="C1129" t="s">
        <v>3224</v>
      </c>
      <c r="D1129" s="2">
        <v>2</v>
      </c>
      <c r="E1129" s="11" t="s">
        <v>2659</v>
      </c>
      <c r="F1129" t="s">
        <v>114</v>
      </c>
      <c r="G1129" s="2" t="s">
        <v>23</v>
      </c>
      <c r="H1129" s="1">
        <v>84.694000000000017</v>
      </c>
    </row>
    <row r="1130" spans="1:8" x14ac:dyDescent="0.3">
      <c r="A1130" s="2">
        <v>568</v>
      </c>
      <c r="B1130" t="s">
        <v>2927</v>
      </c>
      <c r="C1130" t="s">
        <v>1</v>
      </c>
      <c r="D1130" s="2">
        <v>1</v>
      </c>
      <c r="E1130" s="11" t="s">
        <v>2920</v>
      </c>
      <c r="F1130" t="s">
        <v>114</v>
      </c>
      <c r="G1130" s="2" t="s">
        <v>23</v>
      </c>
      <c r="H1130" s="1">
        <v>84.694000000000017</v>
      </c>
    </row>
    <row r="1131" spans="1:8" x14ac:dyDescent="0.3">
      <c r="A1131" s="2">
        <v>568</v>
      </c>
      <c r="B1131" t="s">
        <v>2926</v>
      </c>
      <c r="C1131" t="s">
        <v>1</v>
      </c>
      <c r="D1131" s="2">
        <v>1</v>
      </c>
      <c r="E1131" s="11" t="s">
        <v>2920</v>
      </c>
      <c r="F1131" t="s">
        <v>683</v>
      </c>
      <c r="G1131" s="2" t="s">
        <v>23</v>
      </c>
      <c r="H1131" s="1">
        <v>84.694000000000017</v>
      </c>
    </row>
    <row r="1132" spans="1:8" x14ac:dyDescent="0.3">
      <c r="A1132" s="2">
        <v>568</v>
      </c>
      <c r="B1132" t="s">
        <v>2925</v>
      </c>
      <c r="C1132" t="s">
        <v>3224</v>
      </c>
      <c r="D1132" s="2">
        <v>2</v>
      </c>
      <c r="E1132" s="11" t="s">
        <v>2381</v>
      </c>
      <c r="F1132" t="s">
        <v>47</v>
      </c>
      <c r="G1132" s="2" t="s">
        <v>4</v>
      </c>
      <c r="H1132" s="1">
        <v>36.994</v>
      </c>
    </row>
    <row r="1133" spans="1:8" x14ac:dyDescent="0.3">
      <c r="A1133" s="2">
        <v>568</v>
      </c>
      <c r="B1133" t="s">
        <v>2382</v>
      </c>
      <c r="C1133" t="s">
        <v>3224</v>
      </c>
      <c r="D1133" s="2">
        <v>1</v>
      </c>
      <c r="E1133" s="11" t="s">
        <v>2381</v>
      </c>
      <c r="F1133" t="s">
        <v>47</v>
      </c>
      <c r="G1133" s="2" t="s">
        <v>31</v>
      </c>
      <c r="H1133" s="1">
        <v>36.994</v>
      </c>
    </row>
    <row r="1134" spans="1:8" x14ac:dyDescent="0.3">
      <c r="A1134" s="2">
        <v>568</v>
      </c>
      <c r="B1134" t="s">
        <v>2478</v>
      </c>
      <c r="C1134" t="s">
        <v>3224</v>
      </c>
      <c r="D1134" s="2">
        <v>1</v>
      </c>
      <c r="E1134" s="11" t="s">
        <v>2381</v>
      </c>
      <c r="F1134" t="s">
        <v>47</v>
      </c>
      <c r="G1134" s="2" t="s">
        <v>23</v>
      </c>
      <c r="H1134" s="1">
        <v>36.994</v>
      </c>
    </row>
    <row r="1135" spans="1:8" x14ac:dyDescent="0.3">
      <c r="A1135" s="2">
        <v>568</v>
      </c>
      <c r="B1135" t="s">
        <v>2924</v>
      </c>
      <c r="C1135" t="s">
        <v>3219</v>
      </c>
      <c r="D1135" s="2">
        <v>2</v>
      </c>
      <c r="E1135" s="11" t="s">
        <v>1729</v>
      </c>
      <c r="F1135" t="s">
        <v>47</v>
      </c>
      <c r="G1135" s="2" t="s">
        <v>4</v>
      </c>
      <c r="H1135" s="1">
        <v>148.29400000000001</v>
      </c>
    </row>
    <row r="1136" spans="1:8" x14ac:dyDescent="0.3">
      <c r="A1136" s="2">
        <v>568</v>
      </c>
      <c r="B1136" t="s">
        <v>2831</v>
      </c>
      <c r="C1136" t="s">
        <v>3219</v>
      </c>
      <c r="D1136" s="2">
        <v>2</v>
      </c>
      <c r="E1136" s="11" t="s">
        <v>1729</v>
      </c>
      <c r="F1136" t="s">
        <v>47</v>
      </c>
      <c r="G1136" s="2" t="s">
        <v>31</v>
      </c>
      <c r="H1136" s="1">
        <v>148.29400000000001</v>
      </c>
    </row>
    <row r="1137" spans="1:8" x14ac:dyDescent="0.3">
      <c r="A1137" s="2">
        <v>568</v>
      </c>
      <c r="B1137" t="s">
        <v>2634</v>
      </c>
      <c r="C1137" t="s">
        <v>3219</v>
      </c>
      <c r="D1137" s="2">
        <v>2</v>
      </c>
      <c r="E1137" s="11" t="s">
        <v>1729</v>
      </c>
      <c r="F1137" t="s">
        <v>47</v>
      </c>
      <c r="G1137" s="2" t="s">
        <v>23</v>
      </c>
      <c r="H1137" s="1">
        <v>148.29400000000001</v>
      </c>
    </row>
    <row r="1138" spans="1:8" x14ac:dyDescent="0.3">
      <c r="A1138" s="2">
        <v>568</v>
      </c>
      <c r="B1138" t="s">
        <v>2923</v>
      </c>
      <c r="C1138" t="s">
        <v>3224</v>
      </c>
      <c r="D1138" s="2">
        <v>1</v>
      </c>
      <c r="E1138" s="11" t="s">
        <v>2659</v>
      </c>
      <c r="F1138" t="s">
        <v>47</v>
      </c>
      <c r="G1138" s="2" t="s">
        <v>4</v>
      </c>
      <c r="H1138" s="1">
        <v>84.694000000000017</v>
      </c>
    </row>
    <row r="1139" spans="1:8" x14ac:dyDescent="0.3">
      <c r="A1139" s="2">
        <v>568</v>
      </c>
      <c r="B1139" t="s">
        <v>2660</v>
      </c>
      <c r="C1139" t="s">
        <v>3224</v>
      </c>
      <c r="D1139" s="2">
        <v>1</v>
      </c>
      <c r="E1139" s="11" t="s">
        <v>2659</v>
      </c>
      <c r="F1139" t="s">
        <v>47</v>
      </c>
      <c r="G1139" s="2" t="s">
        <v>31</v>
      </c>
      <c r="H1139" s="1">
        <v>84.694000000000017</v>
      </c>
    </row>
    <row r="1140" spans="1:8" x14ac:dyDescent="0.3">
      <c r="A1140" s="2">
        <v>568</v>
      </c>
      <c r="B1140" t="s">
        <v>2922</v>
      </c>
      <c r="C1140" t="s">
        <v>3224</v>
      </c>
      <c r="D1140" s="2">
        <v>1</v>
      </c>
      <c r="E1140" s="11" t="s">
        <v>2659</v>
      </c>
      <c r="F1140" t="s">
        <v>47</v>
      </c>
      <c r="G1140" s="2" t="s">
        <v>23</v>
      </c>
      <c r="H1140" s="1">
        <v>84.694000000000017</v>
      </c>
    </row>
    <row r="1141" spans="1:8" x14ac:dyDescent="0.3">
      <c r="A1141" s="2">
        <v>568</v>
      </c>
      <c r="B1141" t="s">
        <v>2921</v>
      </c>
      <c r="C1141" t="s">
        <v>1</v>
      </c>
      <c r="D1141" s="2">
        <v>1</v>
      </c>
      <c r="E1141" s="11" t="s">
        <v>2920</v>
      </c>
      <c r="F1141" t="s">
        <v>47</v>
      </c>
      <c r="G1141" s="2" t="s">
        <v>23</v>
      </c>
      <c r="H1141" s="1">
        <v>84.694000000000017</v>
      </c>
    </row>
    <row r="1142" spans="1:8" x14ac:dyDescent="0.3">
      <c r="A1142" s="2">
        <v>568</v>
      </c>
      <c r="B1142" t="s">
        <v>2127</v>
      </c>
      <c r="C1142" t="s">
        <v>2</v>
      </c>
      <c r="D1142" s="2">
        <v>1</v>
      </c>
      <c r="E1142" s="11" t="s">
        <v>2126</v>
      </c>
      <c r="F1142" t="s">
        <v>39</v>
      </c>
      <c r="G1142" s="2" t="s">
        <v>4</v>
      </c>
      <c r="H1142" s="1">
        <v>95.294000000000011</v>
      </c>
    </row>
    <row r="1143" spans="1:8" x14ac:dyDescent="0.3">
      <c r="A1143" s="2">
        <v>568</v>
      </c>
      <c r="B1143" t="s">
        <v>2919</v>
      </c>
      <c r="C1143" t="s">
        <v>2</v>
      </c>
      <c r="D1143" s="2">
        <v>1</v>
      </c>
      <c r="E1143" s="11" t="s">
        <v>2126</v>
      </c>
      <c r="F1143" t="s">
        <v>39</v>
      </c>
      <c r="G1143" s="2" t="s">
        <v>31</v>
      </c>
      <c r="H1143" s="1">
        <v>95.294000000000011</v>
      </c>
    </row>
    <row r="1144" spans="1:8" x14ac:dyDescent="0.3">
      <c r="A1144" s="2">
        <v>568</v>
      </c>
      <c r="B1144" t="s">
        <v>2918</v>
      </c>
      <c r="C1144" t="s">
        <v>2</v>
      </c>
      <c r="D1144" s="2">
        <v>1</v>
      </c>
      <c r="E1144" s="11" t="s">
        <v>2126</v>
      </c>
      <c r="F1144" t="s">
        <v>39</v>
      </c>
      <c r="G1144" s="2" t="s">
        <v>23</v>
      </c>
      <c r="H1144" s="1">
        <v>95.294000000000011</v>
      </c>
    </row>
    <row r="1145" spans="1:8" x14ac:dyDescent="0.3">
      <c r="A1145" s="2">
        <v>568</v>
      </c>
      <c r="B1145" t="s">
        <v>2917</v>
      </c>
      <c r="C1145" t="s">
        <v>0</v>
      </c>
      <c r="D1145" s="2">
        <v>2</v>
      </c>
      <c r="E1145" s="11" t="s">
        <v>2411</v>
      </c>
      <c r="F1145" t="s">
        <v>39</v>
      </c>
      <c r="G1145" s="2" t="s">
        <v>4</v>
      </c>
      <c r="H1145" s="1">
        <v>153.59400000000002</v>
      </c>
    </row>
    <row r="1146" spans="1:8" x14ac:dyDescent="0.3">
      <c r="A1146" s="2">
        <v>568</v>
      </c>
      <c r="B1146" t="s">
        <v>2916</v>
      </c>
      <c r="C1146" t="s">
        <v>0</v>
      </c>
      <c r="D1146" s="2">
        <v>1</v>
      </c>
      <c r="E1146" s="11" t="s">
        <v>2411</v>
      </c>
      <c r="F1146" t="s">
        <v>39</v>
      </c>
      <c r="G1146" s="2" t="s">
        <v>31</v>
      </c>
      <c r="H1146" s="1">
        <v>153.59400000000002</v>
      </c>
    </row>
    <row r="1147" spans="1:8" x14ac:dyDescent="0.3">
      <c r="A1147" s="2">
        <v>568</v>
      </c>
      <c r="B1147" t="s">
        <v>2604</v>
      </c>
      <c r="C1147" t="s">
        <v>0</v>
      </c>
      <c r="D1147" s="2">
        <v>1</v>
      </c>
      <c r="E1147" s="11" t="s">
        <v>2411</v>
      </c>
      <c r="F1147" t="s">
        <v>39</v>
      </c>
      <c r="G1147" s="2" t="s">
        <v>23</v>
      </c>
      <c r="H1147" s="1">
        <v>153.59400000000002</v>
      </c>
    </row>
    <row r="1148" spans="1:8" x14ac:dyDescent="0.3">
      <c r="A1148" s="2">
        <v>568</v>
      </c>
      <c r="B1148" t="s">
        <v>2728</v>
      </c>
      <c r="C1148" t="s">
        <v>3224</v>
      </c>
      <c r="D1148" s="2">
        <v>1</v>
      </c>
      <c r="E1148" s="11" t="s">
        <v>2426</v>
      </c>
      <c r="F1148" t="s">
        <v>39</v>
      </c>
      <c r="G1148" s="2" t="s">
        <v>4</v>
      </c>
      <c r="H1148" s="1">
        <v>95.294000000000011</v>
      </c>
    </row>
    <row r="1149" spans="1:8" x14ac:dyDescent="0.3">
      <c r="A1149" s="2">
        <v>568</v>
      </c>
      <c r="B1149" t="s">
        <v>2915</v>
      </c>
      <c r="C1149" t="s">
        <v>3224</v>
      </c>
      <c r="D1149" s="2">
        <v>1</v>
      </c>
      <c r="E1149" s="11" t="s">
        <v>2426</v>
      </c>
      <c r="F1149" t="s">
        <v>39</v>
      </c>
      <c r="G1149" s="2" t="s">
        <v>31</v>
      </c>
      <c r="H1149" s="1">
        <v>95.294000000000011</v>
      </c>
    </row>
    <row r="1150" spans="1:8" x14ac:dyDescent="0.3">
      <c r="A1150" s="2">
        <v>568</v>
      </c>
      <c r="B1150" t="s">
        <v>2914</v>
      </c>
      <c r="C1150" t="s">
        <v>3224</v>
      </c>
      <c r="D1150" s="2">
        <v>2</v>
      </c>
      <c r="E1150" s="11" t="s">
        <v>2426</v>
      </c>
      <c r="F1150" t="s">
        <v>39</v>
      </c>
      <c r="G1150" s="2" t="s">
        <v>23</v>
      </c>
      <c r="H1150" s="1">
        <v>95.294000000000011</v>
      </c>
    </row>
    <row r="1151" spans="1:8" x14ac:dyDescent="0.3">
      <c r="A1151" s="2">
        <v>568</v>
      </c>
      <c r="B1151" t="s">
        <v>2870</v>
      </c>
      <c r="C1151" t="s">
        <v>2</v>
      </c>
      <c r="D1151" s="2">
        <v>1</v>
      </c>
      <c r="E1151" s="11" t="s">
        <v>2126</v>
      </c>
      <c r="F1151" t="s">
        <v>28</v>
      </c>
      <c r="G1151" s="2" t="s">
        <v>4</v>
      </c>
      <c r="H1151" s="1">
        <v>95.294000000000011</v>
      </c>
    </row>
    <row r="1152" spans="1:8" x14ac:dyDescent="0.3">
      <c r="A1152" s="2">
        <v>568</v>
      </c>
      <c r="B1152" t="s">
        <v>2811</v>
      </c>
      <c r="C1152" t="s">
        <v>2</v>
      </c>
      <c r="D1152" s="2">
        <v>1</v>
      </c>
      <c r="E1152" s="11" t="s">
        <v>2126</v>
      </c>
      <c r="F1152" t="s">
        <v>28</v>
      </c>
      <c r="G1152" s="2" t="s">
        <v>31</v>
      </c>
      <c r="H1152" s="1">
        <v>95.294000000000011</v>
      </c>
    </row>
    <row r="1153" spans="1:8" x14ac:dyDescent="0.3">
      <c r="A1153" s="2">
        <v>568</v>
      </c>
      <c r="B1153" t="s">
        <v>2810</v>
      </c>
      <c r="C1153" t="s">
        <v>2</v>
      </c>
      <c r="D1153" s="2">
        <v>1</v>
      </c>
      <c r="E1153" s="11" t="s">
        <v>2126</v>
      </c>
      <c r="F1153" t="s">
        <v>28</v>
      </c>
      <c r="G1153" s="2" t="s">
        <v>23</v>
      </c>
      <c r="H1153" s="1">
        <v>95.294000000000011</v>
      </c>
    </row>
    <row r="1154" spans="1:8" x14ac:dyDescent="0.3">
      <c r="A1154" s="2">
        <v>568</v>
      </c>
      <c r="B1154" t="s">
        <v>2913</v>
      </c>
      <c r="C1154" t="s">
        <v>0</v>
      </c>
      <c r="D1154" s="2">
        <v>2</v>
      </c>
      <c r="E1154" s="11" t="s">
        <v>2411</v>
      </c>
      <c r="F1154" t="s">
        <v>28</v>
      </c>
      <c r="G1154" s="2" t="s">
        <v>4</v>
      </c>
      <c r="H1154" s="1">
        <v>153.59400000000002</v>
      </c>
    </row>
    <row r="1155" spans="1:8" x14ac:dyDescent="0.3">
      <c r="A1155" s="2">
        <v>568</v>
      </c>
      <c r="B1155" t="s">
        <v>2912</v>
      </c>
      <c r="C1155" t="s">
        <v>0</v>
      </c>
      <c r="D1155" s="2">
        <v>2</v>
      </c>
      <c r="E1155" s="11" t="s">
        <v>2411</v>
      </c>
      <c r="F1155" t="s">
        <v>28</v>
      </c>
      <c r="G1155" s="2" t="s">
        <v>31</v>
      </c>
      <c r="H1155" s="1">
        <v>153.59400000000002</v>
      </c>
    </row>
    <row r="1156" spans="1:8" x14ac:dyDescent="0.3">
      <c r="A1156" s="2">
        <v>568</v>
      </c>
      <c r="B1156" t="s">
        <v>2911</v>
      </c>
      <c r="C1156" t="s">
        <v>0</v>
      </c>
      <c r="D1156" s="2">
        <v>1</v>
      </c>
      <c r="E1156" s="11" t="s">
        <v>2411</v>
      </c>
      <c r="F1156" t="s">
        <v>28</v>
      </c>
      <c r="G1156" s="2" t="s">
        <v>23</v>
      </c>
      <c r="H1156" s="1">
        <v>153.59400000000002</v>
      </c>
    </row>
    <row r="1157" spans="1:8" x14ac:dyDescent="0.3">
      <c r="A1157" s="2">
        <v>568</v>
      </c>
      <c r="B1157" t="s">
        <v>2869</v>
      </c>
      <c r="C1157" t="s">
        <v>3224</v>
      </c>
      <c r="D1157" s="2">
        <v>1</v>
      </c>
      <c r="E1157" s="11" t="s">
        <v>2426</v>
      </c>
      <c r="F1157" t="s">
        <v>28</v>
      </c>
      <c r="G1157" s="2" t="s">
        <v>4</v>
      </c>
      <c r="H1157" s="1">
        <v>95.294000000000011</v>
      </c>
    </row>
    <row r="1158" spans="1:8" x14ac:dyDescent="0.3">
      <c r="A1158" s="2">
        <v>568</v>
      </c>
      <c r="B1158" t="s">
        <v>2809</v>
      </c>
      <c r="C1158" t="s">
        <v>3224</v>
      </c>
      <c r="D1158" s="2">
        <v>1</v>
      </c>
      <c r="E1158" s="11" t="s">
        <v>2426</v>
      </c>
      <c r="F1158" t="s">
        <v>28</v>
      </c>
      <c r="G1158" s="2" t="s">
        <v>31</v>
      </c>
      <c r="H1158" s="1">
        <v>95.294000000000011</v>
      </c>
    </row>
    <row r="1159" spans="1:8" x14ac:dyDescent="0.3">
      <c r="A1159" s="2">
        <v>568</v>
      </c>
      <c r="B1159" t="s">
        <v>2808</v>
      </c>
      <c r="C1159" t="s">
        <v>3224</v>
      </c>
      <c r="D1159" s="2">
        <v>3</v>
      </c>
      <c r="E1159" s="11" t="s">
        <v>2426</v>
      </c>
      <c r="F1159" t="s">
        <v>28</v>
      </c>
      <c r="G1159" s="2" t="s">
        <v>23</v>
      </c>
      <c r="H1159" s="1">
        <v>95.294000000000011</v>
      </c>
    </row>
    <row r="1160" spans="1:8" x14ac:dyDescent="0.3">
      <c r="A1160" s="2">
        <v>569</v>
      </c>
      <c r="B1160" t="s">
        <v>2650</v>
      </c>
      <c r="C1160" t="s">
        <v>3</v>
      </c>
      <c r="D1160" s="2">
        <v>1</v>
      </c>
      <c r="E1160" s="11" t="s">
        <v>2647</v>
      </c>
      <c r="F1160" t="s">
        <v>55</v>
      </c>
      <c r="G1160" s="2" t="s">
        <v>23</v>
      </c>
      <c r="H1160" s="1">
        <v>74.094000000000008</v>
      </c>
    </row>
    <row r="1161" spans="1:8" x14ac:dyDescent="0.3">
      <c r="A1161" s="2">
        <v>569</v>
      </c>
      <c r="B1161" t="s">
        <v>2841</v>
      </c>
      <c r="C1161" t="s">
        <v>3217</v>
      </c>
      <c r="D1161" s="2">
        <v>1</v>
      </c>
      <c r="E1161" s="11" t="s">
        <v>2654</v>
      </c>
      <c r="F1161" t="s">
        <v>28</v>
      </c>
      <c r="G1161" s="2" t="s">
        <v>23</v>
      </c>
      <c r="H1161" s="1">
        <v>26.393999999999998</v>
      </c>
    </row>
    <row r="1162" spans="1:8" x14ac:dyDescent="0.3">
      <c r="A1162" s="2">
        <v>569</v>
      </c>
      <c r="B1162" t="s">
        <v>2675</v>
      </c>
      <c r="C1162" t="s">
        <v>3220</v>
      </c>
      <c r="D1162" s="2">
        <v>1</v>
      </c>
      <c r="E1162" s="11" t="s">
        <v>2592</v>
      </c>
      <c r="F1162" t="s">
        <v>28</v>
      </c>
      <c r="G1162" s="2" t="s">
        <v>23</v>
      </c>
      <c r="H1162" s="1">
        <v>21.094000000000001</v>
      </c>
    </row>
    <row r="1163" spans="1:8" x14ac:dyDescent="0.3">
      <c r="A1163" s="2">
        <v>569</v>
      </c>
      <c r="B1163" t="s">
        <v>2855</v>
      </c>
      <c r="C1163" t="s">
        <v>1</v>
      </c>
      <c r="D1163" s="2">
        <v>1</v>
      </c>
      <c r="E1163" s="11" t="s">
        <v>1653</v>
      </c>
      <c r="F1163" t="s">
        <v>62</v>
      </c>
      <c r="G1163" s="2" t="s">
        <v>23</v>
      </c>
      <c r="H1163" s="1">
        <v>79.394000000000005</v>
      </c>
    </row>
    <row r="1164" spans="1:8" x14ac:dyDescent="0.3">
      <c r="A1164" s="2">
        <v>569</v>
      </c>
      <c r="B1164" t="s">
        <v>2904</v>
      </c>
      <c r="C1164" t="s">
        <v>3217</v>
      </c>
      <c r="D1164" s="2">
        <v>1</v>
      </c>
      <c r="E1164" s="11" t="s">
        <v>2654</v>
      </c>
      <c r="F1164" t="s">
        <v>28</v>
      </c>
      <c r="G1164" s="2" t="s">
        <v>31</v>
      </c>
      <c r="H1164" s="1">
        <v>26.393999999999998</v>
      </c>
    </row>
    <row r="1165" spans="1:8" x14ac:dyDescent="0.3">
      <c r="A1165" s="2">
        <v>569</v>
      </c>
      <c r="B1165" t="s">
        <v>2643</v>
      </c>
      <c r="C1165" t="s">
        <v>3219</v>
      </c>
      <c r="D1165" s="2">
        <v>1</v>
      </c>
      <c r="E1165" s="11" t="s">
        <v>2233</v>
      </c>
      <c r="F1165" t="s">
        <v>28</v>
      </c>
      <c r="G1165" s="2" t="s">
        <v>23</v>
      </c>
      <c r="H1165" s="1">
        <v>148.29400000000001</v>
      </c>
    </row>
    <row r="1166" spans="1:8" x14ac:dyDescent="0.3">
      <c r="A1166" s="2">
        <v>569</v>
      </c>
      <c r="B1166" t="s">
        <v>2387</v>
      </c>
      <c r="C1166" t="s">
        <v>3224</v>
      </c>
      <c r="D1166" s="2">
        <v>1</v>
      </c>
      <c r="E1166" s="11" t="s">
        <v>2381</v>
      </c>
      <c r="F1166" t="s">
        <v>114</v>
      </c>
      <c r="G1166" s="2" t="s">
        <v>23</v>
      </c>
      <c r="H1166" s="1">
        <v>36.994</v>
      </c>
    </row>
    <row r="1167" spans="1:8" x14ac:dyDescent="0.3">
      <c r="A1167" s="2">
        <v>569</v>
      </c>
      <c r="B1167" t="s">
        <v>2901</v>
      </c>
      <c r="C1167" t="s">
        <v>3224</v>
      </c>
      <c r="D1167" s="2">
        <v>1</v>
      </c>
      <c r="E1167" s="11" t="s">
        <v>2180</v>
      </c>
      <c r="F1167" t="s">
        <v>28</v>
      </c>
      <c r="G1167" s="2" t="s">
        <v>23</v>
      </c>
      <c r="H1167" s="1">
        <v>84.694000000000017</v>
      </c>
    </row>
    <row r="1168" spans="1:8" x14ac:dyDescent="0.3">
      <c r="A1168" s="2">
        <v>569</v>
      </c>
      <c r="B1168" t="s">
        <v>2900</v>
      </c>
      <c r="C1168" t="s">
        <v>3</v>
      </c>
      <c r="D1168" s="2">
        <v>1</v>
      </c>
      <c r="E1168" s="11" t="s">
        <v>2178</v>
      </c>
      <c r="F1168" t="s">
        <v>28</v>
      </c>
      <c r="G1168" s="2" t="s">
        <v>23</v>
      </c>
      <c r="H1168" s="1">
        <v>111.19400000000002</v>
      </c>
    </row>
    <row r="1169" spans="1:8" x14ac:dyDescent="0.3">
      <c r="A1169" s="2">
        <v>569</v>
      </c>
      <c r="B1169" t="s">
        <v>2910</v>
      </c>
      <c r="C1169" t="s">
        <v>3220</v>
      </c>
      <c r="D1169" s="2">
        <v>1</v>
      </c>
      <c r="E1169" s="11" t="s">
        <v>2492</v>
      </c>
      <c r="F1169" t="s">
        <v>39</v>
      </c>
      <c r="G1169" s="2" t="s">
        <v>23</v>
      </c>
      <c r="H1169" s="1">
        <v>36.994</v>
      </c>
    </row>
    <row r="1170" spans="1:8" x14ac:dyDescent="0.3">
      <c r="A1170" s="2">
        <v>569</v>
      </c>
      <c r="B1170" t="s">
        <v>2794</v>
      </c>
      <c r="C1170" t="s">
        <v>3220</v>
      </c>
      <c r="D1170" s="2">
        <v>1</v>
      </c>
      <c r="E1170" s="11" t="s">
        <v>2793</v>
      </c>
      <c r="F1170" t="s">
        <v>28</v>
      </c>
      <c r="G1170" s="2" t="s">
        <v>31</v>
      </c>
      <c r="H1170" s="1">
        <v>21.094000000000001</v>
      </c>
    </row>
    <row r="1171" spans="1:8" x14ac:dyDescent="0.3">
      <c r="A1171" s="2">
        <v>569</v>
      </c>
      <c r="B1171" t="s">
        <v>2909</v>
      </c>
      <c r="C1171" t="s">
        <v>3224</v>
      </c>
      <c r="D1171" s="2">
        <v>1</v>
      </c>
      <c r="E1171" s="11" t="s">
        <v>2628</v>
      </c>
      <c r="F1171" t="s">
        <v>28</v>
      </c>
      <c r="G1171" s="2" t="s">
        <v>31</v>
      </c>
      <c r="H1171" s="1">
        <v>95.294000000000011</v>
      </c>
    </row>
    <row r="1172" spans="1:8" x14ac:dyDescent="0.3">
      <c r="A1172" s="2">
        <v>570</v>
      </c>
      <c r="B1172" t="s">
        <v>757</v>
      </c>
      <c r="C1172" t="s">
        <v>1</v>
      </c>
      <c r="D1172" s="2">
        <v>1</v>
      </c>
      <c r="E1172" s="11" t="s">
        <v>53</v>
      </c>
      <c r="F1172" t="s">
        <v>65</v>
      </c>
      <c r="G1172" s="2" t="s">
        <v>4</v>
      </c>
      <c r="H1172" s="1">
        <v>36.994</v>
      </c>
    </row>
    <row r="1173" spans="1:8" x14ac:dyDescent="0.3">
      <c r="A1173" s="2">
        <v>570</v>
      </c>
      <c r="B1173" t="s">
        <v>756</v>
      </c>
      <c r="C1173" t="s">
        <v>1</v>
      </c>
      <c r="D1173" s="2">
        <v>1</v>
      </c>
      <c r="E1173" s="11" t="s">
        <v>53</v>
      </c>
      <c r="F1173" t="s">
        <v>65</v>
      </c>
      <c r="G1173" s="2" t="s">
        <v>203</v>
      </c>
      <c r="H1173" s="1">
        <v>36.994</v>
      </c>
    </row>
    <row r="1174" spans="1:8" x14ac:dyDescent="0.3">
      <c r="A1174" s="2">
        <v>570</v>
      </c>
      <c r="B1174" t="s">
        <v>755</v>
      </c>
      <c r="C1174" t="s">
        <v>1</v>
      </c>
      <c r="D1174" s="2">
        <v>1</v>
      </c>
      <c r="E1174" s="11" t="s">
        <v>53</v>
      </c>
      <c r="F1174" t="s">
        <v>65</v>
      </c>
      <c r="G1174" s="2" t="s">
        <v>31</v>
      </c>
      <c r="H1174" s="1">
        <v>36.994</v>
      </c>
    </row>
    <row r="1175" spans="1:8" x14ac:dyDescent="0.3">
      <c r="A1175" s="2">
        <v>570</v>
      </c>
      <c r="B1175" t="s">
        <v>754</v>
      </c>
      <c r="C1175" t="s">
        <v>1</v>
      </c>
      <c r="D1175" s="2">
        <v>1</v>
      </c>
      <c r="E1175" s="11" t="s">
        <v>53</v>
      </c>
      <c r="F1175" t="s">
        <v>65</v>
      </c>
      <c r="G1175" s="2" t="s">
        <v>23</v>
      </c>
      <c r="H1175" s="1">
        <v>36.994</v>
      </c>
    </row>
    <row r="1176" spans="1:8" x14ac:dyDescent="0.3">
      <c r="A1176" s="2">
        <v>570</v>
      </c>
      <c r="B1176" t="s">
        <v>2908</v>
      </c>
      <c r="C1176" t="s">
        <v>3219</v>
      </c>
      <c r="D1176" s="2">
        <v>1</v>
      </c>
      <c r="E1176" s="11" t="s">
        <v>2271</v>
      </c>
      <c r="F1176" t="s">
        <v>47</v>
      </c>
      <c r="G1176" s="2" t="s">
        <v>4</v>
      </c>
      <c r="H1176" s="1">
        <v>121.79400000000001</v>
      </c>
    </row>
    <row r="1177" spans="1:8" x14ac:dyDescent="0.3">
      <c r="A1177" s="2">
        <v>570</v>
      </c>
      <c r="B1177" t="s">
        <v>2272</v>
      </c>
      <c r="C1177" t="s">
        <v>3219</v>
      </c>
      <c r="D1177" s="2">
        <v>1</v>
      </c>
      <c r="E1177" s="11" t="s">
        <v>2271</v>
      </c>
      <c r="F1177" t="s">
        <v>47</v>
      </c>
      <c r="G1177" s="2" t="s">
        <v>31</v>
      </c>
      <c r="H1177" s="1">
        <v>121.79400000000001</v>
      </c>
    </row>
    <row r="1178" spans="1:8" x14ac:dyDescent="0.3">
      <c r="A1178" s="2">
        <v>570</v>
      </c>
      <c r="B1178" t="s">
        <v>2907</v>
      </c>
      <c r="C1178" t="s">
        <v>3219</v>
      </c>
      <c r="D1178" s="2">
        <v>1</v>
      </c>
      <c r="E1178" s="11" t="s">
        <v>2271</v>
      </c>
      <c r="F1178" t="s">
        <v>47</v>
      </c>
      <c r="G1178" s="2" t="s">
        <v>23</v>
      </c>
      <c r="H1178" s="1">
        <v>121.79400000000001</v>
      </c>
    </row>
    <row r="1179" spans="1:8" x14ac:dyDescent="0.3">
      <c r="A1179" s="2">
        <v>570</v>
      </c>
      <c r="B1179" t="s">
        <v>2776</v>
      </c>
      <c r="C1179" t="s">
        <v>3219</v>
      </c>
      <c r="D1179" s="2">
        <v>1</v>
      </c>
      <c r="E1179" s="11" t="s">
        <v>2251</v>
      </c>
      <c r="F1179" t="s">
        <v>47</v>
      </c>
      <c r="G1179" s="2" t="s">
        <v>4</v>
      </c>
      <c r="H1179" s="1">
        <v>169.49400000000003</v>
      </c>
    </row>
    <row r="1180" spans="1:8" x14ac:dyDescent="0.3">
      <c r="A1180" s="2">
        <v>570</v>
      </c>
      <c r="B1180" t="s">
        <v>2888</v>
      </c>
      <c r="C1180" t="s">
        <v>3219</v>
      </c>
      <c r="D1180" s="2">
        <v>1</v>
      </c>
      <c r="E1180" s="11" t="s">
        <v>2251</v>
      </c>
      <c r="F1180" t="s">
        <v>47</v>
      </c>
      <c r="G1180" s="2" t="s">
        <v>31</v>
      </c>
      <c r="H1180" s="1">
        <v>169.49400000000003</v>
      </c>
    </row>
    <row r="1181" spans="1:8" x14ac:dyDescent="0.3">
      <c r="A1181" s="2">
        <v>570</v>
      </c>
      <c r="B1181" t="s">
        <v>2859</v>
      </c>
      <c r="C1181" t="s">
        <v>3219</v>
      </c>
      <c r="D1181" s="2">
        <v>1</v>
      </c>
      <c r="E1181" s="11" t="s">
        <v>2251</v>
      </c>
      <c r="F1181" t="s">
        <v>47</v>
      </c>
      <c r="G1181" s="2" t="s">
        <v>23</v>
      </c>
      <c r="H1181" s="1">
        <v>169.49400000000003</v>
      </c>
    </row>
    <row r="1182" spans="1:8" x14ac:dyDescent="0.3">
      <c r="A1182" s="2">
        <v>570</v>
      </c>
      <c r="B1182" t="s">
        <v>2820</v>
      </c>
      <c r="C1182" t="s">
        <v>1</v>
      </c>
      <c r="D1182" s="2">
        <v>1</v>
      </c>
      <c r="E1182" s="11" t="s">
        <v>53</v>
      </c>
      <c r="F1182" t="s">
        <v>1186</v>
      </c>
      <c r="G1182" s="2" t="s">
        <v>4</v>
      </c>
      <c r="H1182" s="1">
        <v>36.994</v>
      </c>
    </row>
    <row r="1183" spans="1:8" x14ac:dyDescent="0.3">
      <c r="A1183" s="2">
        <v>570</v>
      </c>
      <c r="B1183" t="s">
        <v>1187</v>
      </c>
      <c r="C1183" t="s">
        <v>1</v>
      </c>
      <c r="D1183" s="2">
        <v>1</v>
      </c>
      <c r="E1183" s="11" t="s">
        <v>53</v>
      </c>
      <c r="F1183" t="s">
        <v>1186</v>
      </c>
      <c r="G1183" s="2" t="s">
        <v>203</v>
      </c>
      <c r="H1183" s="1">
        <v>36.994</v>
      </c>
    </row>
    <row r="1184" spans="1:8" x14ac:dyDescent="0.3">
      <c r="A1184" s="2">
        <v>571</v>
      </c>
      <c r="B1184" t="s">
        <v>2906</v>
      </c>
      <c r="C1184" t="s">
        <v>3224</v>
      </c>
      <c r="D1184" s="2">
        <v>1</v>
      </c>
      <c r="E1184" s="11" t="s">
        <v>2758</v>
      </c>
      <c r="F1184" t="s">
        <v>65</v>
      </c>
      <c r="G1184" s="2" t="s">
        <v>23</v>
      </c>
      <c r="H1184" s="1">
        <v>63.494000000000007</v>
      </c>
    </row>
    <row r="1185" spans="1:8" x14ac:dyDescent="0.3">
      <c r="A1185" s="2">
        <v>571</v>
      </c>
      <c r="B1185" t="s">
        <v>2905</v>
      </c>
      <c r="C1185" t="s">
        <v>3217</v>
      </c>
      <c r="D1185" s="2">
        <v>1</v>
      </c>
      <c r="E1185" s="11" t="s">
        <v>2842</v>
      </c>
      <c r="F1185" t="s">
        <v>65</v>
      </c>
      <c r="G1185" s="2" t="s">
        <v>4</v>
      </c>
      <c r="H1185" s="1">
        <v>79.394000000000005</v>
      </c>
    </row>
    <row r="1186" spans="1:8" x14ac:dyDescent="0.3">
      <c r="A1186" s="2">
        <v>571</v>
      </c>
      <c r="B1186" t="s">
        <v>2845</v>
      </c>
      <c r="C1186" t="s">
        <v>3217</v>
      </c>
      <c r="D1186" s="2">
        <v>1</v>
      </c>
      <c r="E1186" s="11" t="s">
        <v>2842</v>
      </c>
      <c r="F1186" t="s">
        <v>65</v>
      </c>
      <c r="G1186" s="2" t="s">
        <v>31</v>
      </c>
      <c r="H1186" s="1">
        <v>79.394000000000005</v>
      </c>
    </row>
    <row r="1187" spans="1:8" x14ac:dyDescent="0.3">
      <c r="A1187" s="2">
        <v>571</v>
      </c>
      <c r="B1187" t="s">
        <v>2733</v>
      </c>
      <c r="C1187" t="s">
        <v>3220</v>
      </c>
      <c r="D1187" s="2">
        <v>1</v>
      </c>
      <c r="E1187" s="11" t="s">
        <v>2419</v>
      </c>
      <c r="F1187" t="s">
        <v>126</v>
      </c>
      <c r="G1187" s="2" t="s">
        <v>23</v>
      </c>
      <c r="H1187" s="1">
        <v>47.594000000000001</v>
      </c>
    </row>
    <row r="1188" spans="1:8" x14ac:dyDescent="0.3">
      <c r="A1188" s="2">
        <v>571</v>
      </c>
      <c r="B1188" t="s">
        <v>2655</v>
      </c>
      <c r="C1188" t="s">
        <v>3217</v>
      </c>
      <c r="D1188" s="2">
        <v>1</v>
      </c>
      <c r="E1188" s="11" t="s">
        <v>2654</v>
      </c>
      <c r="F1188" t="s">
        <v>28</v>
      </c>
      <c r="G1188" s="2" t="s">
        <v>203</v>
      </c>
      <c r="H1188" s="1">
        <v>26.393999999999998</v>
      </c>
    </row>
    <row r="1189" spans="1:8" x14ac:dyDescent="0.3">
      <c r="A1189" s="2">
        <v>571</v>
      </c>
      <c r="B1189" t="s">
        <v>2840</v>
      </c>
      <c r="C1189" t="s">
        <v>3217</v>
      </c>
      <c r="D1189" s="2">
        <v>1</v>
      </c>
      <c r="E1189" s="11" t="s">
        <v>2654</v>
      </c>
      <c r="F1189" t="s">
        <v>28</v>
      </c>
      <c r="G1189" s="2" t="s">
        <v>4</v>
      </c>
      <c r="H1189" s="1">
        <v>26.393999999999998</v>
      </c>
    </row>
    <row r="1190" spans="1:8" x14ac:dyDescent="0.3">
      <c r="A1190" s="2">
        <v>571</v>
      </c>
      <c r="B1190" t="s">
        <v>2904</v>
      </c>
      <c r="C1190" t="s">
        <v>3217</v>
      </c>
      <c r="D1190" s="2">
        <v>1</v>
      </c>
      <c r="E1190" s="11" t="s">
        <v>2654</v>
      </c>
      <c r="F1190" t="s">
        <v>28</v>
      </c>
      <c r="G1190" s="2" t="s">
        <v>31</v>
      </c>
      <c r="H1190" s="1">
        <v>26.393999999999998</v>
      </c>
    </row>
    <row r="1191" spans="1:8" x14ac:dyDescent="0.3">
      <c r="A1191" s="2">
        <v>571</v>
      </c>
      <c r="B1191" t="s">
        <v>2814</v>
      </c>
      <c r="C1191" t="s">
        <v>3220</v>
      </c>
      <c r="D1191" s="2">
        <v>1</v>
      </c>
      <c r="E1191" s="11" t="s">
        <v>2419</v>
      </c>
      <c r="F1191" t="s">
        <v>959</v>
      </c>
      <c r="G1191" s="2" t="s">
        <v>31</v>
      </c>
      <c r="H1191" s="1">
        <v>47.594000000000001</v>
      </c>
    </row>
    <row r="1192" spans="1:8" x14ac:dyDescent="0.3">
      <c r="A1192" s="2">
        <v>571</v>
      </c>
      <c r="B1192" t="s">
        <v>2903</v>
      </c>
      <c r="C1192" t="s">
        <v>3219</v>
      </c>
      <c r="D1192" s="2">
        <v>1</v>
      </c>
      <c r="E1192" s="11" t="s">
        <v>2123</v>
      </c>
      <c r="F1192" t="s">
        <v>114</v>
      </c>
      <c r="G1192" s="2" t="s">
        <v>31</v>
      </c>
      <c r="H1192" s="1">
        <v>142.994</v>
      </c>
    </row>
    <row r="1193" spans="1:8" x14ac:dyDescent="0.3">
      <c r="A1193" s="2">
        <v>571</v>
      </c>
      <c r="B1193" t="s">
        <v>2771</v>
      </c>
      <c r="C1193" t="s">
        <v>3</v>
      </c>
      <c r="D1193" s="2">
        <v>1</v>
      </c>
      <c r="E1193" s="11" t="s">
        <v>2178</v>
      </c>
      <c r="F1193" t="s">
        <v>28</v>
      </c>
      <c r="G1193" s="2" t="s">
        <v>4</v>
      </c>
      <c r="H1193" s="1">
        <v>111.19400000000002</v>
      </c>
    </row>
    <row r="1194" spans="1:8" x14ac:dyDescent="0.3">
      <c r="A1194" s="2">
        <v>571</v>
      </c>
      <c r="B1194" t="s">
        <v>2179</v>
      </c>
      <c r="C1194" t="s">
        <v>3</v>
      </c>
      <c r="D1194" s="2">
        <v>1</v>
      </c>
      <c r="E1194" s="11" t="s">
        <v>2178</v>
      </c>
      <c r="F1194" t="s">
        <v>36</v>
      </c>
      <c r="G1194" s="2" t="s">
        <v>31</v>
      </c>
      <c r="H1194" s="1">
        <v>111.19400000000002</v>
      </c>
    </row>
    <row r="1195" spans="1:8" x14ac:dyDescent="0.3">
      <c r="A1195" s="2">
        <v>571</v>
      </c>
      <c r="B1195" t="s">
        <v>2777</v>
      </c>
      <c r="C1195" t="s">
        <v>3</v>
      </c>
      <c r="D1195" s="2">
        <v>1</v>
      </c>
      <c r="E1195" s="11" t="s">
        <v>2178</v>
      </c>
      <c r="F1195" t="s">
        <v>36</v>
      </c>
      <c r="G1195" s="2" t="s">
        <v>23</v>
      </c>
      <c r="H1195" s="1">
        <v>111.19400000000002</v>
      </c>
    </row>
    <row r="1196" spans="1:8" x14ac:dyDescent="0.3">
      <c r="A1196" s="2">
        <v>571</v>
      </c>
      <c r="B1196" t="s">
        <v>2747</v>
      </c>
      <c r="C1196" t="s">
        <v>3217</v>
      </c>
      <c r="D1196" s="2">
        <v>1</v>
      </c>
      <c r="E1196" s="11" t="s">
        <v>2458</v>
      </c>
      <c r="F1196" t="s">
        <v>39</v>
      </c>
      <c r="G1196" s="2" t="s">
        <v>4</v>
      </c>
      <c r="H1196" s="1">
        <v>89.994000000000014</v>
      </c>
    </row>
    <row r="1197" spans="1:8" x14ac:dyDescent="0.3">
      <c r="A1197" s="2">
        <v>571</v>
      </c>
      <c r="B1197" t="s">
        <v>2787</v>
      </c>
      <c r="C1197" t="s">
        <v>3217</v>
      </c>
      <c r="D1197" s="2">
        <v>1</v>
      </c>
      <c r="E1197" s="11" t="s">
        <v>2458</v>
      </c>
      <c r="F1197" t="s">
        <v>39</v>
      </c>
      <c r="G1197" s="2" t="s">
        <v>31</v>
      </c>
      <c r="H1197" s="1">
        <v>89.994000000000014</v>
      </c>
    </row>
    <row r="1198" spans="1:8" x14ac:dyDescent="0.3">
      <c r="A1198" s="2">
        <v>572</v>
      </c>
      <c r="B1198" t="s">
        <v>2902</v>
      </c>
      <c r="C1198" t="s">
        <v>0</v>
      </c>
      <c r="D1198" s="2">
        <v>1</v>
      </c>
      <c r="E1198" s="11" t="s">
        <v>2681</v>
      </c>
      <c r="F1198" t="s">
        <v>28</v>
      </c>
      <c r="G1198" s="2" t="s">
        <v>23</v>
      </c>
      <c r="H1198" s="1">
        <v>142.994</v>
      </c>
    </row>
    <row r="1199" spans="1:8" x14ac:dyDescent="0.3">
      <c r="A1199" s="2">
        <v>572</v>
      </c>
      <c r="B1199" t="s">
        <v>2699</v>
      </c>
      <c r="C1199" t="s">
        <v>3224</v>
      </c>
      <c r="D1199" s="2">
        <v>1</v>
      </c>
      <c r="E1199" s="11" t="s">
        <v>2180</v>
      </c>
      <c r="F1199" t="s">
        <v>28</v>
      </c>
      <c r="G1199" s="2" t="s">
        <v>31</v>
      </c>
      <c r="H1199" s="1">
        <v>84.694000000000017</v>
      </c>
    </row>
    <row r="1200" spans="1:8" x14ac:dyDescent="0.3">
      <c r="A1200" s="2">
        <v>572</v>
      </c>
      <c r="B1200" t="s">
        <v>2901</v>
      </c>
      <c r="C1200" t="s">
        <v>3224</v>
      </c>
      <c r="D1200" s="2">
        <v>2</v>
      </c>
      <c r="E1200" s="11" t="s">
        <v>2180</v>
      </c>
      <c r="F1200" t="s">
        <v>28</v>
      </c>
      <c r="G1200" s="2" t="s">
        <v>23</v>
      </c>
      <c r="H1200" s="1">
        <v>84.694000000000017</v>
      </c>
    </row>
    <row r="1201" spans="1:8" x14ac:dyDescent="0.3">
      <c r="A1201" s="2">
        <v>572</v>
      </c>
      <c r="B1201" t="s">
        <v>2779</v>
      </c>
      <c r="C1201" t="s">
        <v>3</v>
      </c>
      <c r="D1201" s="2">
        <v>1</v>
      </c>
      <c r="E1201" s="11" t="s">
        <v>2178</v>
      </c>
      <c r="F1201" t="s">
        <v>28</v>
      </c>
      <c r="G1201" s="2" t="s">
        <v>31</v>
      </c>
      <c r="H1201" s="1">
        <v>111.19400000000002</v>
      </c>
    </row>
    <row r="1202" spans="1:8" x14ac:dyDescent="0.3">
      <c r="A1202" s="2">
        <v>572</v>
      </c>
      <c r="B1202" t="s">
        <v>2900</v>
      </c>
      <c r="C1202" t="s">
        <v>3</v>
      </c>
      <c r="D1202" s="2">
        <v>2</v>
      </c>
      <c r="E1202" s="11" t="s">
        <v>2178</v>
      </c>
      <c r="F1202" t="s">
        <v>28</v>
      </c>
      <c r="G1202" s="2" t="s">
        <v>23</v>
      </c>
      <c r="H1202" s="1">
        <v>111.19400000000002</v>
      </c>
    </row>
    <row r="1203" spans="1:8" x14ac:dyDescent="0.3">
      <c r="A1203" s="2">
        <v>572</v>
      </c>
      <c r="B1203" t="s">
        <v>2899</v>
      </c>
      <c r="C1203" t="s">
        <v>3224</v>
      </c>
      <c r="D1203" s="2">
        <v>1</v>
      </c>
      <c r="E1203" s="11" t="s">
        <v>2898</v>
      </c>
      <c r="F1203" t="s">
        <v>36</v>
      </c>
      <c r="G1203" s="2" t="s">
        <v>4</v>
      </c>
      <c r="H1203" s="1">
        <v>74.094000000000008</v>
      </c>
    </row>
    <row r="1204" spans="1:8" x14ac:dyDescent="0.3">
      <c r="A1204" s="2">
        <v>572</v>
      </c>
      <c r="B1204" t="s">
        <v>2897</v>
      </c>
      <c r="C1204" t="s">
        <v>3715</v>
      </c>
      <c r="D1204" s="2">
        <v>1</v>
      </c>
      <c r="E1204" s="11" t="s">
        <v>2896</v>
      </c>
      <c r="F1204" t="s">
        <v>36</v>
      </c>
      <c r="G1204" s="2" t="s">
        <v>4</v>
      </c>
      <c r="H1204" s="1">
        <v>84.694000000000017</v>
      </c>
    </row>
    <row r="1205" spans="1:8" x14ac:dyDescent="0.3">
      <c r="A1205" s="2">
        <v>572</v>
      </c>
      <c r="B1205" t="s">
        <v>2895</v>
      </c>
      <c r="C1205" t="s">
        <v>3219</v>
      </c>
      <c r="D1205" s="2">
        <v>1</v>
      </c>
      <c r="E1205" s="11" t="s">
        <v>2313</v>
      </c>
      <c r="F1205" t="s">
        <v>47</v>
      </c>
      <c r="G1205" s="2" t="s">
        <v>23</v>
      </c>
      <c r="H1205" s="1">
        <v>158.89400000000001</v>
      </c>
    </row>
    <row r="1206" spans="1:8" x14ac:dyDescent="0.3">
      <c r="A1206" s="2">
        <v>572</v>
      </c>
      <c r="B1206" t="s">
        <v>2834</v>
      </c>
      <c r="C1206" t="s">
        <v>3334</v>
      </c>
      <c r="D1206" s="2">
        <v>1</v>
      </c>
      <c r="E1206" s="11" t="s">
        <v>2801</v>
      </c>
      <c r="F1206" t="s">
        <v>47</v>
      </c>
      <c r="G1206" s="2" t="s">
        <v>31</v>
      </c>
      <c r="H1206" s="1">
        <v>116.49400000000001</v>
      </c>
    </row>
    <row r="1207" spans="1:8" x14ac:dyDescent="0.3">
      <c r="A1207" s="2">
        <v>572</v>
      </c>
      <c r="B1207" t="s">
        <v>2894</v>
      </c>
      <c r="C1207" t="s">
        <v>0</v>
      </c>
      <c r="D1207" s="2">
        <v>1</v>
      </c>
      <c r="E1207" s="11" t="s">
        <v>2829</v>
      </c>
      <c r="F1207" t="s">
        <v>39</v>
      </c>
      <c r="G1207" s="2" t="s">
        <v>23</v>
      </c>
      <c r="H1207" s="1">
        <v>148.29400000000001</v>
      </c>
    </row>
    <row r="1208" spans="1:8" x14ac:dyDescent="0.3">
      <c r="A1208" s="2">
        <v>573</v>
      </c>
      <c r="B1208" t="s">
        <v>694</v>
      </c>
      <c r="C1208" t="s">
        <v>3220</v>
      </c>
      <c r="D1208" s="2">
        <v>1</v>
      </c>
      <c r="E1208" s="11" t="s">
        <v>204</v>
      </c>
      <c r="F1208" t="s">
        <v>55</v>
      </c>
      <c r="G1208" s="2" t="s">
        <v>4</v>
      </c>
      <c r="H1208" s="1">
        <v>42.294000000000004</v>
      </c>
    </row>
    <row r="1209" spans="1:8" x14ac:dyDescent="0.3">
      <c r="A1209" s="2">
        <v>573</v>
      </c>
      <c r="B1209" t="s">
        <v>1269</v>
      </c>
      <c r="C1209" t="s">
        <v>3219</v>
      </c>
      <c r="D1209" s="2">
        <v>1</v>
      </c>
      <c r="E1209" s="11" t="s">
        <v>534</v>
      </c>
      <c r="F1209" t="s">
        <v>55</v>
      </c>
      <c r="G1209" s="2" t="s">
        <v>31</v>
      </c>
      <c r="H1209" s="1">
        <v>89.994000000000014</v>
      </c>
    </row>
    <row r="1210" spans="1:8" x14ac:dyDescent="0.3">
      <c r="A1210" s="2">
        <v>573</v>
      </c>
      <c r="B1210" t="s">
        <v>2893</v>
      </c>
      <c r="C1210" t="s">
        <v>0</v>
      </c>
      <c r="D1210" s="2">
        <v>1</v>
      </c>
      <c r="E1210" s="11" t="s">
        <v>2611</v>
      </c>
      <c r="F1210" t="s">
        <v>65</v>
      </c>
      <c r="G1210" s="2" t="s">
        <v>4</v>
      </c>
      <c r="H1210" s="1">
        <v>169.49400000000003</v>
      </c>
    </row>
    <row r="1211" spans="1:8" x14ac:dyDescent="0.3">
      <c r="A1211" s="2">
        <v>573</v>
      </c>
      <c r="B1211" t="s">
        <v>2757</v>
      </c>
      <c r="C1211" t="s">
        <v>3</v>
      </c>
      <c r="D1211" s="2">
        <v>1</v>
      </c>
      <c r="E1211" s="11" t="s">
        <v>2756</v>
      </c>
      <c r="F1211" t="s">
        <v>65</v>
      </c>
      <c r="G1211" s="2" t="s">
        <v>4</v>
      </c>
      <c r="H1211" s="1">
        <v>121.79400000000001</v>
      </c>
    </row>
    <row r="1212" spans="1:8" x14ac:dyDescent="0.3">
      <c r="A1212" s="2">
        <v>573</v>
      </c>
      <c r="B1212" t="s">
        <v>2892</v>
      </c>
      <c r="C1212" t="s">
        <v>3</v>
      </c>
      <c r="D1212" s="2">
        <v>1</v>
      </c>
      <c r="E1212" s="11" t="s">
        <v>2756</v>
      </c>
      <c r="F1212" t="s">
        <v>65</v>
      </c>
      <c r="G1212" s="2" t="s">
        <v>31</v>
      </c>
      <c r="H1212" s="1">
        <v>121.79400000000001</v>
      </c>
    </row>
    <row r="1213" spans="1:8" x14ac:dyDescent="0.3">
      <c r="A1213" s="2">
        <v>573</v>
      </c>
      <c r="B1213" t="s">
        <v>2891</v>
      </c>
      <c r="C1213" t="s">
        <v>3224</v>
      </c>
      <c r="D1213" s="2">
        <v>1</v>
      </c>
      <c r="E1213" s="11" t="s">
        <v>2556</v>
      </c>
      <c r="F1213" t="s">
        <v>65</v>
      </c>
      <c r="G1213" s="2" t="s">
        <v>23</v>
      </c>
      <c r="H1213" s="1">
        <v>100.59400000000001</v>
      </c>
    </row>
    <row r="1214" spans="1:8" x14ac:dyDescent="0.3">
      <c r="A1214" s="2">
        <v>573</v>
      </c>
      <c r="B1214" t="s">
        <v>1003</v>
      </c>
      <c r="C1214" t="s">
        <v>3220</v>
      </c>
      <c r="D1214" s="2">
        <v>1</v>
      </c>
      <c r="E1214" s="11" t="s">
        <v>204</v>
      </c>
      <c r="F1214" t="s">
        <v>28</v>
      </c>
      <c r="G1214" s="2" t="s">
        <v>203</v>
      </c>
      <c r="H1214" s="1">
        <v>42.294000000000004</v>
      </c>
    </row>
    <row r="1215" spans="1:8" x14ac:dyDescent="0.3">
      <c r="A1215" s="2">
        <v>573</v>
      </c>
      <c r="B1215" t="s">
        <v>2676</v>
      </c>
      <c r="C1215" t="s">
        <v>3220</v>
      </c>
      <c r="D1215" s="2">
        <v>1</v>
      </c>
      <c r="E1215" s="11" t="s">
        <v>2592</v>
      </c>
      <c r="F1215" t="s">
        <v>28</v>
      </c>
      <c r="G1215" s="2" t="s">
        <v>4</v>
      </c>
      <c r="H1215" s="1">
        <v>21.094000000000001</v>
      </c>
    </row>
    <row r="1216" spans="1:8" x14ac:dyDescent="0.3">
      <c r="A1216" s="2">
        <v>573</v>
      </c>
      <c r="B1216" t="s">
        <v>2593</v>
      </c>
      <c r="C1216" t="s">
        <v>3220</v>
      </c>
      <c r="D1216" s="2">
        <v>1</v>
      </c>
      <c r="E1216" s="11" t="s">
        <v>2592</v>
      </c>
      <c r="F1216" t="s">
        <v>28</v>
      </c>
      <c r="G1216" s="2" t="s">
        <v>31</v>
      </c>
      <c r="H1216" s="1">
        <v>21.094000000000001</v>
      </c>
    </row>
    <row r="1217" spans="1:8" x14ac:dyDescent="0.3">
      <c r="A1217" s="2">
        <v>573</v>
      </c>
      <c r="B1217" t="s">
        <v>1073</v>
      </c>
      <c r="C1217" t="s">
        <v>3219</v>
      </c>
      <c r="D1217" s="2">
        <v>1</v>
      </c>
      <c r="E1217" s="11" t="s">
        <v>534</v>
      </c>
      <c r="F1217" t="s">
        <v>62</v>
      </c>
      <c r="G1217" s="2" t="s">
        <v>31</v>
      </c>
      <c r="H1217" s="1">
        <v>89.994000000000014</v>
      </c>
    </row>
    <row r="1218" spans="1:8" x14ac:dyDescent="0.3">
      <c r="A1218" s="2">
        <v>573</v>
      </c>
      <c r="B1218" t="s">
        <v>2619</v>
      </c>
      <c r="C1218" t="s">
        <v>3220</v>
      </c>
      <c r="D1218" s="2">
        <v>1</v>
      </c>
      <c r="E1218" s="11" t="s">
        <v>204</v>
      </c>
      <c r="F1218" t="s">
        <v>62</v>
      </c>
      <c r="G1218" s="2" t="s">
        <v>4</v>
      </c>
      <c r="H1218" s="1">
        <v>42.294000000000004</v>
      </c>
    </row>
    <row r="1219" spans="1:8" x14ac:dyDescent="0.3">
      <c r="A1219" s="2">
        <v>573</v>
      </c>
      <c r="B1219" t="s">
        <v>290</v>
      </c>
      <c r="C1219" t="s">
        <v>3220</v>
      </c>
      <c r="D1219" s="2">
        <v>1</v>
      </c>
      <c r="E1219" s="11" t="s">
        <v>204</v>
      </c>
      <c r="F1219" t="s">
        <v>62</v>
      </c>
      <c r="G1219" s="2" t="s">
        <v>31</v>
      </c>
      <c r="H1219" s="1">
        <v>42.294000000000004</v>
      </c>
    </row>
    <row r="1220" spans="1:8" x14ac:dyDescent="0.3">
      <c r="A1220" s="2">
        <v>573</v>
      </c>
      <c r="B1220" t="s">
        <v>2389</v>
      </c>
      <c r="C1220" t="s">
        <v>3220</v>
      </c>
      <c r="D1220" s="2">
        <v>1</v>
      </c>
      <c r="E1220" s="11" t="s">
        <v>204</v>
      </c>
      <c r="F1220" t="s">
        <v>62</v>
      </c>
      <c r="G1220" s="2" t="s">
        <v>23</v>
      </c>
      <c r="H1220" s="1">
        <v>42.294000000000004</v>
      </c>
    </row>
    <row r="1221" spans="1:8" x14ac:dyDescent="0.3">
      <c r="A1221" s="2">
        <v>573</v>
      </c>
      <c r="B1221" t="s">
        <v>2231</v>
      </c>
      <c r="C1221" t="s">
        <v>3219</v>
      </c>
      <c r="D1221" s="2">
        <v>1</v>
      </c>
      <c r="E1221" s="11" t="s">
        <v>534</v>
      </c>
      <c r="F1221" t="s">
        <v>55</v>
      </c>
      <c r="G1221" s="2" t="s">
        <v>4</v>
      </c>
      <c r="H1221" s="1">
        <v>89.994000000000014</v>
      </c>
    </row>
    <row r="1222" spans="1:8" x14ac:dyDescent="0.3">
      <c r="A1222" s="2">
        <v>573</v>
      </c>
      <c r="B1222" t="s">
        <v>2420</v>
      </c>
      <c r="C1222" t="s">
        <v>3220</v>
      </c>
      <c r="D1222" s="2">
        <v>1</v>
      </c>
      <c r="E1222" s="11" t="s">
        <v>2419</v>
      </c>
      <c r="F1222" t="s">
        <v>959</v>
      </c>
      <c r="G1222" s="2" t="s">
        <v>4</v>
      </c>
      <c r="H1222" s="1">
        <v>47.594000000000001</v>
      </c>
    </row>
    <row r="1223" spans="1:8" x14ac:dyDescent="0.3">
      <c r="A1223" s="2">
        <v>573</v>
      </c>
      <c r="B1223" t="s">
        <v>2814</v>
      </c>
      <c r="C1223" t="s">
        <v>3220</v>
      </c>
      <c r="D1223" s="2">
        <v>1</v>
      </c>
      <c r="E1223" s="11" t="s">
        <v>2419</v>
      </c>
      <c r="F1223" t="s">
        <v>959</v>
      </c>
      <c r="G1223" s="2" t="s">
        <v>31</v>
      </c>
      <c r="H1223" s="1">
        <v>47.594000000000001</v>
      </c>
    </row>
    <row r="1224" spans="1:8" x14ac:dyDescent="0.3">
      <c r="A1224" s="2">
        <v>573</v>
      </c>
      <c r="B1224" t="s">
        <v>2890</v>
      </c>
      <c r="C1224" t="s">
        <v>3</v>
      </c>
      <c r="D1224" s="2">
        <v>1</v>
      </c>
      <c r="E1224" s="11" t="s">
        <v>2417</v>
      </c>
      <c r="F1224" t="s">
        <v>959</v>
      </c>
      <c r="G1224" s="2" t="s">
        <v>4</v>
      </c>
      <c r="H1224" s="1">
        <v>74.094000000000008</v>
      </c>
    </row>
    <row r="1225" spans="1:8" x14ac:dyDescent="0.3">
      <c r="A1225" s="2">
        <v>573</v>
      </c>
      <c r="B1225" t="s">
        <v>2418</v>
      </c>
      <c r="C1225" t="s">
        <v>3</v>
      </c>
      <c r="D1225" s="2">
        <v>1</v>
      </c>
      <c r="E1225" s="11" t="s">
        <v>2417</v>
      </c>
      <c r="F1225" t="s">
        <v>959</v>
      </c>
      <c r="G1225" s="2" t="s">
        <v>31</v>
      </c>
      <c r="H1225" s="1">
        <v>74.094000000000008</v>
      </c>
    </row>
    <row r="1226" spans="1:8" x14ac:dyDescent="0.3">
      <c r="A1226" s="2">
        <v>573</v>
      </c>
      <c r="B1226" t="s">
        <v>2852</v>
      </c>
      <c r="C1226" t="s">
        <v>3219</v>
      </c>
      <c r="D1226" s="2">
        <v>1</v>
      </c>
      <c r="E1226" s="11" t="s">
        <v>1845</v>
      </c>
      <c r="F1226" t="s">
        <v>78</v>
      </c>
      <c r="G1226" s="2" t="s">
        <v>31</v>
      </c>
      <c r="H1226" s="1">
        <v>180.09400000000002</v>
      </c>
    </row>
    <row r="1227" spans="1:8" x14ac:dyDescent="0.3">
      <c r="A1227" s="2">
        <v>573</v>
      </c>
      <c r="B1227" t="s">
        <v>1265</v>
      </c>
      <c r="C1227" t="s">
        <v>3219</v>
      </c>
      <c r="D1227" s="2">
        <v>2</v>
      </c>
      <c r="E1227" s="11" t="s">
        <v>534</v>
      </c>
      <c r="F1227" t="s">
        <v>47</v>
      </c>
      <c r="G1227" s="2" t="s">
        <v>31</v>
      </c>
      <c r="H1227" s="1">
        <v>89.994000000000014</v>
      </c>
    </row>
    <row r="1228" spans="1:8" x14ac:dyDescent="0.3">
      <c r="A1228" s="2">
        <v>573</v>
      </c>
      <c r="B1228" t="s">
        <v>2889</v>
      </c>
      <c r="C1228" t="s">
        <v>3219</v>
      </c>
      <c r="D1228" s="2">
        <v>1</v>
      </c>
      <c r="E1228" s="11" t="s">
        <v>977</v>
      </c>
      <c r="F1228" t="s">
        <v>47</v>
      </c>
      <c r="G1228" s="2" t="s">
        <v>4</v>
      </c>
      <c r="H1228" s="1">
        <v>116.49400000000001</v>
      </c>
    </row>
    <row r="1229" spans="1:8" x14ac:dyDescent="0.3">
      <c r="A1229" s="2">
        <v>573</v>
      </c>
      <c r="B1229" t="s">
        <v>2888</v>
      </c>
      <c r="C1229" t="s">
        <v>3219</v>
      </c>
      <c r="D1229" s="2">
        <v>1</v>
      </c>
      <c r="E1229" s="11" t="s">
        <v>2251</v>
      </c>
      <c r="F1229" t="s">
        <v>47</v>
      </c>
      <c r="G1229" s="2" t="s">
        <v>31</v>
      </c>
      <c r="H1229" s="1">
        <v>169.49400000000003</v>
      </c>
    </row>
    <row r="1230" spans="1:8" x14ac:dyDescent="0.3">
      <c r="A1230" s="2">
        <v>573</v>
      </c>
      <c r="B1230" t="s">
        <v>206</v>
      </c>
      <c r="C1230" t="s">
        <v>3220</v>
      </c>
      <c r="D1230" s="2">
        <v>1</v>
      </c>
      <c r="E1230" s="11" t="s">
        <v>204</v>
      </c>
      <c r="F1230" t="s">
        <v>47</v>
      </c>
      <c r="G1230" s="2" t="s">
        <v>4</v>
      </c>
      <c r="H1230" s="1">
        <v>42.294000000000004</v>
      </c>
    </row>
    <row r="1231" spans="1:8" x14ac:dyDescent="0.3">
      <c r="A1231" s="2">
        <v>573</v>
      </c>
      <c r="B1231" t="s">
        <v>205</v>
      </c>
      <c r="C1231" t="s">
        <v>3220</v>
      </c>
      <c r="D1231" s="2">
        <v>1</v>
      </c>
      <c r="E1231" s="11" t="s">
        <v>204</v>
      </c>
      <c r="F1231" t="s">
        <v>47</v>
      </c>
      <c r="G1231" s="2" t="s">
        <v>203</v>
      </c>
      <c r="H1231" s="1">
        <v>42.294000000000004</v>
      </c>
    </row>
    <row r="1232" spans="1:8" x14ac:dyDescent="0.3">
      <c r="A1232" s="2">
        <v>573</v>
      </c>
      <c r="B1232" t="s">
        <v>266</v>
      </c>
      <c r="C1232" t="s">
        <v>3220</v>
      </c>
      <c r="D1232" s="2">
        <v>1</v>
      </c>
      <c r="E1232" s="11" t="s">
        <v>204</v>
      </c>
      <c r="F1232" t="s">
        <v>47</v>
      </c>
      <c r="G1232" s="2" t="s">
        <v>31</v>
      </c>
      <c r="H1232" s="1">
        <v>42.294000000000004</v>
      </c>
    </row>
    <row r="1233" spans="1:8" x14ac:dyDescent="0.3">
      <c r="A1233" s="2">
        <v>573</v>
      </c>
      <c r="B1233" t="s">
        <v>710</v>
      </c>
      <c r="C1233" t="s">
        <v>3220</v>
      </c>
      <c r="D1233" s="2">
        <v>1</v>
      </c>
      <c r="E1233" s="11" t="s">
        <v>204</v>
      </c>
      <c r="F1233" t="s">
        <v>47</v>
      </c>
      <c r="G1233" s="2" t="s">
        <v>23</v>
      </c>
      <c r="H1233" s="1">
        <v>42.294000000000004</v>
      </c>
    </row>
    <row r="1234" spans="1:8" x14ac:dyDescent="0.3">
      <c r="A1234" s="2">
        <v>573</v>
      </c>
      <c r="B1234" t="s">
        <v>1695</v>
      </c>
      <c r="C1234" t="s">
        <v>3219</v>
      </c>
      <c r="D1234" s="2">
        <v>1</v>
      </c>
      <c r="E1234" s="11" t="s">
        <v>977</v>
      </c>
      <c r="F1234" t="s">
        <v>39</v>
      </c>
      <c r="G1234" s="2" t="s">
        <v>4</v>
      </c>
      <c r="H1234" s="1">
        <v>116.49400000000001</v>
      </c>
    </row>
    <row r="1235" spans="1:8" x14ac:dyDescent="0.3">
      <c r="A1235" s="2">
        <v>573</v>
      </c>
      <c r="B1235" t="s">
        <v>2796</v>
      </c>
      <c r="C1235" t="s">
        <v>3220</v>
      </c>
      <c r="D1235" s="2">
        <v>1</v>
      </c>
      <c r="E1235" s="11" t="s">
        <v>2592</v>
      </c>
      <c r="F1235" t="s">
        <v>39</v>
      </c>
      <c r="G1235" s="2" t="s">
        <v>4</v>
      </c>
      <c r="H1235" s="1">
        <v>21.094000000000001</v>
      </c>
    </row>
    <row r="1236" spans="1:8" x14ac:dyDescent="0.3">
      <c r="A1236" s="2">
        <v>573</v>
      </c>
      <c r="B1236" t="s">
        <v>2887</v>
      </c>
      <c r="C1236" t="s">
        <v>3220</v>
      </c>
      <c r="D1236" s="2">
        <v>1</v>
      </c>
      <c r="E1236" s="11" t="s">
        <v>2592</v>
      </c>
      <c r="F1236" t="s">
        <v>39</v>
      </c>
      <c r="G1236" s="2" t="s">
        <v>31</v>
      </c>
      <c r="H1236" s="1">
        <v>21.094000000000001</v>
      </c>
    </row>
    <row r="1237" spans="1:8" x14ac:dyDescent="0.3">
      <c r="A1237" s="2">
        <v>573</v>
      </c>
      <c r="B1237" t="s">
        <v>1264</v>
      </c>
      <c r="C1237" t="s">
        <v>3220</v>
      </c>
      <c r="D1237" s="2">
        <v>1</v>
      </c>
      <c r="E1237" s="11" t="s">
        <v>204</v>
      </c>
      <c r="F1237" t="s">
        <v>39</v>
      </c>
      <c r="G1237" s="2" t="s">
        <v>4</v>
      </c>
      <c r="H1237" s="1">
        <v>42.294000000000004</v>
      </c>
    </row>
    <row r="1238" spans="1:8" x14ac:dyDescent="0.3">
      <c r="A1238" s="2">
        <v>573</v>
      </c>
      <c r="B1238" t="s">
        <v>1121</v>
      </c>
      <c r="C1238" t="s">
        <v>3220</v>
      </c>
      <c r="D1238" s="2">
        <v>1</v>
      </c>
      <c r="E1238" s="11" t="s">
        <v>204</v>
      </c>
      <c r="F1238" t="s">
        <v>39</v>
      </c>
      <c r="G1238" s="2" t="s">
        <v>31</v>
      </c>
      <c r="H1238" s="1">
        <v>42.294000000000004</v>
      </c>
    </row>
    <row r="1239" spans="1:8" x14ac:dyDescent="0.3">
      <c r="A1239" s="2">
        <v>573</v>
      </c>
      <c r="B1239" t="s">
        <v>708</v>
      </c>
      <c r="C1239" t="s">
        <v>3220</v>
      </c>
      <c r="D1239" s="2">
        <v>1</v>
      </c>
      <c r="E1239" s="11" t="s">
        <v>204</v>
      </c>
      <c r="F1239" t="s">
        <v>39</v>
      </c>
      <c r="G1239" s="2" t="s">
        <v>23</v>
      </c>
      <c r="H1239" s="1">
        <v>42.294000000000004</v>
      </c>
    </row>
    <row r="1240" spans="1:8" x14ac:dyDescent="0.3">
      <c r="A1240" s="2">
        <v>573</v>
      </c>
      <c r="B1240" t="s">
        <v>1264</v>
      </c>
      <c r="C1240" t="s">
        <v>3220</v>
      </c>
      <c r="D1240" s="2">
        <v>1</v>
      </c>
      <c r="E1240" s="11" t="s">
        <v>204</v>
      </c>
      <c r="F1240" t="s">
        <v>39</v>
      </c>
      <c r="G1240" s="2" t="s">
        <v>4</v>
      </c>
      <c r="H1240" s="1">
        <v>42.294000000000004</v>
      </c>
    </row>
    <row r="1241" spans="1:8" x14ac:dyDescent="0.3">
      <c r="A1241" s="2">
        <v>573</v>
      </c>
      <c r="B1241" t="s">
        <v>1121</v>
      </c>
      <c r="C1241" t="s">
        <v>3220</v>
      </c>
      <c r="D1241" s="2">
        <v>1</v>
      </c>
      <c r="E1241" s="11" t="s">
        <v>204</v>
      </c>
      <c r="F1241" t="s">
        <v>39</v>
      </c>
      <c r="G1241" s="2" t="s">
        <v>31</v>
      </c>
      <c r="H1241" s="1">
        <v>42.294000000000004</v>
      </c>
    </row>
    <row r="1242" spans="1:8" x14ac:dyDescent="0.3">
      <c r="A1242" s="2">
        <v>573</v>
      </c>
      <c r="B1242" t="s">
        <v>708</v>
      </c>
      <c r="C1242" t="s">
        <v>3220</v>
      </c>
      <c r="D1242" s="2">
        <v>1</v>
      </c>
      <c r="E1242" s="11" t="s">
        <v>204</v>
      </c>
      <c r="F1242" t="s">
        <v>39</v>
      </c>
      <c r="G1242" s="2" t="s">
        <v>23</v>
      </c>
      <c r="H1242" s="1">
        <v>42.294000000000004</v>
      </c>
    </row>
    <row r="1243" spans="1:8" x14ac:dyDescent="0.3">
      <c r="A1243" s="2">
        <v>573</v>
      </c>
      <c r="B1243" t="s">
        <v>277</v>
      </c>
      <c r="C1243" t="s">
        <v>3220</v>
      </c>
      <c r="D1243" s="2">
        <v>1</v>
      </c>
      <c r="E1243" s="11" t="s">
        <v>204</v>
      </c>
      <c r="F1243" t="s">
        <v>276</v>
      </c>
      <c r="G1243" s="2" t="s">
        <v>4</v>
      </c>
      <c r="H1243" s="1">
        <v>42.294000000000004</v>
      </c>
    </row>
    <row r="1244" spans="1:8" x14ac:dyDescent="0.3">
      <c r="A1244" s="2">
        <v>573</v>
      </c>
      <c r="B1244" t="s">
        <v>1011</v>
      </c>
      <c r="C1244" t="s">
        <v>3220</v>
      </c>
      <c r="D1244" s="2">
        <v>1</v>
      </c>
      <c r="E1244" s="11" t="s">
        <v>204</v>
      </c>
      <c r="F1244" t="s">
        <v>276</v>
      </c>
      <c r="G1244" s="2" t="s">
        <v>203</v>
      </c>
      <c r="H1244" s="1">
        <v>42.294000000000004</v>
      </c>
    </row>
    <row r="1245" spans="1:8" x14ac:dyDescent="0.3">
      <c r="A1245" s="2">
        <v>573</v>
      </c>
      <c r="B1245" t="s">
        <v>714</v>
      </c>
      <c r="C1245" t="s">
        <v>3220</v>
      </c>
      <c r="D1245" s="2">
        <v>1</v>
      </c>
      <c r="E1245" s="11" t="s">
        <v>204</v>
      </c>
      <c r="F1245" t="s">
        <v>276</v>
      </c>
      <c r="G1245" s="2" t="s">
        <v>31</v>
      </c>
      <c r="H1245" s="1">
        <v>42.294000000000004</v>
      </c>
    </row>
    <row r="1246" spans="1:8" x14ac:dyDescent="0.3">
      <c r="A1246" s="2">
        <v>573</v>
      </c>
      <c r="B1246" t="s">
        <v>283</v>
      </c>
      <c r="C1246" t="s">
        <v>3220</v>
      </c>
      <c r="D1246" s="2">
        <v>1</v>
      </c>
      <c r="E1246" s="11" t="s">
        <v>204</v>
      </c>
      <c r="F1246" t="s">
        <v>276</v>
      </c>
      <c r="G1246" s="2" t="s">
        <v>23</v>
      </c>
      <c r="H1246" s="1">
        <v>42.294000000000004</v>
      </c>
    </row>
    <row r="1247" spans="1:8" x14ac:dyDescent="0.3">
      <c r="A1247" s="2">
        <v>573</v>
      </c>
      <c r="B1247" t="s">
        <v>2886</v>
      </c>
      <c r="C1247" t="s">
        <v>3219</v>
      </c>
      <c r="D1247" s="2">
        <v>2</v>
      </c>
      <c r="E1247" s="11" t="s">
        <v>2313</v>
      </c>
      <c r="F1247" t="s">
        <v>28</v>
      </c>
      <c r="G1247" s="2" t="s">
        <v>4</v>
      </c>
      <c r="H1247" s="1">
        <v>158.89400000000001</v>
      </c>
    </row>
    <row r="1248" spans="1:8" x14ac:dyDescent="0.3">
      <c r="A1248" s="2">
        <v>573</v>
      </c>
      <c r="B1248" t="s">
        <v>2314</v>
      </c>
      <c r="C1248" t="s">
        <v>3219</v>
      </c>
      <c r="D1248" s="2">
        <v>2</v>
      </c>
      <c r="E1248" s="11" t="s">
        <v>2313</v>
      </c>
      <c r="F1248" t="s">
        <v>28</v>
      </c>
      <c r="G1248" s="2" t="s">
        <v>31</v>
      </c>
      <c r="H1248" s="1">
        <v>158.89400000000001</v>
      </c>
    </row>
    <row r="1249" spans="1:8" x14ac:dyDescent="0.3">
      <c r="A1249" s="2">
        <v>573</v>
      </c>
      <c r="B1249" t="s">
        <v>2885</v>
      </c>
      <c r="C1249" t="s">
        <v>3219</v>
      </c>
      <c r="D1249" s="2">
        <v>2</v>
      </c>
      <c r="E1249" s="11" t="s">
        <v>2313</v>
      </c>
      <c r="F1249" t="s">
        <v>28</v>
      </c>
      <c r="G1249" s="2" t="s">
        <v>23</v>
      </c>
      <c r="H1249" s="1">
        <v>158.89400000000001</v>
      </c>
    </row>
    <row r="1250" spans="1:8" x14ac:dyDescent="0.3">
      <c r="A1250" s="2">
        <v>573</v>
      </c>
      <c r="B1250" t="s">
        <v>2884</v>
      </c>
      <c r="C1250" t="s">
        <v>3224</v>
      </c>
      <c r="D1250" s="2">
        <v>1</v>
      </c>
      <c r="E1250" s="11" t="s">
        <v>2758</v>
      </c>
      <c r="F1250" t="s">
        <v>28</v>
      </c>
      <c r="G1250" s="2" t="s">
        <v>31</v>
      </c>
      <c r="H1250" s="1">
        <v>63.494000000000007</v>
      </c>
    </row>
    <row r="1251" spans="1:8" x14ac:dyDescent="0.3">
      <c r="A1251" s="2">
        <v>573</v>
      </c>
      <c r="B1251" t="s">
        <v>2883</v>
      </c>
      <c r="C1251" t="s">
        <v>3224</v>
      </c>
      <c r="D1251" s="2">
        <v>1</v>
      </c>
      <c r="E1251" s="11" t="s">
        <v>2758</v>
      </c>
      <c r="F1251" t="s">
        <v>28</v>
      </c>
      <c r="G1251" s="2" t="s">
        <v>23</v>
      </c>
      <c r="H1251" s="1">
        <v>63.494000000000007</v>
      </c>
    </row>
    <row r="1252" spans="1:8" x14ac:dyDescent="0.3">
      <c r="A1252" s="2">
        <v>573</v>
      </c>
      <c r="B1252" t="s">
        <v>2882</v>
      </c>
      <c r="C1252" t="s">
        <v>0</v>
      </c>
      <c r="D1252" s="2">
        <v>1</v>
      </c>
      <c r="E1252" s="11" t="s">
        <v>2611</v>
      </c>
      <c r="F1252" t="s">
        <v>28</v>
      </c>
      <c r="G1252" s="2" t="s">
        <v>31</v>
      </c>
      <c r="H1252" s="1">
        <v>169.49400000000003</v>
      </c>
    </row>
    <row r="1253" spans="1:8" x14ac:dyDescent="0.3">
      <c r="A1253" s="2">
        <v>573</v>
      </c>
      <c r="B1253" t="s">
        <v>2881</v>
      </c>
      <c r="C1253" t="s">
        <v>3</v>
      </c>
      <c r="D1253" s="2">
        <v>1</v>
      </c>
      <c r="E1253" s="11" t="s">
        <v>2756</v>
      </c>
      <c r="F1253" t="s">
        <v>28</v>
      </c>
      <c r="G1253" s="2" t="s">
        <v>4</v>
      </c>
      <c r="H1253" s="1">
        <v>121.79400000000001</v>
      </c>
    </row>
    <row r="1254" spans="1:8" x14ac:dyDescent="0.3">
      <c r="A1254" s="2">
        <v>573</v>
      </c>
      <c r="B1254" t="s">
        <v>2880</v>
      </c>
      <c r="C1254" t="s">
        <v>3</v>
      </c>
      <c r="D1254" s="2">
        <v>1</v>
      </c>
      <c r="E1254" s="11" t="s">
        <v>2756</v>
      </c>
      <c r="F1254" t="s">
        <v>28</v>
      </c>
      <c r="G1254" s="2" t="s">
        <v>31</v>
      </c>
      <c r="H1254" s="1">
        <v>121.79400000000001</v>
      </c>
    </row>
    <row r="1255" spans="1:8" x14ac:dyDescent="0.3">
      <c r="A1255" s="2">
        <v>573</v>
      </c>
      <c r="B1255" t="s">
        <v>2879</v>
      </c>
      <c r="C1255" t="s">
        <v>0</v>
      </c>
      <c r="D1255" s="2">
        <v>1</v>
      </c>
      <c r="E1255" s="11" t="s">
        <v>2784</v>
      </c>
      <c r="F1255" t="s">
        <v>28</v>
      </c>
      <c r="G1255" s="2" t="s">
        <v>31</v>
      </c>
      <c r="H1255" s="1">
        <v>148.29400000000001</v>
      </c>
    </row>
    <row r="1256" spans="1:8" x14ac:dyDescent="0.3">
      <c r="A1256" s="2">
        <v>573</v>
      </c>
      <c r="B1256" t="s">
        <v>688</v>
      </c>
      <c r="C1256" t="s">
        <v>3220</v>
      </c>
      <c r="D1256" s="2">
        <v>1</v>
      </c>
      <c r="E1256" s="11" t="s">
        <v>204</v>
      </c>
      <c r="F1256" t="s">
        <v>28</v>
      </c>
      <c r="G1256" s="2" t="s">
        <v>4</v>
      </c>
      <c r="H1256" s="1">
        <v>42.294000000000004</v>
      </c>
    </row>
    <row r="1257" spans="1:8" x14ac:dyDescent="0.3">
      <c r="A1257" s="2">
        <v>573</v>
      </c>
      <c r="B1257" t="s">
        <v>717</v>
      </c>
      <c r="C1257" t="s">
        <v>3220</v>
      </c>
      <c r="D1257" s="2">
        <v>1</v>
      </c>
      <c r="E1257" s="11" t="s">
        <v>204</v>
      </c>
      <c r="F1257" t="s">
        <v>28</v>
      </c>
      <c r="G1257" s="2" t="s">
        <v>31</v>
      </c>
      <c r="H1257" s="1">
        <v>42.294000000000004</v>
      </c>
    </row>
    <row r="1258" spans="1:8" x14ac:dyDescent="0.3">
      <c r="A1258" s="2">
        <v>573</v>
      </c>
      <c r="B1258" t="s">
        <v>289</v>
      </c>
      <c r="C1258" t="s">
        <v>3220</v>
      </c>
      <c r="D1258" s="2">
        <v>1</v>
      </c>
      <c r="E1258" s="11" t="s">
        <v>204</v>
      </c>
      <c r="F1258" t="s">
        <v>28</v>
      </c>
      <c r="G1258" s="2" t="s">
        <v>23</v>
      </c>
      <c r="H1258" s="1">
        <v>42.294000000000004</v>
      </c>
    </row>
    <row r="1259" spans="1:8" x14ac:dyDescent="0.3">
      <c r="A1259" s="2">
        <v>574</v>
      </c>
      <c r="B1259" t="s">
        <v>693</v>
      </c>
      <c r="C1259" t="s">
        <v>3220</v>
      </c>
      <c r="D1259" s="2">
        <v>1</v>
      </c>
      <c r="E1259" s="11" t="s">
        <v>204</v>
      </c>
      <c r="F1259" t="s">
        <v>55</v>
      </c>
      <c r="G1259" s="2" t="s">
        <v>23</v>
      </c>
      <c r="H1259" s="1">
        <v>42.294000000000004</v>
      </c>
    </row>
    <row r="1260" spans="1:8" x14ac:dyDescent="0.3">
      <c r="A1260" s="2">
        <v>574</v>
      </c>
      <c r="B1260" t="s">
        <v>2264</v>
      </c>
      <c r="C1260" t="s">
        <v>3221</v>
      </c>
      <c r="D1260" s="2">
        <v>1</v>
      </c>
      <c r="E1260" s="11" t="s">
        <v>642</v>
      </c>
      <c r="F1260" t="s">
        <v>55</v>
      </c>
      <c r="G1260" s="2" t="s">
        <v>23</v>
      </c>
      <c r="H1260" s="1">
        <v>95.294000000000011</v>
      </c>
    </row>
    <row r="1261" spans="1:8" x14ac:dyDescent="0.3">
      <c r="A1261" s="2">
        <v>574</v>
      </c>
      <c r="B1261" t="s">
        <v>2878</v>
      </c>
      <c r="C1261" t="s">
        <v>3365</v>
      </c>
      <c r="D1261" s="2">
        <v>1</v>
      </c>
      <c r="E1261" s="11" t="s">
        <v>2760</v>
      </c>
      <c r="F1261" t="s">
        <v>126</v>
      </c>
      <c r="G1261" s="2" t="s">
        <v>4</v>
      </c>
      <c r="H1261" s="1">
        <v>164.19400000000002</v>
      </c>
    </row>
    <row r="1262" spans="1:8" x14ac:dyDescent="0.3">
      <c r="A1262" s="2">
        <v>574</v>
      </c>
      <c r="B1262" t="s">
        <v>2877</v>
      </c>
      <c r="C1262" t="s">
        <v>3365</v>
      </c>
      <c r="D1262" s="2">
        <v>1</v>
      </c>
      <c r="E1262" s="11" t="s">
        <v>2760</v>
      </c>
      <c r="F1262" t="s">
        <v>126</v>
      </c>
      <c r="G1262" s="2" t="s">
        <v>23</v>
      </c>
      <c r="H1262" s="1">
        <v>164.19400000000002</v>
      </c>
    </row>
    <row r="1263" spans="1:8" x14ac:dyDescent="0.3">
      <c r="A1263" s="2">
        <v>574</v>
      </c>
      <c r="B1263" t="s">
        <v>1472</v>
      </c>
      <c r="C1263" t="s">
        <v>3220</v>
      </c>
      <c r="D1263" s="2">
        <v>1</v>
      </c>
      <c r="E1263" s="11" t="s">
        <v>204</v>
      </c>
      <c r="F1263" t="s">
        <v>126</v>
      </c>
      <c r="G1263" s="2" t="s">
        <v>31</v>
      </c>
      <c r="H1263" s="1">
        <v>42.294000000000004</v>
      </c>
    </row>
    <row r="1264" spans="1:8" x14ac:dyDescent="0.3">
      <c r="A1264" s="2">
        <v>574</v>
      </c>
      <c r="B1264" t="s">
        <v>714</v>
      </c>
      <c r="C1264" t="s">
        <v>3220</v>
      </c>
      <c r="D1264" s="2">
        <v>1</v>
      </c>
      <c r="E1264" s="11" t="s">
        <v>204</v>
      </c>
      <c r="F1264" t="s">
        <v>276</v>
      </c>
      <c r="G1264" s="2" t="s">
        <v>31</v>
      </c>
      <c r="H1264" s="1">
        <v>42.294000000000004</v>
      </c>
    </row>
    <row r="1265" spans="1:8" x14ac:dyDescent="0.3">
      <c r="A1265" s="2">
        <v>574</v>
      </c>
      <c r="B1265" t="s">
        <v>2539</v>
      </c>
      <c r="C1265" t="s">
        <v>1</v>
      </c>
      <c r="D1265" s="2">
        <v>1</v>
      </c>
      <c r="E1265" s="11" t="s">
        <v>243</v>
      </c>
      <c r="F1265" t="s">
        <v>126</v>
      </c>
      <c r="G1265" s="2" t="s">
        <v>23</v>
      </c>
      <c r="H1265" s="1">
        <v>31.693999999999999</v>
      </c>
    </row>
    <row r="1266" spans="1:8" x14ac:dyDescent="0.3">
      <c r="A1266" s="2">
        <v>574</v>
      </c>
      <c r="B1266" t="s">
        <v>290</v>
      </c>
      <c r="C1266" t="s">
        <v>3220</v>
      </c>
      <c r="D1266" s="2">
        <v>1</v>
      </c>
      <c r="E1266" s="11" t="s">
        <v>204</v>
      </c>
      <c r="F1266" t="s">
        <v>62</v>
      </c>
      <c r="G1266" s="2" t="s">
        <v>31</v>
      </c>
      <c r="H1266" s="1">
        <v>42.294000000000004</v>
      </c>
    </row>
    <row r="1267" spans="1:8" x14ac:dyDescent="0.3">
      <c r="A1267" s="2">
        <v>574</v>
      </c>
      <c r="B1267" t="s">
        <v>762</v>
      </c>
      <c r="C1267" t="s">
        <v>1</v>
      </c>
      <c r="D1267" s="2">
        <v>1</v>
      </c>
      <c r="E1267" s="11" t="s">
        <v>53</v>
      </c>
      <c r="F1267" t="s">
        <v>55</v>
      </c>
      <c r="G1267" s="2" t="s">
        <v>203</v>
      </c>
      <c r="H1267" s="1">
        <v>36.994</v>
      </c>
    </row>
    <row r="1268" spans="1:8" x14ac:dyDescent="0.3">
      <c r="A1268" s="2">
        <v>574</v>
      </c>
      <c r="B1268" t="s">
        <v>2098</v>
      </c>
      <c r="C1268" t="s">
        <v>1</v>
      </c>
      <c r="D1268" s="2">
        <v>1</v>
      </c>
      <c r="E1268" s="11" t="s">
        <v>243</v>
      </c>
      <c r="F1268" t="s">
        <v>241</v>
      </c>
      <c r="G1268" s="2" t="s">
        <v>23</v>
      </c>
      <c r="H1268" s="1">
        <v>31.693999999999999</v>
      </c>
    </row>
    <row r="1269" spans="1:8" x14ac:dyDescent="0.3">
      <c r="A1269" s="2">
        <v>574</v>
      </c>
      <c r="B1269" t="s">
        <v>242</v>
      </c>
      <c r="C1269" t="s">
        <v>3220</v>
      </c>
      <c r="D1269" s="2">
        <v>1</v>
      </c>
      <c r="E1269" s="11" t="s">
        <v>204</v>
      </c>
      <c r="F1269" t="s">
        <v>241</v>
      </c>
      <c r="G1269" s="2" t="s">
        <v>4</v>
      </c>
      <c r="H1269" s="1">
        <v>42.294000000000004</v>
      </c>
    </row>
    <row r="1270" spans="1:8" x14ac:dyDescent="0.3">
      <c r="A1270" s="2">
        <v>574</v>
      </c>
      <c r="B1270" t="s">
        <v>1022</v>
      </c>
      <c r="C1270" t="s">
        <v>3220</v>
      </c>
      <c r="D1270" s="2">
        <v>1</v>
      </c>
      <c r="E1270" s="11" t="s">
        <v>204</v>
      </c>
      <c r="F1270" t="s">
        <v>241</v>
      </c>
      <c r="G1270" s="2" t="s">
        <v>203</v>
      </c>
      <c r="H1270" s="1">
        <v>42.294000000000004</v>
      </c>
    </row>
    <row r="1271" spans="1:8" x14ac:dyDescent="0.3">
      <c r="A1271" s="2">
        <v>574</v>
      </c>
      <c r="B1271" t="s">
        <v>2533</v>
      </c>
      <c r="C1271" t="s">
        <v>1</v>
      </c>
      <c r="D1271" s="2">
        <v>1</v>
      </c>
      <c r="E1271" s="11" t="s">
        <v>243</v>
      </c>
      <c r="F1271" t="s">
        <v>114</v>
      </c>
      <c r="G1271" s="2" t="s">
        <v>31</v>
      </c>
      <c r="H1271" s="1">
        <v>31.693999999999999</v>
      </c>
    </row>
    <row r="1272" spans="1:8" x14ac:dyDescent="0.3">
      <c r="A1272" s="2">
        <v>574</v>
      </c>
      <c r="B1272" t="s">
        <v>2263</v>
      </c>
      <c r="C1272" t="s">
        <v>3220</v>
      </c>
      <c r="D1272" s="2">
        <v>1</v>
      </c>
      <c r="E1272" s="11" t="s">
        <v>204</v>
      </c>
      <c r="F1272" t="s">
        <v>114</v>
      </c>
      <c r="G1272" s="2" t="s">
        <v>31</v>
      </c>
      <c r="H1272" s="1">
        <v>42.294000000000004</v>
      </c>
    </row>
    <row r="1273" spans="1:8" x14ac:dyDescent="0.3">
      <c r="A1273" s="2">
        <v>574</v>
      </c>
      <c r="B1273" t="s">
        <v>269</v>
      </c>
      <c r="C1273" t="s">
        <v>3220</v>
      </c>
      <c r="D1273" s="2">
        <v>1</v>
      </c>
      <c r="E1273" s="11" t="s">
        <v>204</v>
      </c>
      <c r="F1273" t="s">
        <v>114</v>
      </c>
      <c r="G1273" s="2" t="s">
        <v>23</v>
      </c>
      <c r="H1273" s="1">
        <v>42.294000000000004</v>
      </c>
    </row>
    <row r="1274" spans="1:8" x14ac:dyDescent="0.3">
      <c r="A1274" s="2">
        <v>574</v>
      </c>
      <c r="B1274" t="s">
        <v>2341</v>
      </c>
      <c r="C1274" t="s">
        <v>1</v>
      </c>
      <c r="D1274" s="2">
        <v>1</v>
      </c>
      <c r="E1274" s="11" t="s">
        <v>243</v>
      </c>
      <c r="F1274" t="s">
        <v>683</v>
      </c>
      <c r="G1274" s="2" t="s">
        <v>23</v>
      </c>
      <c r="H1274" s="1">
        <v>31.693999999999999</v>
      </c>
    </row>
    <row r="1275" spans="1:8" x14ac:dyDescent="0.3">
      <c r="A1275" s="2">
        <v>574</v>
      </c>
      <c r="B1275" t="s">
        <v>1019</v>
      </c>
      <c r="C1275" t="s">
        <v>3220</v>
      </c>
      <c r="D1275" s="2">
        <v>1</v>
      </c>
      <c r="E1275" s="11" t="s">
        <v>204</v>
      </c>
      <c r="F1275" t="s">
        <v>683</v>
      </c>
      <c r="G1275" s="2" t="s">
        <v>31</v>
      </c>
      <c r="H1275" s="1">
        <v>42.294000000000004</v>
      </c>
    </row>
    <row r="1276" spans="1:8" x14ac:dyDescent="0.3">
      <c r="A1276" s="2">
        <v>574</v>
      </c>
      <c r="B1276" t="s">
        <v>1136</v>
      </c>
      <c r="C1276" t="s">
        <v>1</v>
      </c>
      <c r="D1276" s="2">
        <v>1</v>
      </c>
      <c r="E1276" s="11" t="s">
        <v>53</v>
      </c>
      <c r="F1276" t="s">
        <v>36</v>
      </c>
      <c r="G1276" s="2" t="s">
        <v>31</v>
      </c>
      <c r="H1276" s="1">
        <v>36.994</v>
      </c>
    </row>
    <row r="1277" spans="1:8" x14ac:dyDescent="0.3">
      <c r="A1277" s="2">
        <v>574</v>
      </c>
      <c r="B1277" t="s">
        <v>1905</v>
      </c>
      <c r="C1277" t="s">
        <v>1</v>
      </c>
      <c r="D1277" s="2">
        <v>1</v>
      </c>
      <c r="E1277" s="11" t="s">
        <v>53</v>
      </c>
      <c r="F1277" t="s">
        <v>36</v>
      </c>
      <c r="G1277" s="2" t="s">
        <v>23</v>
      </c>
      <c r="H1277" s="1">
        <v>36.994</v>
      </c>
    </row>
    <row r="1278" spans="1:8" x14ac:dyDescent="0.3">
      <c r="A1278" s="2">
        <v>574</v>
      </c>
      <c r="B1278" t="s">
        <v>714</v>
      </c>
      <c r="C1278" t="s">
        <v>3220</v>
      </c>
      <c r="D1278" s="2">
        <v>1</v>
      </c>
      <c r="E1278" s="11" t="s">
        <v>204</v>
      </c>
      <c r="F1278" t="s">
        <v>276</v>
      </c>
      <c r="G1278" s="2" t="s">
        <v>31</v>
      </c>
      <c r="H1278" s="1">
        <v>42.294000000000004</v>
      </c>
    </row>
    <row r="1279" spans="1:8" x14ac:dyDescent="0.3">
      <c r="A1279" s="2">
        <v>574</v>
      </c>
      <c r="B1279" t="s">
        <v>736</v>
      </c>
      <c r="C1279" t="s">
        <v>1</v>
      </c>
      <c r="D1279" s="2">
        <v>1</v>
      </c>
      <c r="E1279" s="11" t="s">
        <v>53</v>
      </c>
      <c r="F1279" t="s">
        <v>47</v>
      </c>
      <c r="G1279" s="2" t="s">
        <v>203</v>
      </c>
      <c r="H1279" s="1">
        <v>36.994</v>
      </c>
    </row>
    <row r="1280" spans="1:8" x14ac:dyDescent="0.3">
      <c r="A1280" s="2">
        <v>574</v>
      </c>
      <c r="B1280" t="s">
        <v>1595</v>
      </c>
      <c r="C1280" t="s">
        <v>1</v>
      </c>
      <c r="D1280" s="2">
        <v>2</v>
      </c>
      <c r="E1280" s="11" t="s">
        <v>53</v>
      </c>
      <c r="F1280" t="s">
        <v>47</v>
      </c>
      <c r="G1280" s="2" t="s">
        <v>31</v>
      </c>
      <c r="H1280" s="1">
        <v>36.994</v>
      </c>
    </row>
    <row r="1281" spans="1:8" x14ac:dyDescent="0.3">
      <c r="A1281" s="2">
        <v>574</v>
      </c>
      <c r="B1281" t="s">
        <v>2876</v>
      </c>
      <c r="C1281" t="s">
        <v>3365</v>
      </c>
      <c r="D1281" s="2">
        <v>1</v>
      </c>
      <c r="E1281" s="11" t="s">
        <v>2760</v>
      </c>
      <c r="F1281" t="s">
        <v>47</v>
      </c>
      <c r="G1281" s="2" t="s">
        <v>4</v>
      </c>
      <c r="H1281" s="1">
        <v>164.19400000000002</v>
      </c>
    </row>
    <row r="1282" spans="1:8" x14ac:dyDescent="0.3">
      <c r="A1282" s="2">
        <v>574</v>
      </c>
      <c r="B1282" t="s">
        <v>2529</v>
      </c>
      <c r="C1282" t="s">
        <v>1</v>
      </c>
      <c r="D1282" s="2">
        <v>1</v>
      </c>
      <c r="E1282" s="11" t="s">
        <v>243</v>
      </c>
      <c r="F1282" t="s">
        <v>47</v>
      </c>
      <c r="G1282" s="2" t="s">
        <v>23</v>
      </c>
      <c r="H1282" s="1">
        <v>31.693999999999999</v>
      </c>
    </row>
    <row r="1283" spans="1:8" x14ac:dyDescent="0.3">
      <c r="A1283" s="2">
        <v>574</v>
      </c>
      <c r="B1283" t="s">
        <v>643</v>
      </c>
      <c r="C1283" t="s">
        <v>3221</v>
      </c>
      <c r="D1283" s="2">
        <v>1</v>
      </c>
      <c r="E1283" s="11" t="s">
        <v>642</v>
      </c>
      <c r="F1283" t="s">
        <v>47</v>
      </c>
      <c r="G1283" s="2" t="s">
        <v>4</v>
      </c>
      <c r="H1283" s="1">
        <v>95.294000000000011</v>
      </c>
    </row>
    <row r="1284" spans="1:8" x14ac:dyDescent="0.3">
      <c r="A1284" s="2">
        <v>574</v>
      </c>
      <c r="B1284" t="s">
        <v>2618</v>
      </c>
      <c r="C1284" t="s">
        <v>1</v>
      </c>
      <c r="D1284" s="2">
        <v>1</v>
      </c>
      <c r="E1284" s="11" t="s">
        <v>53</v>
      </c>
      <c r="F1284" t="s">
        <v>39</v>
      </c>
      <c r="G1284" s="2" t="s">
        <v>31</v>
      </c>
      <c r="H1284" s="1">
        <v>36.994</v>
      </c>
    </row>
    <row r="1285" spans="1:8" x14ac:dyDescent="0.3">
      <c r="A1285" s="2">
        <v>574</v>
      </c>
      <c r="B1285" t="s">
        <v>2527</v>
      </c>
      <c r="C1285" t="s">
        <v>1</v>
      </c>
      <c r="D1285" s="2">
        <v>1</v>
      </c>
      <c r="E1285" s="11" t="s">
        <v>243</v>
      </c>
      <c r="F1285" t="s">
        <v>39</v>
      </c>
      <c r="G1285" s="2" t="s">
        <v>31</v>
      </c>
      <c r="H1285" s="1">
        <v>31.693999999999999</v>
      </c>
    </row>
    <row r="1286" spans="1:8" x14ac:dyDescent="0.3">
      <c r="A1286" s="2">
        <v>574</v>
      </c>
      <c r="B1286" t="s">
        <v>1264</v>
      </c>
      <c r="C1286" t="s">
        <v>3220</v>
      </c>
      <c r="D1286" s="2">
        <v>1</v>
      </c>
      <c r="E1286" s="11" t="s">
        <v>204</v>
      </c>
      <c r="F1286" t="s">
        <v>39</v>
      </c>
      <c r="G1286" s="2" t="s">
        <v>4</v>
      </c>
      <c r="H1286" s="1">
        <v>42.294000000000004</v>
      </c>
    </row>
    <row r="1287" spans="1:8" x14ac:dyDescent="0.3">
      <c r="A1287" s="2">
        <v>574</v>
      </c>
      <c r="B1287" t="s">
        <v>2875</v>
      </c>
      <c r="C1287" t="s">
        <v>1</v>
      </c>
      <c r="D1287" s="2">
        <v>1</v>
      </c>
      <c r="E1287" s="11" t="s">
        <v>279</v>
      </c>
      <c r="F1287" t="s">
        <v>39</v>
      </c>
      <c r="G1287" s="2" t="s">
        <v>203</v>
      </c>
      <c r="H1287" s="1">
        <v>47.594000000000001</v>
      </c>
    </row>
    <row r="1288" spans="1:8" x14ac:dyDescent="0.3">
      <c r="A1288" s="2">
        <v>574</v>
      </c>
      <c r="B1288" t="s">
        <v>283</v>
      </c>
      <c r="C1288" t="s">
        <v>3220</v>
      </c>
      <c r="D1288" s="2">
        <v>1</v>
      </c>
      <c r="E1288" s="11" t="s">
        <v>204</v>
      </c>
      <c r="F1288" t="s">
        <v>276</v>
      </c>
      <c r="G1288" s="2" t="s">
        <v>23</v>
      </c>
      <c r="H1288" s="1">
        <v>42.294000000000004</v>
      </c>
    </row>
    <row r="1289" spans="1:8" x14ac:dyDescent="0.3">
      <c r="A1289" s="2">
        <v>574</v>
      </c>
      <c r="B1289" t="s">
        <v>688</v>
      </c>
      <c r="C1289" t="s">
        <v>3220</v>
      </c>
      <c r="D1289" s="2">
        <v>1</v>
      </c>
      <c r="E1289" s="11" t="s">
        <v>204</v>
      </c>
      <c r="F1289" t="s">
        <v>28</v>
      </c>
      <c r="G1289" s="2" t="s">
        <v>4</v>
      </c>
      <c r="H1289" s="1">
        <v>42.294000000000004</v>
      </c>
    </row>
    <row r="1290" spans="1:8" x14ac:dyDescent="0.3">
      <c r="A1290" s="2">
        <v>575</v>
      </c>
      <c r="B1290" t="s">
        <v>2874</v>
      </c>
      <c r="C1290" t="s">
        <v>3</v>
      </c>
      <c r="D1290" s="2">
        <v>1</v>
      </c>
      <c r="E1290" s="11" t="s">
        <v>2602</v>
      </c>
      <c r="F1290" t="s">
        <v>114</v>
      </c>
      <c r="G1290" s="2" t="s">
        <v>4</v>
      </c>
      <c r="H1290" s="1">
        <v>100.59400000000001</v>
      </c>
    </row>
    <row r="1291" spans="1:8" x14ac:dyDescent="0.3">
      <c r="A1291" s="2">
        <v>575</v>
      </c>
      <c r="B1291" t="s">
        <v>2873</v>
      </c>
      <c r="C1291" t="s">
        <v>3224</v>
      </c>
      <c r="D1291" s="2">
        <v>1</v>
      </c>
      <c r="E1291" s="11" t="s">
        <v>2600</v>
      </c>
      <c r="F1291" t="s">
        <v>114</v>
      </c>
      <c r="G1291" s="2" t="s">
        <v>4</v>
      </c>
      <c r="H1291" s="1">
        <v>42.294000000000004</v>
      </c>
    </row>
    <row r="1292" spans="1:8" x14ac:dyDescent="0.3">
      <c r="A1292" s="2">
        <v>575</v>
      </c>
      <c r="B1292" t="s">
        <v>2838</v>
      </c>
      <c r="C1292" t="s">
        <v>3224</v>
      </c>
      <c r="D1292" s="2">
        <v>1</v>
      </c>
      <c r="E1292" s="11" t="s">
        <v>2150</v>
      </c>
      <c r="F1292" t="s">
        <v>114</v>
      </c>
      <c r="G1292" s="2" t="s">
        <v>23</v>
      </c>
      <c r="H1292" s="1">
        <v>74.094000000000008</v>
      </c>
    </row>
    <row r="1293" spans="1:8" x14ac:dyDescent="0.3">
      <c r="A1293" s="2">
        <v>575</v>
      </c>
      <c r="B1293" t="s">
        <v>2772</v>
      </c>
      <c r="C1293" t="s">
        <v>3224</v>
      </c>
      <c r="D1293" s="2">
        <v>1</v>
      </c>
      <c r="E1293" s="11" t="s">
        <v>2180</v>
      </c>
      <c r="F1293" t="s">
        <v>28</v>
      </c>
      <c r="G1293" s="2" t="s">
        <v>4</v>
      </c>
      <c r="H1293" s="1">
        <v>84.694000000000017</v>
      </c>
    </row>
    <row r="1294" spans="1:8" x14ac:dyDescent="0.3">
      <c r="A1294" s="2">
        <v>575</v>
      </c>
      <c r="B1294" t="s">
        <v>2699</v>
      </c>
      <c r="C1294" t="s">
        <v>3224</v>
      </c>
      <c r="D1294" s="2">
        <v>1</v>
      </c>
      <c r="E1294" s="11" t="s">
        <v>2180</v>
      </c>
      <c r="F1294" t="s">
        <v>28</v>
      </c>
      <c r="G1294" s="2" t="s">
        <v>31</v>
      </c>
      <c r="H1294" s="1">
        <v>84.694000000000017</v>
      </c>
    </row>
    <row r="1295" spans="1:8" x14ac:dyDescent="0.3">
      <c r="A1295" s="2">
        <v>575</v>
      </c>
      <c r="B1295" t="s">
        <v>2771</v>
      </c>
      <c r="C1295" t="s">
        <v>3</v>
      </c>
      <c r="D1295" s="2">
        <v>1</v>
      </c>
      <c r="E1295" s="11" t="s">
        <v>2178</v>
      </c>
      <c r="F1295" t="s">
        <v>28</v>
      </c>
      <c r="G1295" s="2" t="s">
        <v>4</v>
      </c>
      <c r="H1295" s="1">
        <v>111.19400000000002</v>
      </c>
    </row>
    <row r="1296" spans="1:8" x14ac:dyDescent="0.3">
      <c r="A1296" s="2">
        <v>575</v>
      </c>
      <c r="B1296" t="s">
        <v>2779</v>
      </c>
      <c r="C1296" t="s">
        <v>3</v>
      </c>
      <c r="D1296" s="2">
        <v>1</v>
      </c>
      <c r="E1296" s="11" t="s">
        <v>2178</v>
      </c>
      <c r="F1296" t="s">
        <v>28</v>
      </c>
      <c r="G1296" s="2" t="s">
        <v>31</v>
      </c>
      <c r="H1296" s="1">
        <v>111.19400000000002</v>
      </c>
    </row>
    <row r="1297" spans="1:8" x14ac:dyDescent="0.3">
      <c r="A1297" s="2">
        <v>575</v>
      </c>
      <c r="B1297" t="s">
        <v>1914</v>
      </c>
      <c r="C1297" t="s">
        <v>3219</v>
      </c>
      <c r="D1297" s="2">
        <v>1</v>
      </c>
      <c r="E1297" s="11" t="s">
        <v>1845</v>
      </c>
      <c r="F1297" t="s">
        <v>39</v>
      </c>
      <c r="G1297" s="2" t="s">
        <v>31</v>
      </c>
      <c r="H1297" s="1">
        <v>180.09400000000002</v>
      </c>
    </row>
    <row r="1298" spans="1:8" x14ac:dyDescent="0.3">
      <c r="A1298" s="2">
        <v>575</v>
      </c>
      <c r="B1298" t="s">
        <v>101</v>
      </c>
      <c r="C1298" t="s">
        <v>2</v>
      </c>
      <c r="D1298" s="2">
        <v>1</v>
      </c>
      <c r="E1298" s="11" t="s">
        <v>60</v>
      </c>
      <c r="F1298" t="s">
        <v>39</v>
      </c>
      <c r="G1298" s="2" t="s">
        <v>4</v>
      </c>
      <c r="H1298" s="1">
        <v>68.794000000000011</v>
      </c>
    </row>
    <row r="1299" spans="1:8" x14ac:dyDescent="0.3">
      <c r="A1299" s="2">
        <v>575</v>
      </c>
      <c r="B1299" t="s">
        <v>2872</v>
      </c>
      <c r="C1299" t="s">
        <v>3</v>
      </c>
      <c r="D1299" s="2">
        <v>1</v>
      </c>
      <c r="E1299" s="11" t="s">
        <v>2602</v>
      </c>
      <c r="F1299" t="s">
        <v>28</v>
      </c>
      <c r="G1299" s="2" t="s">
        <v>4</v>
      </c>
      <c r="H1299" s="1">
        <v>100.59400000000001</v>
      </c>
    </row>
    <row r="1300" spans="1:8" x14ac:dyDescent="0.3">
      <c r="A1300" s="2">
        <v>575</v>
      </c>
      <c r="B1300" t="s">
        <v>2871</v>
      </c>
      <c r="C1300" t="s">
        <v>3224</v>
      </c>
      <c r="D1300" s="2">
        <v>1</v>
      </c>
      <c r="E1300" s="11" t="s">
        <v>2600</v>
      </c>
      <c r="F1300" t="s">
        <v>28</v>
      </c>
      <c r="G1300" s="2" t="s">
        <v>4</v>
      </c>
      <c r="H1300" s="1">
        <v>42.294000000000004</v>
      </c>
    </row>
    <row r="1301" spans="1:8" x14ac:dyDescent="0.3">
      <c r="A1301" s="2">
        <v>575</v>
      </c>
      <c r="B1301" t="s">
        <v>2870</v>
      </c>
      <c r="C1301" t="s">
        <v>2</v>
      </c>
      <c r="D1301" s="2">
        <v>1</v>
      </c>
      <c r="E1301" s="11" t="s">
        <v>2126</v>
      </c>
      <c r="F1301" t="s">
        <v>28</v>
      </c>
      <c r="G1301" s="2" t="s">
        <v>4</v>
      </c>
      <c r="H1301" s="1">
        <v>95.294000000000011</v>
      </c>
    </row>
    <row r="1302" spans="1:8" x14ac:dyDescent="0.3">
      <c r="A1302" s="2">
        <v>575</v>
      </c>
      <c r="B1302" t="s">
        <v>2869</v>
      </c>
      <c r="C1302" t="s">
        <v>3224</v>
      </c>
      <c r="D1302" s="2">
        <v>1</v>
      </c>
      <c r="E1302" s="11" t="s">
        <v>2426</v>
      </c>
      <c r="F1302" t="s">
        <v>28</v>
      </c>
      <c r="G1302" s="2" t="s">
        <v>4</v>
      </c>
      <c r="H1302" s="1">
        <v>95.294000000000011</v>
      </c>
    </row>
    <row r="1303" spans="1:8" x14ac:dyDescent="0.3">
      <c r="A1303" s="2">
        <v>576</v>
      </c>
      <c r="B1303" t="s">
        <v>2868</v>
      </c>
      <c r="C1303" t="s">
        <v>3224</v>
      </c>
      <c r="D1303" s="2">
        <v>1</v>
      </c>
      <c r="E1303" s="11" t="s">
        <v>2865</v>
      </c>
      <c r="F1303" t="s">
        <v>62</v>
      </c>
      <c r="G1303" s="2" t="s">
        <v>4</v>
      </c>
      <c r="H1303" s="1">
        <v>84.694000000000017</v>
      </c>
    </row>
    <row r="1304" spans="1:8" x14ac:dyDescent="0.3">
      <c r="A1304" s="2">
        <v>576</v>
      </c>
      <c r="B1304" t="s">
        <v>2792</v>
      </c>
      <c r="C1304" t="s">
        <v>3334</v>
      </c>
      <c r="D1304" s="2">
        <v>1</v>
      </c>
      <c r="E1304" s="11" t="s">
        <v>2486</v>
      </c>
      <c r="F1304" t="s">
        <v>114</v>
      </c>
      <c r="G1304" s="2" t="s">
        <v>4</v>
      </c>
      <c r="H1304" s="1">
        <v>105.89400000000001</v>
      </c>
    </row>
    <row r="1305" spans="1:8" x14ac:dyDescent="0.3">
      <c r="A1305" s="2">
        <v>576</v>
      </c>
      <c r="B1305" t="s">
        <v>2773</v>
      </c>
      <c r="C1305" t="s">
        <v>3</v>
      </c>
      <c r="D1305" s="2">
        <v>1</v>
      </c>
      <c r="E1305" s="11" t="s">
        <v>2769</v>
      </c>
      <c r="F1305" t="s">
        <v>114</v>
      </c>
      <c r="G1305" s="2" t="s">
        <v>4</v>
      </c>
      <c r="H1305" s="1">
        <v>95.294000000000011</v>
      </c>
    </row>
    <row r="1306" spans="1:8" x14ac:dyDescent="0.3">
      <c r="A1306" s="2">
        <v>576</v>
      </c>
      <c r="B1306" t="s">
        <v>1549</v>
      </c>
      <c r="C1306" t="s">
        <v>3224</v>
      </c>
      <c r="D1306" s="2">
        <v>1</v>
      </c>
      <c r="E1306" s="11" t="s">
        <v>1478</v>
      </c>
      <c r="F1306" t="s">
        <v>114</v>
      </c>
      <c r="G1306" s="2" t="s">
        <v>31</v>
      </c>
      <c r="H1306" s="1">
        <v>116.49400000000001</v>
      </c>
    </row>
    <row r="1307" spans="1:8" x14ac:dyDescent="0.3">
      <c r="A1307" s="2">
        <v>576</v>
      </c>
      <c r="B1307" t="s">
        <v>1622</v>
      </c>
      <c r="C1307" t="s">
        <v>3224</v>
      </c>
      <c r="D1307" s="2">
        <v>1</v>
      </c>
      <c r="E1307" s="11" t="s">
        <v>1478</v>
      </c>
      <c r="F1307" t="s">
        <v>114</v>
      </c>
      <c r="G1307" s="2" t="s">
        <v>23</v>
      </c>
      <c r="H1307" s="1">
        <v>116.49400000000001</v>
      </c>
    </row>
    <row r="1308" spans="1:8" x14ac:dyDescent="0.3">
      <c r="A1308" s="2">
        <v>576</v>
      </c>
      <c r="B1308" t="s">
        <v>2867</v>
      </c>
      <c r="C1308" t="s">
        <v>3334</v>
      </c>
      <c r="D1308" s="2">
        <v>1</v>
      </c>
      <c r="E1308" s="11" t="s">
        <v>2486</v>
      </c>
      <c r="F1308" t="s">
        <v>78</v>
      </c>
      <c r="G1308" s="2" t="s">
        <v>4</v>
      </c>
      <c r="H1308" s="1">
        <v>105.89400000000001</v>
      </c>
    </row>
    <row r="1309" spans="1:8" x14ac:dyDescent="0.3">
      <c r="A1309" s="2">
        <v>576</v>
      </c>
      <c r="B1309" t="s">
        <v>2770</v>
      </c>
      <c r="C1309" t="s">
        <v>3</v>
      </c>
      <c r="D1309" s="2">
        <v>1</v>
      </c>
      <c r="E1309" s="11" t="s">
        <v>2769</v>
      </c>
      <c r="F1309" t="s">
        <v>78</v>
      </c>
      <c r="G1309" s="2" t="s">
        <v>4</v>
      </c>
      <c r="H1309" s="1">
        <v>95.294000000000011</v>
      </c>
    </row>
    <row r="1310" spans="1:8" x14ac:dyDescent="0.3">
      <c r="A1310" s="2">
        <v>576</v>
      </c>
      <c r="B1310" t="s">
        <v>1479</v>
      </c>
      <c r="C1310" t="s">
        <v>3224</v>
      </c>
      <c r="D1310" s="2">
        <v>1</v>
      </c>
      <c r="E1310" s="11" t="s">
        <v>1478</v>
      </c>
      <c r="F1310" t="s">
        <v>47</v>
      </c>
      <c r="G1310" s="2" t="s">
        <v>4</v>
      </c>
      <c r="H1310" s="1">
        <v>116.49400000000001</v>
      </c>
    </row>
    <row r="1311" spans="1:8" x14ac:dyDescent="0.3">
      <c r="A1311" s="2">
        <v>576</v>
      </c>
      <c r="B1311" t="s">
        <v>1923</v>
      </c>
      <c r="C1311" t="s">
        <v>3224</v>
      </c>
      <c r="D1311" s="2">
        <v>1</v>
      </c>
      <c r="E1311" s="11" t="s">
        <v>1478</v>
      </c>
      <c r="F1311" t="s">
        <v>47</v>
      </c>
      <c r="G1311" s="2" t="s">
        <v>31</v>
      </c>
      <c r="H1311" s="1">
        <v>116.49400000000001</v>
      </c>
    </row>
    <row r="1312" spans="1:8" x14ac:dyDescent="0.3">
      <c r="A1312" s="2">
        <v>576</v>
      </c>
      <c r="B1312" t="s">
        <v>1922</v>
      </c>
      <c r="C1312" t="s">
        <v>3224</v>
      </c>
      <c r="D1312" s="2">
        <v>1</v>
      </c>
      <c r="E1312" s="11" t="s">
        <v>1478</v>
      </c>
      <c r="F1312" t="s">
        <v>47</v>
      </c>
      <c r="G1312" s="2" t="s">
        <v>23</v>
      </c>
      <c r="H1312" s="1">
        <v>116.49400000000001</v>
      </c>
    </row>
    <row r="1313" spans="1:8" x14ac:dyDescent="0.3">
      <c r="A1313" s="2">
        <v>576</v>
      </c>
      <c r="B1313" t="s">
        <v>1932</v>
      </c>
      <c r="C1313" t="s">
        <v>3224</v>
      </c>
      <c r="D1313" s="2">
        <v>1</v>
      </c>
      <c r="E1313" s="11" t="s">
        <v>1478</v>
      </c>
      <c r="F1313" t="s">
        <v>39</v>
      </c>
      <c r="G1313" s="2" t="s">
        <v>31</v>
      </c>
      <c r="H1313" s="1">
        <v>116.49400000000001</v>
      </c>
    </row>
    <row r="1314" spans="1:8" x14ac:dyDescent="0.3">
      <c r="A1314" s="2">
        <v>576</v>
      </c>
      <c r="B1314" t="s">
        <v>1931</v>
      </c>
      <c r="C1314" t="s">
        <v>3224</v>
      </c>
      <c r="D1314" s="2">
        <v>1</v>
      </c>
      <c r="E1314" s="11" t="s">
        <v>1478</v>
      </c>
      <c r="F1314" t="s">
        <v>39</v>
      </c>
      <c r="G1314" s="2" t="s">
        <v>23</v>
      </c>
      <c r="H1314" s="1">
        <v>116.49400000000001</v>
      </c>
    </row>
    <row r="1315" spans="1:8" x14ac:dyDescent="0.3">
      <c r="A1315" s="2">
        <v>576</v>
      </c>
      <c r="B1315" t="s">
        <v>2866</v>
      </c>
      <c r="C1315" t="s">
        <v>3224</v>
      </c>
      <c r="D1315" s="2">
        <v>1</v>
      </c>
      <c r="E1315" s="11" t="s">
        <v>2865</v>
      </c>
      <c r="F1315" t="s">
        <v>28</v>
      </c>
      <c r="G1315" s="2" t="s">
        <v>4</v>
      </c>
      <c r="H1315" s="1">
        <v>84.694000000000017</v>
      </c>
    </row>
    <row r="1316" spans="1:8" x14ac:dyDescent="0.3">
      <c r="A1316" s="2">
        <v>577</v>
      </c>
      <c r="B1316" t="s">
        <v>1803</v>
      </c>
      <c r="C1316" t="s">
        <v>3221</v>
      </c>
      <c r="D1316" s="2">
        <v>1</v>
      </c>
      <c r="E1316" s="11" t="s">
        <v>642</v>
      </c>
      <c r="F1316" t="s">
        <v>55</v>
      </c>
      <c r="G1316" s="2" t="s">
        <v>4</v>
      </c>
      <c r="H1316" s="1">
        <v>95.294000000000011</v>
      </c>
    </row>
    <row r="1317" spans="1:8" x14ac:dyDescent="0.3">
      <c r="A1317" s="2">
        <v>577</v>
      </c>
      <c r="B1317" t="s">
        <v>1539</v>
      </c>
      <c r="C1317" t="s">
        <v>3221</v>
      </c>
      <c r="D1317" s="2">
        <v>1</v>
      </c>
      <c r="E1317" s="11" t="s">
        <v>642</v>
      </c>
      <c r="F1317" t="s">
        <v>55</v>
      </c>
      <c r="G1317" s="2" t="s">
        <v>203</v>
      </c>
      <c r="H1317" s="1">
        <v>95.294000000000011</v>
      </c>
    </row>
    <row r="1318" spans="1:8" x14ac:dyDescent="0.3">
      <c r="A1318" s="2">
        <v>577</v>
      </c>
      <c r="B1318" t="s">
        <v>651</v>
      </c>
      <c r="C1318" t="s">
        <v>3221</v>
      </c>
      <c r="D1318" s="2">
        <v>1</v>
      </c>
      <c r="E1318" s="11" t="s">
        <v>642</v>
      </c>
      <c r="F1318" t="s">
        <v>55</v>
      </c>
      <c r="G1318" s="2" t="s">
        <v>31</v>
      </c>
      <c r="H1318" s="1">
        <v>95.294000000000011</v>
      </c>
    </row>
    <row r="1319" spans="1:8" x14ac:dyDescent="0.3">
      <c r="A1319" s="2">
        <v>577</v>
      </c>
      <c r="B1319" t="s">
        <v>2264</v>
      </c>
      <c r="C1319" t="s">
        <v>3221</v>
      </c>
      <c r="D1319" s="2">
        <v>1</v>
      </c>
      <c r="E1319" s="11" t="s">
        <v>642</v>
      </c>
      <c r="F1319" t="s">
        <v>55</v>
      </c>
      <c r="G1319" s="2" t="s">
        <v>23</v>
      </c>
      <c r="H1319" s="1">
        <v>95.294000000000011</v>
      </c>
    </row>
    <row r="1320" spans="1:8" x14ac:dyDescent="0.3">
      <c r="A1320" s="2">
        <v>577</v>
      </c>
      <c r="B1320" t="s">
        <v>2484</v>
      </c>
      <c r="C1320" t="s">
        <v>0</v>
      </c>
      <c r="D1320" s="2">
        <v>1</v>
      </c>
      <c r="E1320" s="11" t="s">
        <v>2483</v>
      </c>
      <c r="F1320" t="s">
        <v>65</v>
      </c>
      <c r="G1320" s="2" t="s">
        <v>23</v>
      </c>
      <c r="H1320" s="1">
        <v>148.29400000000001</v>
      </c>
    </row>
    <row r="1321" spans="1:8" x14ac:dyDescent="0.3">
      <c r="A1321" s="2">
        <v>577</v>
      </c>
      <c r="B1321" t="s">
        <v>2864</v>
      </c>
      <c r="C1321" t="s">
        <v>3219</v>
      </c>
      <c r="D1321" s="2">
        <v>1</v>
      </c>
      <c r="E1321" s="11" t="s">
        <v>2228</v>
      </c>
      <c r="F1321" t="s">
        <v>126</v>
      </c>
      <c r="G1321" s="2" t="s">
        <v>31</v>
      </c>
      <c r="H1321" s="1">
        <v>137.69400000000002</v>
      </c>
    </row>
    <row r="1322" spans="1:8" x14ac:dyDescent="0.3">
      <c r="A1322" s="2">
        <v>577</v>
      </c>
      <c r="B1322" t="s">
        <v>2863</v>
      </c>
      <c r="C1322" t="s">
        <v>3221</v>
      </c>
      <c r="D1322" s="2">
        <v>1</v>
      </c>
      <c r="E1322" s="11" t="s">
        <v>642</v>
      </c>
      <c r="F1322" t="s">
        <v>28</v>
      </c>
      <c r="G1322" s="2" t="s">
        <v>4</v>
      </c>
      <c r="H1322" s="1">
        <v>95.294000000000011</v>
      </c>
    </row>
    <row r="1323" spans="1:8" x14ac:dyDescent="0.3">
      <c r="A1323" s="2">
        <v>577</v>
      </c>
      <c r="B1323" t="s">
        <v>2862</v>
      </c>
      <c r="C1323" t="s">
        <v>3221</v>
      </c>
      <c r="D1323" s="2">
        <v>1</v>
      </c>
      <c r="E1323" s="11" t="s">
        <v>642</v>
      </c>
      <c r="F1323" t="s">
        <v>28</v>
      </c>
      <c r="G1323" s="2" t="s">
        <v>31</v>
      </c>
      <c r="H1323" s="1">
        <v>95.294000000000011</v>
      </c>
    </row>
    <row r="1324" spans="1:8" x14ac:dyDescent="0.3">
      <c r="A1324" s="2">
        <v>577</v>
      </c>
      <c r="B1324" t="s">
        <v>1539</v>
      </c>
      <c r="C1324" t="s">
        <v>3221</v>
      </c>
      <c r="D1324" s="2">
        <v>1</v>
      </c>
      <c r="E1324" s="11" t="s">
        <v>642</v>
      </c>
      <c r="F1324" t="s">
        <v>55</v>
      </c>
      <c r="G1324" s="2" t="s">
        <v>203</v>
      </c>
      <c r="H1324" s="1">
        <v>95.294000000000011</v>
      </c>
    </row>
    <row r="1325" spans="1:8" x14ac:dyDescent="0.3">
      <c r="A1325" s="2">
        <v>577</v>
      </c>
      <c r="B1325" t="s">
        <v>2813</v>
      </c>
      <c r="C1325" t="s">
        <v>3221</v>
      </c>
      <c r="D1325" s="2">
        <v>1</v>
      </c>
      <c r="E1325" s="11" t="s">
        <v>642</v>
      </c>
      <c r="F1325" t="s">
        <v>114</v>
      </c>
      <c r="G1325" s="2" t="s">
        <v>4</v>
      </c>
      <c r="H1325" s="1">
        <v>95.294000000000011</v>
      </c>
    </row>
    <row r="1326" spans="1:8" x14ac:dyDescent="0.3">
      <c r="A1326" s="2">
        <v>577</v>
      </c>
      <c r="B1326" t="s">
        <v>1533</v>
      </c>
      <c r="C1326" t="s">
        <v>3221</v>
      </c>
      <c r="D1326" s="2">
        <v>1</v>
      </c>
      <c r="E1326" s="11" t="s">
        <v>642</v>
      </c>
      <c r="F1326" t="s">
        <v>114</v>
      </c>
      <c r="G1326" s="2" t="s">
        <v>31</v>
      </c>
      <c r="H1326" s="1">
        <v>95.294000000000011</v>
      </c>
    </row>
    <row r="1327" spans="1:8" x14ac:dyDescent="0.3">
      <c r="A1327" s="2">
        <v>577</v>
      </c>
      <c r="B1327" t="s">
        <v>2861</v>
      </c>
      <c r="C1327" t="s">
        <v>3219</v>
      </c>
      <c r="D1327" s="2">
        <v>1</v>
      </c>
      <c r="E1327" s="11" t="s">
        <v>2271</v>
      </c>
      <c r="F1327" t="s">
        <v>36</v>
      </c>
      <c r="G1327" s="2" t="s">
        <v>23</v>
      </c>
      <c r="H1327" s="1">
        <v>121.79400000000001</v>
      </c>
    </row>
    <row r="1328" spans="1:8" x14ac:dyDescent="0.3">
      <c r="A1328" s="2">
        <v>577</v>
      </c>
      <c r="B1328" t="s">
        <v>2860</v>
      </c>
      <c r="C1328" t="s">
        <v>3219</v>
      </c>
      <c r="D1328" s="2">
        <v>1</v>
      </c>
      <c r="E1328" s="11" t="s">
        <v>2228</v>
      </c>
      <c r="F1328" t="s">
        <v>47</v>
      </c>
      <c r="G1328" s="2" t="s">
        <v>23</v>
      </c>
      <c r="H1328" s="1">
        <v>137.69400000000002</v>
      </c>
    </row>
    <row r="1329" spans="1:8" x14ac:dyDescent="0.3">
      <c r="A1329" s="2">
        <v>577</v>
      </c>
      <c r="B1329" t="s">
        <v>2859</v>
      </c>
      <c r="C1329" t="s">
        <v>3219</v>
      </c>
      <c r="D1329" s="2">
        <v>1</v>
      </c>
      <c r="E1329" s="11" t="s">
        <v>2251</v>
      </c>
      <c r="F1329" t="s">
        <v>47</v>
      </c>
      <c r="G1329" s="2" t="s">
        <v>23</v>
      </c>
      <c r="H1329" s="1">
        <v>169.49400000000003</v>
      </c>
    </row>
    <row r="1330" spans="1:8" x14ac:dyDescent="0.3">
      <c r="A1330" s="2">
        <v>577</v>
      </c>
      <c r="B1330" t="s">
        <v>2227</v>
      </c>
      <c r="C1330" t="s">
        <v>3224</v>
      </c>
      <c r="D1330" s="2">
        <v>1</v>
      </c>
      <c r="E1330" s="11" t="s">
        <v>191</v>
      </c>
      <c r="F1330" t="s">
        <v>47</v>
      </c>
      <c r="G1330" s="2" t="s">
        <v>4</v>
      </c>
      <c r="H1330" s="1">
        <v>63.494000000000007</v>
      </c>
    </row>
    <row r="1331" spans="1:8" x14ac:dyDescent="0.3">
      <c r="A1331" s="2">
        <v>577</v>
      </c>
      <c r="B1331" t="s">
        <v>643</v>
      </c>
      <c r="C1331" t="s">
        <v>3221</v>
      </c>
      <c r="D1331" s="2">
        <v>2</v>
      </c>
      <c r="E1331" s="11" t="s">
        <v>642</v>
      </c>
      <c r="F1331" t="s">
        <v>47</v>
      </c>
      <c r="G1331" s="2" t="s">
        <v>4</v>
      </c>
      <c r="H1331" s="1">
        <v>95.294000000000011</v>
      </c>
    </row>
    <row r="1332" spans="1:8" x14ac:dyDescent="0.3">
      <c r="A1332" s="2">
        <v>577</v>
      </c>
      <c r="B1332" t="s">
        <v>1873</v>
      </c>
      <c r="C1332" t="s">
        <v>3221</v>
      </c>
      <c r="D1332" s="2">
        <v>1</v>
      </c>
      <c r="E1332" s="11" t="s">
        <v>642</v>
      </c>
      <c r="F1332" t="s">
        <v>47</v>
      </c>
      <c r="G1332" s="2" t="s">
        <v>203</v>
      </c>
      <c r="H1332" s="1">
        <v>95.294000000000011</v>
      </c>
    </row>
    <row r="1333" spans="1:8" x14ac:dyDescent="0.3">
      <c r="A1333" s="2">
        <v>577</v>
      </c>
      <c r="B1333" t="s">
        <v>1800</v>
      </c>
      <c r="C1333" t="s">
        <v>3221</v>
      </c>
      <c r="D1333" s="2">
        <v>1</v>
      </c>
      <c r="E1333" s="11" t="s">
        <v>642</v>
      </c>
      <c r="F1333" t="s">
        <v>47</v>
      </c>
      <c r="G1333" s="2" t="s">
        <v>23</v>
      </c>
      <c r="H1333" s="1">
        <v>95.294000000000011</v>
      </c>
    </row>
    <row r="1334" spans="1:8" x14ac:dyDescent="0.3">
      <c r="A1334" s="2">
        <v>577</v>
      </c>
      <c r="B1334" t="s">
        <v>2435</v>
      </c>
      <c r="C1334" t="s">
        <v>3221</v>
      </c>
      <c r="D1334" s="2">
        <v>1</v>
      </c>
      <c r="E1334" s="11" t="s">
        <v>642</v>
      </c>
      <c r="F1334" t="s">
        <v>24</v>
      </c>
      <c r="G1334" s="2" t="s">
        <v>4</v>
      </c>
      <c r="H1334" s="1">
        <v>95.294000000000011</v>
      </c>
    </row>
    <row r="1335" spans="1:8" x14ac:dyDescent="0.3">
      <c r="A1335" s="2">
        <v>577</v>
      </c>
      <c r="B1335" t="s">
        <v>1520</v>
      </c>
      <c r="C1335" t="s">
        <v>3221</v>
      </c>
      <c r="D1335" s="2">
        <v>1</v>
      </c>
      <c r="E1335" s="11" t="s">
        <v>642</v>
      </c>
      <c r="F1335" t="s">
        <v>24</v>
      </c>
      <c r="G1335" s="2" t="s">
        <v>203</v>
      </c>
      <c r="H1335" s="1">
        <v>95.294000000000011</v>
      </c>
    </row>
    <row r="1336" spans="1:8" x14ac:dyDescent="0.3">
      <c r="A1336" s="2">
        <v>577</v>
      </c>
      <c r="B1336" t="s">
        <v>2262</v>
      </c>
      <c r="C1336" t="s">
        <v>3221</v>
      </c>
      <c r="D1336" s="2">
        <v>1</v>
      </c>
      <c r="E1336" s="11" t="s">
        <v>642</v>
      </c>
      <c r="F1336" t="s">
        <v>24</v>
      </c>
      <c r="G1336" s="2" t="s">
        <v>31</v>
      </c>
      <c r="H1336" s="1">
        <v>95.294000000000011</v>
      </c>
    </row>
    <row r="1337" spans="1:8" x14ac:dyDescent="0.3">
      <c r="A1337" s="2">
        <v>578</v>
      </c>
      <c r="B1337" t="s">
        <v>2858</v>
      </c>
      <c r="C1337" t="s">
        <v>3219</v>
      </c>
      <c r="D1337" s="2">
        <v>2</v>
      </c>
      <c r="E1337" s="11" t="s">
        <v>66</v>
      </c>
      <c r="F1337" t="s">
        <v>126</v>
      </c>
      <c r="G1337" s="2" t="s">
        <v>31</v>
      </c>
      <c r="H1337" s="1">
        <v>180.09400000000002</v>
      </c>
    </row>
    <row r="1338" spans="1:8" x14ac:dyDescent="0.3">
      <c r="A1338" s="2">
        <v>578</v>
      </c>
      <c r="B1338" t="s">
        <v>2236</v>
      </c>
      <c r="C1338" t="s">
        <v>3219</v>
      </c>
      <c r="D1338" s="2">
        <v>1</v>
      </c>
      <c r="E1338" s="11" t="s">
        <v>66</v>
      </c>
      <c r="F1338" t="s">
        <v>114</v>
      </c>
      <c r="G1338" s="2" t="s">
        <v>23</v>
      </c>
      <c r="H1338" s="1">
        <v>180.09400000000002</v>
      </c>
    </row>
    <row r="1339" spans="1:8" x14ac:dyDescent="0.3">
      <c r="A1339" s="2">
        <v>578</v>
      </c>
      <c r="B1339" t="s">
        <v>2857</v>
      </c>
      <c r="C1339" t="s">
        <v>3224</v>
      </c>
      <c r="D1339" s="2">
        <v>1</v>
      </c>
      <c r="E1339" s="11" t="s">
        <v>2180</v>
      </c>
      <c r="F1339" t="s">
        <v>62</v>
      </c>
      <c r="G1339" s="2" t="s">
        <v>31</v>
      </c>
      <c r="H1339" s="1">
        <v>84.694000000000017</v>
      </c>
    </row>
    <row r="1340" spans="1:8" x14ac:dyDescent="0.3">
      <c r="A1340" s="2">
        <v>578</v>
      </c>
      <c r="B1340" t="s">
        <v>2856</v>
      </c>
      <c r="C1340" t="s">
        <v>3</v>
      </c>
      <c r="D1340" s="2">
        <v>1</v>
      </c>
      <c r="E1340" s="11" t="s">
        <v>2178</v>
      </c>
      <c r="F1340" t="s">
        <v>62</v>
      </c>
      <c r="G1340" s="2" t="s">
        <v>31</v>
      </c>
      <c r="H1340" s="1">
        <v>111.19400000000002</v>
      </c>
    </row>
    <row r="1341" spans="1:8" x14ac:dyDescent="0.3">
      <c r="A1341" s="2">
        <v>578</v>
      </c>
      <c r="B1341" t="s">
        <v>2855</v>
      </c>
      <c r="C1341" t="s">
        <v>1</v>
      </c>
      <c r="D1341" s="2">
        <v>1</v>
      </c>
      <c r="E1341" s="11" t="s">
        <v>1653</v>
      </c>
      <c r="F1341" t="s">
        <v>62</v>
      </c>
      <c r="G1341" s="2" t="s">
        <v>23</v>
      </c>
      <c r="H1341" s="1">
        <v>79.394000000000005</v>
      </c>
    </row>
    <row r="1342" spans="1:8" x14ac:dyDescent="0.3">
      <c r="A1342" s="2">
        <v>578</v>
      </c>
      <c r="B1342" t="s">
        <v>1221</v>
      </c>
      <c r="C1342" t="s">
        <v>3219</v>
      </c>
      <c r="D1342" s="2">
        <v>1</v>
      </c>
      <c r="E1342" s="11" t="s">
        <v>66</v>
      </c>
      <c r="F1342" t="s">
        <v>28</v>
      </c>
      <c r="G1342" s="2" t="s">
        <v>23</v>
      </c>
      <c r="H1342" s="1">
        <v>180.09400000000002</v>
      </c>
    </row>
    <row r="1343" spans="1:8" x14ac:dyDescent="0.3">
      <c r="A1343" s="2">
        <v>578</v>
      </c>
      <c r="B1343" t="s">
        <v>2854</v>
      </c>
      <c r="C1343" t="s">
        <v>3224</v>
      </c>
      <c r="D1343" s="2">
        <v>1</v>
      </c>
      <c r="E1343" s="11" t="s">
        <v>2212</v>
      </c>
      <c r="F1343" t="s">
        <v>114</v>
      </c>
      <c r="G1343" s="2" t="s">
        <v>4</v>
      </c>
      <c r="H1343" s="1">
        <v>79.394000000000005</v>
      </c>
    </row>
    <row r="1344" spans="1:8" x14ac:dyDescent="0.3">
      <c r="A1344" s="2">
        <v>578</v>
      </c>
      <c r="B1344" t="s">
        <v>2853</v>
      </c>
      <c r="C1344" t="s">
        <v>3224</v>
      </c>
      <c r="D1344" s="2">
        <v>1</v>
      </c>
      <c r="E1344" s="11" t="s">
        <v>2849</v>
      </c>
      <c r="F1344" t="s">
        <v>114</v>
      </c>
      <c r="G1344" s="2" t="s">
        <v>23</v>
      </c>
      <c r="H1344" s="1">
        <v>58.19400000000001</v>
      </c>
    </row>
    <row r="1345" spans="1:8" x14ac:dyDescent="0.3">
      <c r="A1345" s="2">
        <v>578</v>
      </c>
      <c r="B1345" t="s">
        <v>2114</v>
      </c>
      <c r="C1345" t="s">
        <v>2</v>
      </c>
      <c r="D1345" s="2">
        <v>1</v>
      </c>
      <c r="E1345" s="11" t="s">
        <v>60</v>
      </c>
      <c r="F1345" t="s">
        <v>114</v>
      </c>
      <c r="G1345" s="2" t="s">
        <v>23</v>
      </c>
      <c r="H1345" s="1">
        <v>68.794000000000011</v>
      </c>
    </row>
    <row r="1346" spans="1:8" x14ac:dyDescent="0.3">
      <c r="A1346" s="2">
        <v>578</v>
      </c>
      <c r="B1346" t="s">
        <v>2770</v>
      </c>
      <c r="C1346" t="s">
        <v>3</v>
      </c>
      <c r="D1346" s="2">
        <v>1</v>
      </c>
      <c r="E1346" s="11" t="s">
        <v>2769</v>
      </c>
      <c r="F1346" t="s">
        <v>78</v>
      </c>
      <c r="G1346" s="2" t="s">
        <v>4</v>
      </c>
      <c r="H1346" s="1">
        <v>95.294000000000011</v>
      </c>
    </row>
    <row r="1347" spans="1:8" x14ac:dyDescent="0.3">
      <c r="A1347" s="2">
        <v>578</v>
      </c>
      <c r="B1347" t="s">
        <v>2852</v>
      </c>
      <c r="C1347" t="s">
        <v>3219</v>
      </c>
      <c r="D1347" s="2">
        <v>1</v>
      </c>
      <c r="E1347" s="11" t="s">
        <v>1845</v>
      </c>
      <c r="F1347" t="s">
        <v>78</v>
      </c>
      <c r="G1347" s="2" t="s">
        <v>31</v>
      </c>
      <c r="H1347" s="1">
        <v>180.09400000000002</v>
      </c>
    </row>
    <row r="1348" spans="1:8" x14ac:dyDescent="0.3">
      <c r="A1348" s="2">
        <v>578</v>
      </c>
      <c r="B1348" t="s">
        <v>2851</v>
      </c>
      <c r="C1348" t="s">
        <v>3</v>
      </c>
      <c r="D1348" s="2">
        <v>1</v>
      </c>
      <c r="E1348" s="11" t="s">
        <v>2769</v>
      </c>
      <c r="F1348" t="s">
        <v>47</v>
      </c>
      <c r="G1348" s="2" t="s">
        <v>31</v>
      </c>
      <c r="H1348" s="1">
        <v>95.294000000000011</v>
      </c>
    </row>
    <row r="1349" spans="1:8" x14ac:dyDescent="0.3">
      <c r="A1349" s="2">
        <v>578</v>
      </c>
      <c r="B1349" t="s">
        <v>2850</v>
      </c>
      <c r="C1349" t="s">
        <v>3224</v>
      </c>
      <c r="D1349" s="2">
        <v>1</v>
      </c>
      <c r="E1349" s="11" t="s">
        <v>2849</v>
      </c>
      <c r="F1349" t="s">
        <v>47</v>
      </c>
      <c r="G1349" s="2" t="s">
        <v>23</v>
      </c>
      <c r="H1349" s="1">
        <v>58.19400000000001</v>
      </c>
    </row>
    <row r="1350" spans="1:8" x14ac:dyDescent="0.3">
      <c r="A1350" s="2">
        <v>578</v>
      </c>
      <c r="B1350" t="s">
        <v>1712</v>
      </c>
      <c r="C1350" t="s">
        <v>1</v>
      </c>
      <c r="D1350" s="2">
        <v>1</v>
      </c>
      <c r="E1350" s="11" t="s">
        <v>1653</v>
      </c>
      <c r="F1350" t="s">
        <v>47</v>
      </c>
      <c r="G1350" s="2" t="s">
        <v>4</v>
      </c>
      <c r="H1350" s="1">
        <v>79.394000000000005</v>
      </c>
    </row>
    <row r="1351" spans="1:8" x14ac:dyDescent="0.3">
      <c r="A1351" s="2">
        <v>578</v>
      </c>
      <c r="B1351" t="s">
        <v>2848</v>
      </c>
      <c r="C1351" t="s">
        <v>2</v>
      </c>
      <c r="D1351" s="2">
        <v>1</v>
      </c>
      <c r="E1351" s="11" t="s">
        <v>60</v>
      </c>
      <c r="F1351" t="s">
        <v>47</v>
      </c>
      <c r="G1351" s="2" t="s">
        <v>4</v>
      </c>
      <c r="H1351" s="1">
        <v>68.794000000000011</v>
      </c>
    </row>
    <row r="1352" spans="1:8" x14ac:dyDescent="0.3">
      <c r="A1352" s="2">
        <v>578</v>
      </c>
      <c r="B1352" t="s">
        <v>100</v>
      </c>
      <c r="C1352" t="s">
        <v>2</v>
      </c>
      <c r="D1352" s="2">
        <v>1</v>
      </c>
      <c r="E1352" s="11" t="s">
        <v>60</v>
      </c>
      <c r="F1352" t="s">
        <v>39</v>
      </c>
      <c r="G1352" s="2" t="s">
        <v>31</v>
      </c>
      <c r="H1352" s="1">
        <v>68.794000000000011</v>
      </c>
    </row>
    <row r="1353" spans="1:8" x14ac:dyDescent="0.3">
      <c r="A1353" s="2">
        <v>578</v>
      </c>
      <c r="B1353" t="s">
        <v>2247</v>
      </c>
      <c r="C1353" t="s">
        <v>1</v>
      </c>
      <c r="D1353" s="2">
        <v>1</v>
      </c>
      <c r="E1353" s="11" t="s">
        <v>1653</v>
      </c>
      <c r="F1353" t="s">
        <v>28</v>
      </c>
      <c r="G1353" s="2" t="s">
        <v>31</v>
      </c>
      <c r="H1353" s="1">
        <v>79.394000000000005</v>
      </c>
    </row>
    <row r="1354" spans="1:8" x14ac:dyDescent="0.3">
      <c r="A1354" s="2">
        <v>579</v>
      </c>
      <c r="B1354" t="s">
        <v>2847</v>
      </c>
      <c r="C1354" t="s">
        <v>3217</v>
      </c>
      <c r="D1354" s="2">
        <v>1</v>
      </c>
      <c r="E1354" s="11" t="s">
        <v>2654</v>
      </c>
      <c r="F1354" t="s">
        <v>65</v>
      </c>
      <c r="G1354" s="2" t="s">
        <v>4</v>
      </c>
      <c r="H1354" s="1">
        <v>26.393999999999998</v>
      </c>
    </row>
    <row r="1355" spans="1:8" x14ac:dyDescent="0.3">
      <c r="A1355" s="2">
        <v>579</v>
      </c>
      <c r="B1355" t="s">
        <v>2847</v>
      </c>
      <c r="C1355" t="s">
        <v>3217</v>
      </c>
      <c r="D1355" s="2">
        <v>1</v>
      </c>
      <c r="E1355" s="11" t="s">
        <v>2654</v>
      </c>
      <c r="F1355" t="s">
        <v>65</v>
      </c>
      <c r="G1355" s="2" t="s">
        <v>4</v>
      </c>
      <c r="H1355" s="1">
        <v>26.393999999999998</v>
      </c>
    </row>
    <row r="1356" spans="1:8" x14ac:dyDescent="0.3">
      <c r="A1356" s="2">
        <v>579</v>
      </c>
      <c r="B1356" t="s">
        <v>756</v>
      </c>
      <c r="C1356" t="s">
        <v>1</v>
      </c>
      <c r="D1356" s="2">
        <v>1</v>
      </c>
      <c r="E1356" s="11" t="s">
        <v>53</v>
      </c>
      <c r="F1356" t="s">
        <v>65</v>
      </c>
      <c r="G1356" s="2" t="s">
        <v>203</v>
      </c>
      <c r="H1356" s="1">
        <v>36.994</v>
      </c>
    </row>
    <row r="1357" spans="1:8" x14ac:dyDescent="0.3">
      <c r="A1357" s="2">
        <v>579</v>
      </c>
      <c r="B1357" t="s">
        <v>755</v>
      </c>
      <c r="C1357" t="s">
        <v>1</v>
      </c>
      <c r="D1357" s="2">
        <v>1</v>
      </c>
      <c r="E1357" s="11" t="s">
        <v>53</v>
      </c>
      <c r="F1357" t="s">
        <v>65</v>
      </c>
      <c r="G1357" s="2" t="s">
        <v>31</v>
      </c>
      <c r="H1357" s="1">
        <v>36.994</v>
      </c>
    </row>
    <row r="1358" spans="1:8" x14ac:dyDescent="0.3">
      <c r="A1358" s="2">
        <v>579</v>
      </c>
      <c r="B1358" t="s">
        <v>2765</v>
      </c>
      <c r="C1358" t="s">
        <v>3365</v>
      </c>
      <c r="D1358" s="2">
        <v>1</v>
      </c>
      <c r="E1358" s="11" t="s">
        <v>2760</v>
      </c>
      <c r="F1358" t="s">
        <v>65</v>
      </c>
      <c r="G1358" s="2" t="s">
        <v>23</v>
      </c>
      <c r="H1358" s="1">
        <v>164.19400000000002</v>
      </c>
    </row>
    <row r="1359" spans="1:8" x14ac:dyDescent="0.3">
      <c r="A1359" s="2">
        <v>579</v>
      </c>
      <c r="B1359" t="s">
        <v>2846</v>
      </c>
      <c r="C1359" t="s">
        <v>0</v>
      </c>
      <c r="D1359" s="2">
        <v>1</v>
      </c>
      <c r="E1359" s="11" t="s">
        <v>2611</v>
      </c>
      <c r="F1359" t="s">
        <v>65</v>
      </c>
      <c r="G1359" s="2" t="s">
        <v>31</v>
      </c>
      <c r="H1359" s="1">
        <v>169.49400000000003</v>
      </c>
    </row>
    <row r="1360" spans="1:8" x14ac:dyDescent="0.3">
      <c r="A1360" s="2">
        <v>579</v>
      </c>
      <c r="B1360" t="s">
        <v>2845</v>
      </c>
      <c r="C1360" t="s">
        <v>3217</v>
      </c>
      <c r="D1360" s="2">
        <v>1</v>
      </c>
      <c r="E1360" s="11" t="s">
        <v>2842</v>
      </c>
      <c r="F1360" t="s">
        <v>65</v>
      </c>
      <c r="G1360" s="2" t="s">
        <v>31</v>
      </c>
      <c r="H1360" s="1">
        <v>79.394000000000005</v>
      </c>
    </row>
    <row r="1361" spans="1:8" x14ac:dyDescent="0.3">
      <c r="A1361" s="2">
        <v>579</v>
      </c>
      <c r="B1361" t="s">
        <v>2658</v>
      </c>
      <c r="C1361" t="s">
        <v>3217</v>
      </c>
      <c r="D1361" s="2">
        <v>1</v>
      </c>
      <c r="E1361" s="11" t="s">
        <v>2613</v>
      </c>
      <c r="F1361" t="s">
        <v>65</v>
      </c>
      <c r="G1361" s="2" t="s">
        <v>4</v>
      </c>
      <c r="H1361" s="1">
        <v>79.394000000000005</v>
      </c>
    </row>
    <row r="1362" spans="1:8" x14ac:dyDescent="0.3">
      <c r="A1362" s="2">
        <v>579</v>
      </c>
      <c r="B1362" t="s">
        <v>2657</v>
      </c>
      <c r="C1362" t="s">
        <v>2</v>
      </c>
      <c r="D1362" s="2">
        <v>1</v>
      </c>
      <c r="E1362" s="11" t="s">
        <v>2128</v>
      </c>
      <c r="F1362" t="s">
        <v>65</v>
      </c>
      <c r="G1362" s="2" t="s">
        <v>4</v>
      </c>
      <c r="H1362" s="1">
        <v>116.49400000000001</v>
      </c>
    </row>
    <row r="1363" spans="1:8" x14ac:dyDescent="0.3">
      <c r="A1363" s="2">
        <v>579</v>
      </c>
      <c r="B1363" t="s">
        <v>2844</v>
      </c>
      <c r="C1363" t="s">
        <v>3217</v>
      </c>
      <c r="D1363" s="2">
        <v>1</v>
      </c>
      <c r="E1363" s="11" t="s">
        <v>2654</v>
      </c>
      <c r="F1363" t="s">
        <v>126</v>
      </c>
      <c r="G1363" s="2" t="s">
        <v>31</v>
      </c>
      <c r="H1363" s="1">
        <v>26.393999999999998</v>
      </c>
    </row>
    <row r="1364" spans="1:8" x14ac:dyDescent="0.3">
      <c r="A1364" s="2">
        <v>579</v>
      </c>
      <c r="B1364" t="s">
        <v>2542</v>
      </c>
      <c r="C1364" t="s">
        <v>1</v>
      </c>
      <c r="D1364" s="2">
        <v>1</v>
      </c>
      <c r="E1364" s="11" t="s">
        <v>285</v>
      </c>
      <c r="F1364" t="s">
        <v>126</v>
      </c>
      <c r="G1364" s="2" t="s">
        <v>4</v>
      </c>
      <c r="H1364" s="1">
        <v>68.794000000000011</v>
      </c>
    </row>
    <row r="1365" spans="1:8" x14ac:dyDescent="0.3">
      <c r="A1365" s="2">
        <v>579</v>
      </c>
      <c r="B1365" t="s">
        <v>2843</v>
      </c>
      <c r="C1365" t="s">
        <v>3217</v>
      </c>
      <c r="D1365" s="2">
        <v>1</v>
      </c>
      <c r="E1365" s="11" t="s">
        <v>2842</v>
      </c>
      <c r="F1365" t="s">
        <v>126</v>
      </c>
      <c r="G1365" s="2" t="s">
        <v>23</v>
      </c>
      <c r="H1365" s="1">
        <v>79.394000000000005</v>
      </c>
    </row>
    <row r="1366" spans="1:8" x14ac:dyDescent="0.3">
      <c r="A1366" s="2">
        <v>579</v>
      </c>
      <c r="B1366" t="s">
        <v>2252</v>
      </c>
      <c r="C1366" t="s">
        <v>3219</v>
      </c>
      <c r="D1366" s="2">
        <v>1</v>
      </c>
      <c r="E1366" s="11" t="s">
        <v>2251</v>
      </c>
      <c r="F1366" t="s">
        <v>126</v>
      </c>
      <c r="G1366" s="2" t="s">
        <v>4</v>
      </c>
      <c r="H1366" s="1">
        <v>169.49400000000003</v>
      </c>
    </row>
    <row r="1367" spans="1:8" x14ac:dyDescent="0.3">
      <c r="A1367" s="2">
        <v>579</v>
      </c>
      <c r="B1367" t="s">
        <v>2250</v>
      </c>
      <c r="C1367" t="s">
        <v>3224</v>
      </c>
      <c r="D1367" s="2">
        <v>1</v>
      </c>
      <c r="E1367" s="11" t="s">
        <v>191</v>
      </c>
      <c r="F1367" t="s">
        <v>126</v>
      </c>
      <c r="G1367" s="2" t="s">
        <v>4</v>
      </c>
      <c r="H1367" s="1">
        <v>63.494000000000007</v>
      </c>
    </row>
    <row r="1368" spans="1:8" x14ac:dyDescent="0.3">
      <c r="A1368" s="2">
        <v>579</v>
      </c>
      <c r="B1368" t="s">
        <v>2841</v>
      </c>
      <c r="C1368" t="s">
        <v>3217</v>
      </c>
      <c r="D1368" s="2">
        <v>1</v>
      </c>
      <c r="E1368" s="11" t="s">
        <v>2654</v>
      </c>
      <c r="F1368" t="s">
        <v>28</v>
      </c>
      <c r="G1368" s="2" t="s">
        <v>23</v>
      </c>
      <c r="H1368" s="1">
        <v>26.393999999999998</v>
      </c>
    </row>
    <row r="1369" spans="1:8" x14ac:dyDescent="0.3">
      <c r="A1369" s="2">
        <v>579</v>
      </c>
      <c r="B1369" t="s">
        <v>2521</v>
      </c>
      <c r="C1369" t="s">
        <v>1</v>
      </c>
      <c r="D1369" s="2">
        <v>1</v>
      </c>
      <c r="E1369" s="11" t="s">
        <v>2136</v>
      </c>
      <c r="F1369" t="s">
        <v>28</v>
      </c>
      <c r="G1369" s="2" t="s">
        <v>23</v>
      </c>
      <c r="H1369" s="1">
        <v>52.893999999999998</v>
      </c>
    </row>
    <row r="1370" spans="1:8" x14ac:dyDescent="0.3">
      <c r="A1370" s="2">
        <v>579</v>
      </c>
      <c r="B1370" t="s">
        <v>2593</v>
      </c>
      <c r="C1370" t="s">
        <v>3220</v>
      </c>
      <c r="D1370" s="2">
        <v>1</v>
      </c>
      <c r="E1370" s="11" t="s">
        <v>2592</v>
      </c>
      <c r="F1370" t="s">
        <v>28</v>
      </c>
      <c r="G1370" s="2" t="s">
        <v>31</v>
      </c>
      <c r="H1370" s="1">
        <v>21.094000000000001</v>
      </c>
    </row>
    <row r="1371" spans="1:8" x14ac:dyDescent="0.3">
      <c r="A1371" s="2">
        <v>579</v>
      </c>
      <c r="B1371" t="s">
        <v>2401</v>
      </c>
      <c r="C1371" t="s">
        <v>3217</v>
      </c>
      <c r="D1371" s="2">
        <v>1</v>
      </c>
      <c r="E1371" s="11" t="s">
        <v>1948</v>
      </c>
      <c r="F1371" t="s">
        <v>28</v>
      </c>
      <c r="G1371" s="2" t="s">
        <v>23</v>
      </c>
      <c r="H1371" s="1">
        <v>63.494000000000007</v>
      </c>
    </row>
    <row r="1372" spans="1:8" x14ac:dyDescent="0.3">
      <c r="A1372" s="2">
        <v>579</v>
      </c>
      <c r="B1372" t="s">
        <v>2538</v>
      </c>
      <c r="C1372" t="s">
        <v>1</v>
      </c>
      <c r="D1372" s="2">
        <v>1</v>
      </c>
      <c r="E1372" s="11" t="s">
        <v>1653</v>
      </c>
      <c r="F1372" t="s">
        <v>62</v>
      </c>
      <c r="G1372" s="2" t="s">
        <v>31</v>
      </c>
      <c r="H1372" s="1">
        <v>79.394000000000005</v>
      </c>
    </row>
    <row r="1373" spans="1:8" x14ac:dyDescent="0.3">
      <c r="A1373" s="2">
        <v>579</v>
      </c>
      <c r="B1373" t="s">
        <v>719</v>
      </c>
      <c r="C1373" t="s">
        <v>3220</v>
      </c>
      <c r="D1373" s="2">
        <v>1</v>
      </c>
      <c r="E1373" s="11" t="s">
        <v>204</v>
      </c>
      <c r="F1373" t="s">
        <v>241</v>
      </c>
      <c r="G1373" s="2" t="s">
        <v>23</v>
      </c>
      <c r="H1373" s="1">
        <v>42.294000000000004</v>
      </c>
    </row>
    <row r="1374" spans="1:8" x14ac:dyDescent="0.3">
      <c r="A1374" s="2">
        <v>579</v>
      </c>
      <c r="B1374" t="s">
        <v>2840</v>
      </c>
      <c r="C1374" t="s">
        <v>3217</v>
      </c>
      <c r="D1374" s="2">
        <v>1</v>
      </c>
      <c r="E1374" s="11" t="s">
        <v>2654</v>
      </c>
      <c r="F1374" t="s">
        <v>28</v>
      </c>
      <c r="G1374" s="2" t="s">
        <v>4</v>
      </c>
      <c r="H1374" s="1">
        <v>26.393999999999998</v>
      </c>
    </row>
    <row r="1375" spans="1:8" x14ac:dyDescent="0.3">
      <c r="A1375" s="2">
        <v>579</v>
      </c>
      <c r="B1375" t="s">
        <v>1152</v>
      </c>
      <c r="C1375" t="s">
        <v>1</v>
      </c>
      <c r="D1375" s="2">
        <v>1</v>
      </c>
      <c r="E1375" s="11" t="s">
        <v>285</v>
      </c>
      <c r="F1375" t="s">
        <v>28</v>
      </c>
      <c r="G1375" s="2" t="s">
        <v>31</v>
      </c>
      <c r="H1375" s="1">
        <v>68.794000000000011</v>
      </c>
    </row>
    <row r="1376" spans="1:8" x14ac:dyDescent="0.3">
      <c r="A1376" s="2">
        <v>579</v>
      </c>
      <c r="B1376" t="s">
        <v>2839</v>
      </c>
      <c r="C1376" t="s">
        <v>3334</v>
      </c>
      <c r="D1376" s="2">
        <v>1</v>
      </c>
      <c r="E1376" s="11" t="s">
        <v>2801</v>
      </c>
      <c r="F1376" t="s">
        <v>114</v>
      </c>
      <c r="G1376" s="2" t="s">
        <v>4</v>
      </c>
      <c r="H1376" s="1">
        <v>116.49400000000001</v>
      </c>
    </row>
    <row r="1377" spans="1:8" x14ac:dyDescent="0.3">
      <c r="A1377" s="2">
        <v>579</v>
      </c>
      <c r="B1377" t="s">
        <v>2802</v>
      </c>
      <c r="C1377" t="s">
        <v>3334</v>
      </c>
      <c r="D1377" s="2">
        <v>1</v>
      </c>
      <c r="E1377" s="11" t="s">
        <v>2801</v>
      </c>
      <c r="F1377" t="s">
        <v>114</v>
      </c>
      <c r="G1377" s="2" t="s">
        <v>31</v>
      </c>
      <c r="H1377" s="1">
        <v>116.49400000000001</v>
      </c>
    </row>
    <row r="1378" spans="1:8" x14ac:dyDescent="0.3">
      <c r="A1378" s="2">
        <v>579</v>
      </c>
      <c r="B1378" t="s">
        <v>2586</v>
      </c>
      <c r="C1378" t="s">
        <v>3224</v>
      </c>
      <c r="D1378" s="2">
        <v>1</v>
      </c>
      <c r="E1378" s="11" t="s">
        <v>2554</v>
      </c>
      <c r="F1378" t="s">
        <v>114</v>
      </c>
      <c r="G1378" s="2" t="s">
        <v>23</v>
      </c>
      <c r="H1378" s="1">
        <v>74.094000000000008</v>
      </c>
    </row>
    <row r="1379" spans="1:8" x14ac:dyDescent="0.3">
      <c r="A1379" s="2">
        <v>579</v>
      </c>
      <c r="B1379" t="s">
        <v>2585</v>
      </c>
      <c r="C1379" t="s">
        <v>3221</v>
      </c>
      <c r="D1379" s="2">
        <v>1</v>
      </c>
      <c r="E1379" s="11" t="s">
        <v>1462</v>
      </c>
      <c r="F1379" t="s">
        <v>114</v>
      </c>
      <c r="G1379" s="2" t="s">
        <v>31</v>
      </c>
      <c r="H1379" s="1">
        <v>116.49400000000001</v>
      </c>
    </row>
    <row r="1380" spans="1:8" x14ac:dyDescent="0.3">
      <c r="A1380" s="2">
        <v>579</v>
      </c>
      <c r="B1380" t="s">
        <v>1682</v>
      </c>
      <c r="C1380" t="s">
        <v>3221</v>
      </c>
      <c r="D1380" s="2">
        <v>1</v>
      </c>
      <c r="E1380" s="11" t="s">
        <v>1462</v>
      </c>
      <c r="F1380" t="s">
        <v>114</v>
      </c>
      <c r="G1380" s="2" t="s">
        <v>23</v>
      </c>
      <c r="H1380" s="1">
        <v>116.49400000000001</v>
      </c>
    </row>
    <row r="1381" spans="1:8" x14ac:dyDescent="0.3">
      <c r="A1381" s="2">
        <v>579</v>
      </c>
      <c r="B1381" t="s">
        <v>2838</v>
      </c>
      <c r="C1381" t="s">
        <v>3224</v>
      </c>
      <c r="D1381" s="2">
        <v>1</v>
      </c>
      <c r="E1381" s="11" t="s">
        <v>2150</v>
      </c>
      <c r="F1381" t="s">
        <v>114</v>
      </c>
      <c r="G1381" s="2" t="s">
        <v>23</v>
      </c>
      <c r="H1381" s="1">
        <v>74.094000000000008</v>
      </c>
    </row>
    <row r="1382" spans="1:8" x14ac:dyDescent="0.3">
      <c r="A1382" s="2">
        <v>579</v>
      </c>
      <c r="B1382" t="s">
        <v>2837</v>
      </c>
      <c r="C1382" t="s">
        <v>3217</v>
      </c>
      <c r="D1382" s="2">
        <v>1</v>
      </c>
      <c r="E1382" s="11" t="s">
        <v>1948</v>
      </c>
      <c r="F1382" t="s">
        <v>114</v>
      </c>
      <c r="G1382" s="2" t="s">
        <v>31</v>
      </c>
      <c r="H1382" s="1">
        <v>63.494000000000007</v>
      </c>
    </row>
    <row r="1383" spans="1:8" x14ac:dyDescent="0.3">
      <c r="A1383" s="2">
        <v>579</v>
      </c>
      <c r="B1383" t="s">
        <v>2836</v>
      </c>
      <c r="C1383" t="s">
        <v>3217</v>
      </c>
      <c r="D1383" s="2">
        <v>1</v>
      </c>
      <c r="E1383" s="11" t="s">
        <v>1948</v>
      </c>
      <c r="F1383" t="s">
        <v>114</v>
      </c>
      <c r="G1383" s="2" t="s">
        <v>23</v>
      </c>
      <c r="H1383" s="1">
        <v>63.494000000000007</v>
      </c>
    </row>
    <row r="1384" spans="1:8" x14ac:dyDescent="0.3">
      <c r="A1384" s="2">
        <v>579</v>
      </c>
      <c r="B1384" t="s">
        <v>1019</v>
      </c>
      <c r="C1384" t="s">
        <v>3220</v>
      </c>
      <c r="D1384" s="2">
        <v>1</v>
      </c>
      <c r="E1384" s="11" t="s">
        <v>204</v>
      </c>
      <c r="F1384" t="s">
        <v>683</v>
      </c>
      <c r="G1384" s="2" t="s">
        <v>31</v>
      </c>
      <c r="H1384" s="1">
        <v>42.294000000000004</v>
      </c>
    </row>
    <row r="1385" spans="1:8" x14ac:dyDescent="0.3">
      <c r="A1385" s="2">
        <v>579</v>
      </c>
      <c r="B1385" t="s">
        <v>1136</v>
      </c>
      <c r="C1385" t="s">
        <v>1</v>
      </c>
      <c r="D1385" s="2">
        <v>1</v>
      </c>
      <c r="E1385" s="11" t="s">
        <v>53</v>
      </c>
      <c r="F1385" t="s">
        <v>36</v>
      </c>
      <c r="G1385" s="2" t="s">
        <v>31</v>
      </c>
      <c r="H1385" s="1">
        <v>36.994</v>
      </c>
    </row>
    <row r="1386" spans="1:8" x14ac:dyDescent="0.3">
      <c r="A1386" s="2">
        <v>579</v>
      </c>
      <c r="B1386" t="s">
        <v>2673</v>
      </c>
      <c r="C1386" t="s">
        <v>3224</v>
      </c>
      <c r="D1386" s="2">
        <v>1</v>
      </c>
      <c r="E1386" s="11" t="s">
        <v>2407</v>
      </c>
      <c r="F1386" t="s">
        <v>36</v>
      </c>
      <c r="G1386" s="2" t="s">
        <v>31</v>
      </c>
      <c r="H1386" s="1">
        <v>84.694000000000017</v>
      </c>
    </row>
    <row r="1387" spans="1:8" x14ac:dyDescent="0.3">
      <c r="A1387" s="2">
        <v>579</v>
      </c>
      <c r="B1387" t="s">
        <v>2229</v>
      </c>
      <c r="C1387" t="s">
        <v>3219</v>
      </c>
      <c r="D1387" s="2">
        <v>1</v>
      </c>
      <c r="E1387" s="11" t="s">
        <v>2228</v>
      </c>
      <c r="F1387" t="s">
        <v>47</v>
      </c>
      <c r="G1387" s="2" t="s">
        <v>4</v>
      </c>
      <c r="H1387" s="1">
        <v>137.69400000000002</v>
      </c>
    </row>
    <row r="1388" spans="1:8" x14ac:dyDescent="0.3">
      <c r="A1388" s="2">
        <v>579</v>
      </c>
      <c r="B1388" t="s">
        <v>925</v>
      </c>
      <c r="C1388" t="s">
        <v>3219</v>
      </c>
      <c r="D1388" s="2">
        <v>1</v>
      </c>
      <c r="E1388" s="11" t="s">
        <v>534</v>
      </c>
      <c r="F1388" t="s">
        <v>47</v>
      </c>
      <c r="G1388" s="2" t="s">
        <v>23</v>
      </c>
      <c r="H1388" s="1">
        <v>89.994000000000014</v>
      </c>
    </row>
    <row r="1389" spans="1:8" x14ac:dyDescent="0.3">
      <c r="A1389" s="2">
        <v>579</v>
      </c>
      <c r="B1389" t="s">
        <v>2835</v>
      </c>
      <c r="C1389" t="s">
        <v>3334</v>
      </c>
      <c r="D1389" s="2">
        <v>1</v>
      </c>
      <c r="E1389" s="11" t="s">
        <v>2801</v>
      </c>
      <c r="F1389" t="s">
        <v>47</v>
      </c>
      <c r="G1389" s="2" t="s">
        <v>4</v>
      </c>
      <c r="H1389" s="1">
        <v>116.49400000000001</v>
      </c>
    </row>
    <row r="1390" spans="1:8" x14ac:dyDescent="0.3">
      <c r="A1390" s="2">
        <v>579</v>
      </c>
      <c r="B1390" t="s">
        <v>2834</v>
      </c>
      <c r="C1390" t="s">
        <v>3334</v>
      </c>
      <c r="D1390" s="2">
        <v>1</v>
      </c>
      <c r="E1390" s="11" t="s">
        <v>2801</v>
      </c>
      <c r="F1390" t="s">
        <v>47</v>
      </c>
      <c r="G1390" s="2" t="s">
        <v>31</v>
      </c>
      <c r="H1390" s="1">
        <v>116.49400000000001</v>
      </c>
    </row>
    <row r="1391" spans="1:8" x14ac:dyDescent="0.3">
      <c r="A1391" s="2">
        <v>579</v>
      </c>
      <c r="B1391" t="s">
        <v>2581</v>
      </c>
      <c r="C1391" t="s">
        <v>3225</v>
      </c>
      <c r="D1391" s="2">
        <v>1</v>
      </c>
      <c r="E1391" s="11" t="s">
        <v>2511</v>
      </c>
      <c r="F1391" t="s">
        <v>47</v>
      </c>
      <c r="G1391" s="2" t="s">
        <v>23</v>
      </c>
      <c r="H1391" s="1">
        <v>164.19400000000002</v>
      </c>
    </row>
    <row r="1392" spans="1:8" x14ac:dyDescent="0.3">
      <c r="A1392" s="2">
        <v>579</v>
      </c>
      <c r="B1392" t="s">
        <v>2833</v>
      </c>
      <c r="C1392" t="s">
        <v>1</v>
      </c>
      <c r="D1392" s="2">
        <v>1</v>
      </c>
      <c r="E1392" s="11" t="s">
        <v>2269</v>
      </c>
      <c r="F1392" t="s">
        <v>47</v>
      </c>
      <c r="G1392" s="2" t="s">
        <v>31</v>
      </c>
      <c r="H1392" s="1">
        <v>74.094000000000008</v>
      </c>
    </row>
    <row r="1393" spans="1:8" x14ac:dyDescent="0.3">
      <c r="A1393" s="2">
        <v>579</v>
      </c>
      <c r="B1393" t="s">
        <v>2832</v>
      </c>
      <c r="C1393" t="s">
        <v>0</v>
      </c>
      <c r="D1393" s="2">
        <v>1</v>
      </c>
      <c r="E1393" s="11" t="s">
        <v>2784</v>
      </c>
      <c r="F1393" t="s">
        <v>47</v>
      </c>
      <c r="G1393" s="2" t="s">
        <v>23</v>
      </c>
      <c r="H1393" s="1">
        <v>148.29400000000001</v>
      </c>
    </row>
    <row r="1394" spans="1:8" x14ac:dyDescent="0.3">
      <c r="A1394" s="2">
        <v>579</v>
      </c>
      <c r="B1394" t="s">
        <v>1465</v>
      </c>
      <c r="C1394" t="s">
        <v>3221</v>
      </c>
      <c r="D1394" s="2">
        <v>1</v>
      </c>
      <c r="E1394" s="11" t="s">
        <v>1462</v>
      </c>
      <c r="F1394" t="s">
        <v>47</v>
      </c>
      <c r="G1394" s="2" t="s">
        <v>4</v>
      </c>
      <c r="H1394" s="1">
        <v>116.49400000000001</v>
      </c>
    </row>
    <row r="1395" spans="1:8" x14ac:dyDescent="0.3">
      <c r="A1395" s="2">
        <v>579</v>
      </c>
      <c r="B1395" t="s">
        <v>1464</v>
      </c>
      <c r="C1395" t="s">
        <v>3221</v>
      </c>
      <c r="D1395" s="2">
        <v>1</v>
      </c>
      <c r="E1395" s="11" t="s">
        <v>1462</v>
      </c>
      <c r="F1395" t="s">
        <v>47</v>
      </c>
      <c r="G1395" s="2" t="s">
        <v>31</v>
      </c>
      <c r="H1395" s="1">
        <v>116.49400000000001</v>
      </c>
    </row>
    <row r="1396" spans="1:8" x14ac:dyDescent="0.3">
      <c r="A1396" s="2">
        <v>579</v>
      </c>
      <c r="B1396" t="s">
        <v>2831</v>
      </c>
      <c r="C1396" t="s">
        <v>3219</v>
      </c>
      <c r="D1396" s="2">
        <v>1</v>
      </c>
      <c r="E1396" s="11" t="s">
        <v>1729</v>
      </c>
      <c r="F1396" t="s">
        <v>47</v>
      </c>
      <c r="G1396" s="2" t="s">
        <v>31</v>
      </c>
      <c r="H1396" s="1">
        <v>148.29400000000001</v>
      </c>
    </row>
    <row r="1397" spans="1:8" x14ac:dyDescent="0.3">
      <c r="A1397" s="2">
        <v>579</v>
      </c>
      <c r="B1397" t="s">
        <v>2830</v>
      </c>
      <c r="C1397" t="s">
        <v>0</v>
      </c>
      <c r="D1397" s="2">
        <v>1</v>
      </c>
      <c r="E1397" s="11" t="s">
        <v>2829</v>
      </c>
      <c r="F1397" t="s">
        <v>47</v>
      </c>
      <c r="G1397" s="2" t="s">
        <v>23</v>
      </c>
      <c r="H1397" s="1">
        <v>148.29400000000001</v>
      </c>
    </row>
    <row r="1398" spans="1:8" x14ac:dyDescent="0.3">
      <c r="A1398" s="2">
        <v>579</v>
      </c>
      <c r="B1398" t="s">
        <v>2828</v>
      </c>
      <c r="C1398" t="s">
        <v>3219</v>
      </c>
      <c r="D1398" s="2">
        <v>1</v>
      </c>
      <c r="E1398" s="11" t="s">
        <v>2237</v>
      </c>
      <c r="F1398" t="s">
        <v>47</v>
      </c>
      <c r="G1398" s="2" t="s">
        <v>31</v>
      </c>
      <c r="H1398" s="1">
        <v>185.39400000000001</v>
      </c>
    </row>
    <row r="1399" spans="1:8" x14ac:dyDescent="0.3">
      <c r="A1399" s="2">
        <v>579</v>
      </c>
      <c r="B1399" t="s">
        <v>2575</v>
      </c>
      <c r="C1399" t="s">
        <v>3219</v>
      </c>
      <c r="D1399" s="2">
        <v>1</v>
      </c>
      <c r="E1399" s="11" t="s">
        <v>2237</v>
      </c>
      <c r="F1399" t="s">
        <v>47</v>
      </c>
      <c r="G1399" s="2" t="s">
        <v>23</v>
      </c>
      <c r="H1399" s="1">
        <v>185.39400000000001</v>
      </c>
    </row>
    <row r="1400" spans="1:8" x14ac:dyDescent="0.3">
      <c r="A1400" s="2">
        <v>579</v>
      </c>
      <c r="B1400" t="s">
        <v>2827</v>
      </c>
      <c r="C1400" t="s">
        <v>3217</v>
      </c>
      <c r="D1400" s="2">
        <v>1</v>
      </c>
      <c r="E1400" s="11" t="s">
        <v>1948</v>
      </c>
      <c r="F1400" t="s">
        <v>47</v>
      </c>
      <c r="G1400" s="2" t="s">
        <v>31</v>
      </c>
      <c r="H1400" s="1">
        <v>63.494000000000007</v>
      </c>
    </row>
    <row r="1401" spans="1:8" x14ac:dyDescent="0.3">
      <c r="A1401" s="2">
        <v>579</v>
      </c>
      <c r="B1401" t="s">
        <v>1949</v>
      </c>
      <c r="C1401" t="s">
        <v>3217</v>
      </c>
      <c r="D1401" s="2">
        <v>1</v>
      </c>
      <c r="E1401" s="11" t="s">
        <v>1948</v>
      </c>
      <c r="F1401" t="s">
        <v>47</v>
      </c>
      <c r="G1401" s="2" t="s">
        <v>23</v>
      </c>
      <c r="H1401" s="1">
        <v>63.494000000000007</v>
      </c>
    </row>
    <row r="1402" spans="1:8" x14ac:dyDescent="0.3">
      <c r="A1402" s="2">
        <v>579</v>
      </c>
      <c r="B1402" t="s">
        <v>2826</v>
      </c>
      <c r="C1402" t="s">
        <v>3217</v>
      </c>
      <c r="D1402" s="2">
        <v>1</v>
      </c>
      <c r="E1402" s="11" t="s">
        <v>2654</v>
      </c>
      <c r="F1402" t="s">
        <v>39</v>
      </c>
      <c r="G1402" s="2" t="s">
        <v>31</v>
      </c>
      <c r="H1402" s="1">
        <v>26.393999999999998</v>
      </c>
    </row>
    <row r="1403" spans="1:8" x14ac:dyDescent="0.3">
      <c r="A1403" s="2">
        <v>579</v>
      </c>
      <c r="B1403" t="s">
        <v>709</v>
      </c>
      <c r="C1403" t="s">
        <v>1</v>
      </c>
      <c r="D1403" s="2">
        <v>1</v>
      </c>
      <c r="E1403" s="11" t="s">
        <v>285</v>
      </c>
      <c r="F1403" t="s">
        <v>39</v>
      </c>
      <c r="G1403" s="2" t="s">
        <v>23</v>
      </c>
      <c r="H1403" s="1">
        <v>68.794000000000011</v>
      </c>
    </row>
    <row r="1404" spans="1:8" x14ac:dyDescent="0.3">
      <c r="A1404" s="2">
        <v>579</v>
      </c>
      <c r="B1404" t="s">
        <v>1695</v>
      </c>
      <c r="C1404" t="s">
        <v>3219</v>
      </c>
      <c r="D1404" s="2">
        <v>1</v>
      </c>
      <c r="E1404" s="11" t="s">
        <v>977</v>
      </c>
      <c r="F1404" t="s">
        <v>39</v>
      </c>
      <c r="G1404" s="2" t="s">
        <v>4</v>
      </c>
      <c r="H1404" s="1">
        <v>116.49400000000001</v>
      </c>
    </row>
    <row r="1405" spans="1:8" x14ac:dyDescent="0.3">
      <c r="A1405" s="2">
        <v>579</v>
      </c>
      <c r="B1405" t="s">
        <v>1437</v>
      </c>
      <c r="C1405" t="s">
        <v>3221</v>
      </c>
      <c r="D1405" s="2">
        <v>1</v>
      </c>
      <c r="E1405" s="11" t="s">
        <v>383</v>
      </c>
      <c r="F1405" t="s">
        <v>39</v>
      </c>
      <c r="G1405" s="2" t="s">
        <v>4</v>
      </c>
      <c r="H1405" s="1">
        <v>164.19400000000002</v>
      </c>
    </row>
    <row r="1406" spans="1:8" x14ac:dyDescent="0.3">
      <c r="A1406" s="2">
        <v>579</v>
      </c>
      <c r="B1406" t="s">
        <v>2825</v>
      </c>
      <c r="C1406" t="s">
        <v>1</v>
      </c>
      <c r="D1406" s="2">
        <v>1</v>
      </c>
      <c r="E1406" s="11" t="s">
        <v>2136</v>
      </c>
      <c r="F1406" t="s">
        <v>39</v>
      </c>
      <c r="G1406" s="2" t="s">
        <v>31</v>
      </c>
      <c r="H1406" s="1">
        <v>52.893999999999998</v>
      </c>
    </row>
    <row r="1407" spans="1:8" x14ac:dyDescent="0.3">
      <c r="A1407" s="2">
        <v>579</v>
      </c>
      <c r="B1407" t="s">
        <v>2824</v>
      </c>
      <c r="C1407" t="s">
        <v>3220</v>
      </c>
      <c r="D1407" s="2">
        <v>1</v>
      </c>
      <c r="E1407" s="11" t="s">
        <v>2592</v>
      </c>
      <c r="F1407" t="s">
        <v>39</v>
      </c>
      <c r="G1407" s="2" t="s">
        <v>23</v>
      </c>
      <c r="H1407" s="1">
        <v>21.094000000000001</v>
      </c>
    </row>
    <row r="1408" spans="1:8" x14ac:dyDescent="0.3">
      <c r="A1408" s="2">
        <v>579</v>
      </c>
      <c r="B1408" t="s">
        <v>2823</v>
      </c>
      <c r="C1408" t="s">
        <v>1</v>
      </c>
      <c r="D1408" s="2">
        <v>1</v>
      </c>
      <c r="E1408" s="11" t="s">
        <v>2269</v>
      </c>
      <c r="F1408" t="s">
        <v>39</v>
      </c>
      <c r="G1408" s="2" t="s">
        <v>23</v>
      </c>
      <c r="H1408" s="1">
        <v>74.094000000000008</v>
      </c>
    </row>
    <row r="1409" spans="1:8" x14ac:dyDescent="0.3">
      <c r="A1409" s="2">
        <v>579</v>
      </c>
      <c r="B1409" t="s">
        <v>2571</v>
      </c>
      <c r="C1409" t="s">
        <v>3221</v>
      </c>
      <c r="D1409" s="2">
        <v>1</v>
      </c>
      <c r="E1409" s="11" t="s">
        <v>1462</v>
      </c>
      <c r="F1409" t="s">
        <v>39</v>
      </c>
      <c r="G1409" s="2" t="s">
        <v>23</v>
      </c>
      <c r="H1409" s="1">
        <v>116.49400000000001</v>
      </c>
    </row>
    <row r="1410" spans="1:8" x14ac:dyDescent="0.3">
      <c r="A1410" s="2">
        <v>579</v>
      </c>
      <c r="B1410" t="s">
        <v>2822</v>
      </c>
      <c r="C1410" t="s">
        <v>3217</v>
      </c>
      <c r="D1410" s="2">
        <v>1</v>
      </c>
      <c r="E1410" s="11" t="s">
        <v>2613</v>
      </c>
      <c r="F1410" t="s">
        <v>39</v>
      </c>
      <c r="G1410" s="2" t="s">
        <v>31</v>
      </c>
      <c r="H1410" s="1">
        <v>79.394000000000005</v>
      </c>
    </row>
    <row r="1411" spans="1:8" x14ac:dyDescent="0.3">
      <c r="A1411" s="2">
        <v>579</v>
      </c>
      <c r="B1411" t="s">
        <v>2821</v>
      </c>
      <c r="C1411" t="s">
        <v>2</v>
      </c>
      <c r="D1411" s="2">
        <v>1</v>
      </c>
      <c r="E1411" s="11" t="s">
        <v>2128</v>
      </c>
      <c r="F1411" t="s">
        <v>39</v>
      </c>
      <c r="G1411" s="2" t="s">
        <v>31</v>
      </c>
      <c r="H1411" s="1">
        <v>116.49400000000001</v>
      </c>
    </row>
    <row r="1412" spans="1:8" x14ac:dyDescent="0.3">
      <c r="A1412" s="2">
        <v>579</v>
      </c>
      <c r="B1412" t="s">
        <v>2516</v>
      </c>
      <c r="C1412" t="s">
        <v>3219</v>
      </c>
      <c r="D1412" s="2">
        <v>1</v>
      </c>
      <c r="E1412" s="11" t="s">
        <v>1845</v>
      </c>
      <c r="F1412" t="s">
        <v>39</v>
      </c>
      <c r="G1412" s="2" t="s">
        <v>4</v>
      </c>
      <c r="H1412" s="1">
        <v>180.09400000000002</v>
      </c>
    </row>
    <row r="1413" spans="1:8" x14ac:dyDescent="0.3">
      <c r="A1413" s="2">
        <v>579</v>
      </c>
      <c r="B1413" t="s">
        <v>99</v>
      </c>
      <c r="C1413" t="s">
        <v>2</v>
      </c>
      <c r="D1413" s="2">
        <v>1</v>
      </c>
      <c r="E1413" s="11" t="s">
        <v>60</v>
      </c>
      <c r="F1413" t="s">
        <v>39</v>
      </c>
      <c r="G1413" s="2" t="s">
        <v>23</v>
      </c>
      <c r="H1413" s="1">
        <v>68.794000000000011</v>
      </c>
    </row>
    <row r="1414" spans="1:8" x14ac:dyDescent="0.3">
      <c r="A1414" s="2">
        <v>579</v>
      </c>
      <c r="B1414" t="s">
        <v>708</v>
      </c>
      <c r="C1414" t="s">
        <v>3220</v>
      </c>
      <c r="D1414" s="2">
        <v>1</v>
      </c>
      <c r="E1414" s="11" t="s">
        <v>204</v>
      </c>
      <c r="F1414" t="s">
        <v>39</v>
      </c>
      <c r="G1414" s="2" t="s">
        <v>23</v>
      </c>
      <c r="H1414" s="1">
        <v>42.294000000000004</v>
      </c>
    </row>
    <row r="1415" spans="1:8" x14ac:dyDescent="0.3">
      <c r="A1415" s="2">
        <v>579</v>
      </c>
      <c r="B1415" t="s">
        <v>2248</v>
      </c>
      <c r="C1415" t="s">
        <v>3221</v>
      </c>
      <c r="D1415" s="2">
        <v>1</v>
      </c>
      <c r="E1415" s="11" t="s">
        <v>1462</v>
      </c>
      <c r="F1415" t="s">
        <v>36</v>
      </c>
      <c r="G1415" s="2" t="s">
        <v>31</v>
      </c>
      <c r="H1415" s="1">
        <v>116.49400000000001</v>
      </c>
    </row>
    <row r="1416" spans="1:8" x14ac:dyDescent="0.3">
      <c r="A1416" s="2">
        <v>579</v>
      </c>
      <c r="B1416" t="s">
        <v>2820</v>
      </c>
      <c r="C1416" t="s">
        <v>1</v>
      </c>
      <c r="D1416" s="2">
        <v>1</v>
      </c>
      <c r="E1416" s="11" t="s">
        <v>53</v>
      </c>
      <c r="F1416" t="s">
        <v>1186</v>
      </c>
      <c r="G1416" s="2" t="s">
        <v>4</v>
      </c>
      <c r="H1416" s="1">
        <v>36.994</v>
      </c>
    </row>
    <row r="1417" spans="1:8" x14ac:dyDescent="0.3">
      <c r="A1417" s="2">
        <v>579</v>
      </c>
      <c r="B1417" t="s">
        <v>1816</v>
      </c>
      <c r="C1417" t="s">
        <v>3220</v>
      </c>
      <c r="D1417" s="2">
        <v>1</v>
      </c>
      <c r="E1417" s="11" t="s">
        <v>204</v>
      </c>
      <c r="F1417" t="s">
        <v>1116</v>
      </c>
      <c r="G1417" s="2" t="s">
        <v>4</v>
      </c>
      <c r="H1417" s="1">
        <v>42.294000000000004</v>
      </c>
    </row>
    <row r="1418" spans="1:8" x14ac:dyDescent="0.3">
      <c r="A1418" s="2">
        <v>579</v>
      </c>
      <c r="B1418" t="s">
        <v>2102</v>
      </c>
      <c r="C1418" t="s">
        <v>2</v>
      </c>
      <c r="D1418" s="2">
        <v>1</v>
      </c>
      <c r="E1418" s="11" t="s">
        <v>2081</v>
      </c>
      <c r="F1418" t="s">
        <v>28</v>
      </c>
      <c r="G1418" s="2" t="s">
        <v>4</v>
      </c>
      <c r="H1418" s="1">
        <v>74.094000000000008</v>
      </c>
    </row>
    <row r="1419" spans="1:8" x14ac:dyDescent="0.3">
      <c r="A1419" s="2">
        <v>579</v>
      </c>
      <c r="B1419" t="s">
        <v>2819</v>
      </c>
      <c r="C1419" t="s">
        <v>3217</v>
      </c>
      <c r="D1419" s="2">
        <v>1</v>
      </c>
      <c r="E1419" s="11" t="s">
        <v>2613</v>
      </c>
      <c r="F1419" t="s">
        <v>28</v>
      </c>
      <c r="G1419" s="2" t="s">
        <v>23</v>
      </c>
      <c r="H1419" s="1">
        <v>79.394000000000005</v>
      </c>
    </row>
    <row r="1420" spans="1:8" x14ac:dyDescent="0.3">
      <c r="A1420" s="2">
        <v>579</v>
      </c>
      <c r="B1420" t="s">
        <v>2818</v>
      </c>
      <c r="C1420" t="s">
        <v>3217</v>
      </c>
      <c r="D1420" s="2">
        <v>1</v>
      </c>
      <c r="E1420" s="11" t="s">
        <v>1948</v>
      </c>
      <c r="F1420" t="s">
        <v>28</v>
      </c>
      <c r="G1420" s="2" t="s">
        <v>4</v>
      </c>
      <c r="H1420" s="1">
        <v>63.494000000000007</v>
      </c>
    </row>
    <row r="1421" spans="1:8" x14ac:dyDescent="0.3">
      <c r="A1421" s="2">
        <v>580</v>
      </c>
      <c r="B1421" t="s">
        <v>2817</v>
      </c>
      <c r="C1421" t="s">
        <v>3220</v>
      </c>
      <c r="D1421" s="2">
        <v>1</v>
      </c>
      <c r="E1421" s="11" t="s">
        <v>2816</v>
      </c>
      <c r="F1421" t="s">
        <v>28</v>
      </c>
      <c r="G1421" s="2" t="s">
        <v>31</v>
      </c>
      <c r="H1421" s="1">
        <v>63.494000000000007</v>
      </c>
    </row>
    <row r="1422" spans="1:8" x14ac:dyDescent="0.3">
      <c r="A1422" s="2">
        <v>580</v>
      </c>
      <c r="B1422" t="s">
        <v>2815</v>
      </c>
      <c r="C1422" t="s">
        <v>3219</v>
      </c>
      <c r="D1422" s="2">
        <v>1</v>
      </c>
      <c r="E1422" s="11" t="s">
        <v>2237</v>
      </c>
      <c r="F1422" t="s">
        <v>28</v>
      </c>
      <c r="G1422" s="2" t="s">
        <v>23</v>
      </c>
      <c r="H1422" s="1">
        <v>185.39400000000001</v>
      </c>
    </row>
    <row r="1423" spans="1:8" x14ac:dyDescent="0.3">
      <c r="A1423" s="2">
        <v>580</v>
      </c>
      <c r="B1423" t="s">
        <v>2814</v>
      </c>
      <c r="C1423" t="s">
        <v>3220</v>
      </c>
      <c r="D1423" s="2">
        <v>1</v>
      </c>
      <c r="E1423" s="11" t="s">
        <v>2419</v>
      </c>
      <c r="F1423" t="s">
        <v>959</v>
      </c>
      <c r="G1423" s="2" t="s">
        <v>31</v>
      </c>
      <c r="H1423" s="1">
        <v>47.594000000000001</v>
      </c>
    </row>
    <row r="1424" spans="1:8" x14ac:dyDescent="0.3">
      <c r="A1424" s="2">
        <v>580</v>
      </c>
      <c r="B1424" t="s">
        <v>2813</v>
      </c>
      <c r="C1424" t="s">
        <v>3221</v>
      </c>
      <c r="D1424" s="2">
        <v>1</v>
      </c>
      <c r="E1424" s="11" t="s">
        <v>642</v>
      </c>
      <c r="F1424" t="s">
        <v>114</v>
      </c>
      <c r="G1424" s="2" t="s">
        <v>4</v>
      </c>
      <c r="H1424" s="1">
        <v>95.294000000000011</v>
      </c>
    </row>
    <row r="1425" spans="1:8" x14ac:dyDescent="0.3">
      <c r="A1425" s="2">
        <v>580</v>
      </c>
      <c r="B1425" t="s">
        <v>2812</v>
      </c>
      <c r="C1425" t="s">
        <v>3224</v>
      </c>
      <c r="D1425" s="2">
        <v>1</v>
      </c>
      <c r="E1425" s="11" t="s">
        <v>2495</v>
      </c>
      <c r="F1425" t="s">
        <v>39</v>
      </c>
      <c r="G1425" s="2" t="s">
        <v>4</v>
      </c>
      <c r="H1425" s="1">
        <v>95.294000000000011</v>
      </c>
    </row>
    <row r="1426" spans="1:8" x14ac:dyDescent="0.3">
      <c r="A1426" s="2">
        <v>580</v>
      </c>
      <c r="B1426" t="s">
        <v>99</v>
      </c>
      <c r="C1426" t="s">
        <v>2</v>
      </c>
      <c r="D1426" s="2">
        <v>1</v>
      </c>
      <c r="E1426" s="11" t="s">
        <v>60</v>
      </c>
      <c r="F1426" t="s">
        <v>39</v>
      </c>
      <c r="G1426" s="2" t="s">
        <v>23</v>
      </c>
      <c r="H1426" s="1">
        <v>68.794000000000011</v>
      </c>
    </row>
    <row r="1427" spans="1:8" x14ac:dyDescent="0.3">
      <c r="A1427" s="2">
        <v>580</v>
      </c>
      <c r="B1427" t="s">
        <v>2811</v>
      </c>
      <c r="C1427" t="s">
        <v>2</v>
      </c>
      <c r="D1427" s="2">
        <v>2</v>
      </c>
      <c r="E1427" s="11" t="s">
        <v>2126</v>
      </c>
      <c r="F1427" t="s">
        <v>28</v>
      </c>
      <c r="G1427" s="2" t="s">
        <v>31</v>
      </c>
      <c r="H1427" s="1">
        <v>95.294000000000011</v>
      </c>
    </row>
    <row r="1428" spans="1:8" x14ac:dyDescent="0.3">
      <c r="A1428" s="2">
        <v>580</v>
      </c>
      <c r="B1428" t="s">
        <v>2810</v>
      </c>
      <c r="C1428" t="s">
        <v>2</v>
      </c>
      <c r="D1428" s="2">
        <v>1</v>
      </c>
      <c r="E1428" s="11" t="s">
        <v>2126</v>
      </c>
      <c r="F1428" t="s">
        <v>28</v>
      </c>
      <c r="G1428" s="2" t="s">
        <v>23</v>
      </c>
      <c r="H1428" s="1">
        <v>95.294000000000011</v>
      </c>
    </row>
    <row r="1429" spans="1:8" x14ac:dyDescent="0.3">
      <c r="A1429" s="2">
        <v>580</v>
      </c>
      <c r="B1429" t="s">
        <v>2809</v>
      </c>
      <c r="C1429" t="s">
        <v>3224</v>
      </c>
      <c r="D1429" s="2">
        <v>2</v>
      </c>
      <c r="E1429" s="11" t="s">
        <v>2426</v>
      </c>
      <c r="F1429" t="s">
        <v>28</v>
      </c>
      <c r="G1429" s="2" t="s">
        <v>31</v>
      </c>
      <c r="H1429" s="1">
        <v>95.294000000000011</v>
      </c>
    </row>
    <row r="1430" spans="1:8" x14ac:dyDescent="0.3">
      <c r="A1430" s="2">
        <v>580</v>
      </c>
      <c r="B1430" t="s">
        <v>2808</v>
      </c>
      <c r="C1430" t="s">
        <v>3224</v>
      </c>
      <c r="D1430" s="2">
        <v>1</v>
      </c>
      <c r="E1430" s="11" t="s">
        <v>2426</v>
      </c>
      <c r="F1430" t="s">
        <v>28</v>
      </c>
      <c r="G1430" s="2" t="s">
        <v>23</v>
      </c>
      <c r="H1430" s="1">
        <v>95.294000000000011</v>
      </c>
    </row>
    <row r="1431" spans="1:8" x14ac:dyDescent="0.3">
      <c r="A1431" s="2">
        <v>580</v>
      </c>
      <c r="B1431" t="s">
        <v>2807</v>
      </c>
      <c r="C1431" t="s">
        <v>3219</v>
      </c>
      <c r="D1431" s="2">
        <v>1</v>
      </c>
      <c r="E1431" s="11" t="s">
        <v>2123</v>
      </c>
      <c r="F1431" t="s">
        <v>24</v>
      </c>
      <c r="G1431" s="2" t="s">
        <v>23</v>
      </c>
      <c r="H1431" s="1">
        <v>142.994</v>
      </c>
    </row>
    <row r="1432" spans="1:8" x14ac:dyDescent="0.3">
      <c r="A1432" s="2">
        <v>581</v>
      </c>
      <c r="B1432" t="s">
        <v>2806</v>
      </c>
      <c r="C1432" t="s">
        <v>0</v>
      </c>
      <c r="D1432" s="2">
        <v>1</v>
      </c>
      <c r="E1432" s="11" t="s">
        <v>2483</v>
      </c>
      <c r="F1432" t="s">
        <v>65</v>
      </c>
      <c r="G1432" s="2" t="s">
        <v>4</v>
      </c>
      <c r="H1432" s="1">
        <v>148.29400000000001</v>
      </c>
    </row>
    <row r="1433" spans="1:8" x14ac:dyDescent="0.3">
      <c r="A1433" s="2">
        <v>581</v>
      </c>
      <c r="B1433" t="s">
        <v>2805</v>
      </c>
      <c r="C1433" t="s">
        <v>0</v>
      </c>
      <c r="D1433" s="2">
        <v>1</v>
      </c>
      <c r="E1433" s="11" t="s">
        <v>2483</v>
      </c>
      <c r="F1433" t="s">
        <v>65</v>
      </c>
      <c r="G1433" s="2" t="s">
        <v>31</v>
      </c>
      <c r="H1433" s="1">
        <v>148.29400000000001</v>
      </c>
    </row>
    <row r="1434" spans="1:8" x14ac:dyDescent="0.3">
      <c r="A1434" s="2">
        <v>581</v>
      </c>
      <c r="B1434" t="s">
        <v>2434</v>
      </c>
      <c r="C1434" t="s">
        <v>2</v>
      </c>
      <c r="D1434" s="2">
        <v>1</v>
      </c>
      <c r="E1434" s="11" t="s">
        <v>2128</v>
      </c>
      <c r="F1434" t="s">
        <v>65</v>
      </c>
      <c r="G1434" s="2" t="s">
        <v>31</v>
      </c>
      <c r="H1434" s="1">
        <v>116.49400000000001</v>
      </c>
    </row>
    <row r="1435" spans="1:8" x14ac:dyDescent="0.3">
      <c r="A1435" s="2">
        <v>581</v>
      </c>
      <c r="B1435" t="s">
        <v>2433</v>
      </c>
      <c r="C1435" t="s">
        <v>0</v>
      </c>
      <c r="D1435" s="2">
        <v>1</v>
      </c>
      <c r="E1435" s="11" t="s">
        <v>2285</v>
      </c>
      <c r="F1435" t="s">
        <v>65</v>
      </c>
      <c r="G1435" s="2" t="s">
        <v>31</v>
      </c>
      <c r="H1435" s="1">
        <v>158.89400000000001</v>
      </c>
    </row>
    <row r="1436" spans="1:8" x14ac:dyDescent="0.3">
      <c r="A1436" s="2">
        <v>581</v>
      </c>
      <c r="B1436" t="s">
        <v>2804</v>
      </c>
      <c r="C1436" t="s">
        <v>3224</v>
      </c>
      <c r="D1436" s="2">
        <v>1</v>
      </c>
      <c r="E1436" s="11" t="s">
        <v>2803</v>
      </c>
      <c r="F1436" t="s">
        <v>65</v>
      </c>
      <c r="G1436" s="2" t="s">
        <v>31</v>
      </c>
      <c r="H1436" s="1">
        <v>95.294000000000011</v>
      </c>
    </row>
    <row r="1437" spans="1:8" x14ac:dyDescent="0.3">
      <c r="A1437" s="2">
        <v>581</v>
      </c>
      <c r="B1437" t="s">
        <v>2802</v>
      </c>
      <c r="C1437" t="s">
        <v>3334</v>
      </c>
      <c r="D1437" s="2">
        <v>1</v>
      </c>
      <c r="E1437" s="11" t="s">
        <v>2801</v>
      </c>
      <c r="F1437" t="s">
        <v>114</v>
      </c>
      <c r="G1437" s="2" t="s">
        <v>31</v>
      </c>
      <c r="H1437" s="1">
        <v>116.49400000000001</v>
      </c>
    </row>
    <row r="1438" spans="1:8" x14ac:dyDescent="0.3">
      <c r="A1438" s="2">
        <v>581</v>
      </c>
      <c r="B1438" t="s">
        <v>2792</v>
      </c>
      <c r="C1438" t="s">
        <v>3334</v>
      </c>
      <c r="D1438" s="2">
        <v>1</v>
      </c>
      <c r="E1438" s="11" t="s">
        <v>2486</v>
      </c>
      <c r="F1438" t="s">
        <v>114</v>
      </c>
      <c r="G1438" s="2" t="s">
        <v>4</v>
      </c>
      <c r="H1438" s="1">
        <v>105.89400000000001</v>
      </c>
    </row>
    <row r="1439" spans="1:8" x14ac:dyDescent="0.3">
      <c r="A1439" s="2">
        <v>581</v>
      </c>
      <c r="B1439" t="s">
        <v>2781</v>
      </c>
      <c r="C1439" t="s">
        <v>0</v>
      </c>
      <c r="D1439" s="2">
        <v>1</v>
      </c>
      <c r="E1439" s="11" t="s">
        <v>2552</v>
      </c>
      <c r="F1439" t="s">
        <v>114</v>
      </c>
      <c r="G1439" s="2" t="s">
        <v>4</v>
      </c>
      <c r="H1439" s="1">
        <v>206.59400000000002</v>
      </c>
    </row>
    <row r="1440" spans="1:8" x14ac:dyDescent="0.3">
      <c r="A1440" s="2">
        <v>581</v>
      </c>
      <c r="B1440" t="s">
        <v>2780</v>
      </c>
      <c r="C1440" t="s">
        <v>0</v>
      </c>
      <c r="D1440" s="2">
        <v>1</v>
      </c>
      <c r="E1440" s="11" t="s">
        <v>2552</v>
      </c>
      <c r="F1440" t="s">
        <v>114</v>
      </c>
      <c r="G1440" s="2" t="s">
        <v>31</v>
      </c>
      <c r="H1440" s="1">
        <v>206.59400000000002</v>
      </c>
    </row>
    <row r="1441" spans="1:8" x14ac:dyDescent="0.3">
      <c r="A1441" s="2">
        <v>581</v>
      </c>
      <c r="B1441" t="s">
        <v>2480</v>
      </c>
      <c r="C1441" t="s">
        <v>0</v>
      </c>
      <c r="D1441" s="2">
        <v>1</v>
      </c>
      <c r="E1441" s="11" t="s">
        <v>2479</v>
      </c>
      <c r="F1441" t="s">
        <v>683</v>
      </c>
      <c r="G1441" s="2" t="s">
        <v>4</v>
      </c>
      <c r="H1441" s="1">
        <v>132.39400000000001</v>
      </c>
    </row>
    <row r="1442" spans="1:8" x14ac:dyDescent="0.3">
      <c r="A1442" s="2">
        <v>581</v>
      </c>
      <c r="B1442" t="s">
        <v>2129</v>
      </c>
      <c r="C1442" t="s">
        <v>2</v>
      </c>
      <c r="D1442" s="2">
        <v>1</v>
      </c>
      <c r="E1442" s="11" t="s">
        <v>2128</v>
      </c>
      <c r="F1442" t="s">
        <v>39</v>
      </c>
      <c r="G1442" s="2" t="s">
        <v>4</v>
      </c>
      <c r="H1442" s="1">
        <v>116.49400000000001</v>
      </c>
    </row>
    <row r="1443" spans="1:8" x14ac:dyDescent="0.3">
      <c r="A1443" s="2">
        <v>581</v>
      </c>
      <c r="B1443" t="s">
        <v>2291</v>
      </c>
      <c r="C1443" t="s">
        <v>0</v>
      </c>
      <c r="D1443" s="2">
        <v>1</v>
      </c>
      <c r="E1443" s="11" t="s">
        <v>2285</v>
      </c>
      <c r="F1443" t="s">
        <v>39</v>
      </c>
      <c r="G1443" s="2" t="s">
        <v>4</v>
      </c>
      <c r="H1443" s="1">
        <v>158.89400000000001</v>
      </c>
    </row>
    <row r="1444" spans="1:8" x14ac:dyDescent="0.3">
      <c r="A1444" s="2">
        <v>581</v>
      </c>
      <c r="B1444" t="s">
        <v>1121</v>
      </c>
      <c r="C1444" t="s">
        <v>3220</v>
      </c>
      <c r="D1444" s="2">
        <v>1</v>
      </c>
      <c r="E1444" s="11" t="s">
        <v>204</v>
      </c>
      <c r="F1444" t="s">
        <v>39</v>
      </c>
      <c r="G1444" s="2" t="s">
        <v>31</v>
      </c>
      <c r="H1444" s="1">
        <v>42.294000000000004</v>
      </c>
    </row>
    <row r="1445" spans="1:8" x14ac:dyDescent="0.3">
      <c r="A1445" s="2">
        <v>581</v>
      </c>
      <c r="B1445" t="s">
        <v>708</v>
      </c>
      <c r="C1445" t="s">
        <v>3220</v>
      </c>
      <c r="D1445" s="2">
        <v>1</v>
      </c>
      <c r="E1445" s="11" t="s">
        <v>204</v>
      </c>
      <c r="F1445" t="s">
        <v>39</v>
      </c>
      <c r="G1445" s="2" t="s">
        <v>23</v>
      </c>
      <c r="H1445" s="1">
        <v>42.294000000000004</v>
      </c>
    </row>
    <row r="1446" spans="1:8" x14ac:dyDescent="0.3">
      <c r="A1446" s="2">
        <v>582</v>
      </c>
      <c r="B1446" t="s">
        <v>2649</v>
      </c>
      <c r="C1446" t="s">
        <v>3224</v>
      </c>
      <c r="D1446" s="2">
        <v>1</v>
      </c>
      <c r="E1446" s="11" t="s">
        <v>2556</v>
      </c>
      <c r="F1446" t="s">
        <v>65</v>
      </c>
      <c r="G1446" s="2" t="s">
        <v>4</v>
      </c>
      <c r="H1446" s="1">
        <v>100.59400000000001</v>
      </c>
    </row>
    <row r="1447" spans="1:8" x14ac:dyDescent="0.3">
      <c r="A1447" s="2">
        <v>582</v>
      </c>
      <c r="B1447" t="s">
        <v>2800</v>
      </c>
      <c r="C1447" t="s">
        <v>3220</v>
      </c>
      <c r="D1447" s="2">
        <v>1</v>
      </c>
      <c r="E1447" s="11" t="s">
        <v>2492</v>
      </c>
      <c r="F1447" t="s">
        <v>65</v>
      </c>
      <c r="G1447" s="2" t="s">
        <v>4</v>
      </c>
      <c r="H1447" s="1">
        <v>36.994</v>
      </c>
    </row>
    <row r="1448" spans="1:8" x14ac:dyDescent="0.3">
      <c r="A1448" s="2">
        <v>582</v>
      </c>
      <c r="B1448" t="s">
        <v>2799</v>
      </c>
      <c r="C1448" t="s">
        <v>3220</v>
      </c>
      <c r="D1448" s="2">
        <v>1</v>
      </c>
      <c r="E1448" s="11" t="s">
        <v>2793</v>
      </c>
      <c r="F1448" t="s">
        <v>65</v>
      </c>
      <c r="G1448" s="2" t="s">
        <v>4</v>
      </c>
      <c r="H1448" s="1">
        <v>21.094000000000001</v>
      </c>
    </row>
    <row r="1449" spans="1:8" x14ac:dyDescent="0.3">
      <c r="A1449" s="2">
        <v>582</v>
      </c>
      <c r="B1449" t="s">
        <v>2593</v>
      </c>
      <c r="C1449" t="s">
        <v>3220</v>
      </c>
      <c r="D1449" s="2">
        <v>1</v>
      </c>
      <c r="E1449" s="11" t="s">
        <v>2592</v>
      </c>
      <c r="F1449" t="s">
        <v>28</v>
      </c>
      <c r="G1449" s="2" t="s">
        <v>31</v>
      </c>
      <c r="H1449" s="1">
        <v>21.094000000000001</v>
      </c>
    </row>
    <row r="1450" spans="1:8" x14ac:dyDescent="0.3">
      <c r="A1450" s="2">
        <v>582</v>
      </c>
      <c r="B1450" t="s">
        <v>1643</v>
      </c>
      <c r="C1450" t="s">
        <v>3221</v>
      </c>
      <c r="D1450" s="2">
        <v>1</v>
      </c>
      <c r="E1450" s="11" t="s">
        <v>642</v>
      </c>
      <c r="F1450" t="s">
        <v>28</v>
      </c>
      <c r="G1450" s="2" t="s">
        <v>203</v>
      </c>
      <c r="H1450" s="1">
        <v>95.294000000000011</v>
      </c>
    </row>
    <row r="1451" spans="1:8" x14ac:dyDescent="0.3">
      <c r="A1451" s="2">
        <v>582</v>
      </c>
      <c r="B1451" t="s">
        <v>1803</v>
      </c>
      <c r="C1451" t="s">
        <v>3221</v>
      </c>
      <c r="D1451" s="2">
        <v>1</v>
      </c>
      <c r="E1451" s="11" t="s">
        <v>642</v>
      </c>
      <c r="F1451" t="s">
        <v>55</v>
      </c>
      <c r="G1451" s="2" t="s">
        <v>4</v>
      </c>
      <c r="H1451" s="1">
        <v>95.294000000000011</v>
      </c>
    </row>
    <row r="1452" spans="1:8" x14ac:dyDescent="0.3">
      <c r="A1452" s="2">
        <v>582</v>
      </c>
      <c r="B1452" t="s">
        <v>2557</v>
      </c>
      <c r="C1452" t="s">
        <v>3224</v>
      </c>
      <c r="D1452" s="2">
        <v>1</v>
      </c>
      <c r="E1452" s="11" t="s">
        <v>2556</v>
      </c>
      <c r="F1452" t="s">
        <v>959</v>
      </c>
      <c r="G1452" s="2" t="s">
        <v>31</v>
      </c>
      <c r="H1452" s="1">
        <v>100.59400000000001</v>
      </c>
    </row>
    <row r="1453" spans="1:8" x14ac:dyDescent="0.3">
      <c r="A1453" s="2">
        <v>582</v>
      </c>
      <c r="B1453" t="s">
        <v>2494</v>
      </c>
      <c r="C1453" t="s">
        <v>3220</v>
      </c>
      <c r="D1453" s="2">
        <v>2</v>
      </c>
      <c r="E1453" s="11" t="s">
        <v>2318</v>
      </c>
      <c r="F1453" t="s">
        <v>36</v>
      </c>
      <c r="G1453" s="2" t="s">
        <v>31</v>
      </c>
      <c r="H1453" s="1">
        <v>42.294000000000004</v>
      </c>
    </row>
    <row r="1454" spans="1:8" x14ac:dyDescent="0.3">
      <c r="A1454" s="2">
        <v>582</v>
      </c>
      <c r="B1454" t="s">
        <v>2798</v>
      </c>
      <c r="C1454" t="s">
        <v>3219</v>
      </c>
      <c r="D1454" s="2">
        <v>1</v>
      </c>
      <c r="E1454" s="11" t="s">
        <v>2133</v>
      </c>
      <c r="F1454" t="s">
        <v>36</v>
      </c>
      <c r="G1454" s="2" t="s">
        <v>23</v>
      </c>
      <c r="H1454" s="1">
        <v>132.39400000000001</v>
      </c>
    </row>
    <row r="1455" spans="1:8" x14ac:dyDescent="0.3">
      <c r="A1455" s="2">
        <v>582</v>
      </c>
      <c r="B1455" t="s">
        <v>2778</v>
      </c>
      <c r="C1455" t="s">
        <v>3224</v>
      </c>
      <c r="D1455" s="2">
        <v>1</v>
      </c>
      <c r="E1455" s="11" t="s">
        <v>2180</v>
      </c>
      <c r="F1455" t="s">
        <v>36</v>
      </c>
      <c r="G1455" s="2" t="s">
        <v>23</v>
      </c>
      <c r="H1455" s="1">
        <v>84.694000000000017</v>
      </c>
    </row>
    <row r="1456" spans="1:8" x14ac:dyDescent="0.3">
      <c r="A1456" s="2">
        <v>582</v>
      </c>
      <c r="B1456" t="s">
        <v>2797</v>
      </c>
      <c r="C1456" t="s">
        <v>0</v>
      </c>
      <c r="D1456" s="2">
        <v>1</v>
      </c>
      <c r="E1456" s="11" t="s">
        <v>2692</v>
      </c>
      <c r="F1456" t="s">
        <v>47</v>
      </c>
      <c r="G1456" s="2" t="s">
        <v>4</v>
      </c>
      <c r="H1456" s="1">
        <v>158.89400000000001</v>
      </c>
    </row>
    <row r="1457" spans="1:8" x14ac:dyDescent="0.3">
      <c r="A1457" s="2">
        <v>582</v>
      </c>
      <c r="B1457" t="s">
        <v>1505</v>
      </c>
      <c r="C1457" t="s">
        <v>3225</v>
      </c>
      <c r="D1457" s="2">
        <v>1</v>
      </c>
      <c r="E1457" s="11" t="s">
        <v>831</v>
      </c>
      <c r="F1457" t="s">
        <v>47</v>
      </c>
      <c r="G1457" s="2" t="s">
        <v>23</v>
      </c>
      <c r="H1457" s="1">
        <v>190.69400000000002</v>
      </c>
    </row>
    <row r="1458" spans="1:8" x14ac:dyDescent="0.3">
      <c r="A1458" s="2">
        <v>582</v>
      </c>
      <c r="B1458" t="s">
        <v>1800</v>
      </c>
      <c r="C1458" t="s">
        <v>3221</v>
      </c>
      <c r="D1458" s="2">
        <v>2</v>
      </c>
      <c r="E1458" s="11" t="s">
        <v>642</v>
      </c>
      <c r="F1458" t="s">
        <v>47</v>
      </c>
      <c r="G1458" s="2" t="s">
        <v>23</v>
      </c>
      <c r="H1458" s="1">
        <v>95.294000000000011</v>
      </c>
    </row>
    <row r="1459" spans="1:8" x14ac:dyDescent="0.3">
      <c r="A1459" s="2">
        <v>582</v>
      </c>
      <c r="B1459" t="s">
        <v>2796</v>
      </c>
      <c r="C1459" t="s">
        <v>3220</v>
      </c>
      <c r="D1459" s="2">
        <v>1</v>
      </c>
      <c r="E1459" s="11" t="s">
        <v>2592</v>
      </c>
      <c r="F1459" t="s">
        <v>39</v>
      </c>
      <c r="G1459" s="2" t="s">
        <v>4</v>
      </c>
      <c r="H1459" s="1">
        <v>21.094000000000001</v>
      </c>
    </row>
    <row r="1460" spans="1:8" x14ac:dyDescent="0.3">
      <c r="A1460" s="2">
        <v>582</v>
      </c>
      <c r="B1460" t="s">
        <v>2795</v>
      </c>
      <c r="C1460" t="s">
        <v>3220</v>
      </c>
      <c r="D1460" s="2">
        <v>1</v>
      </c>
      <c r="E1460" s="11" t="s">
        <v>2492</v>
      </c>
      <c r="F1460" t="s">
        <v>39</v>
      </c>
      <c r="G1460" s="2" t="s">
        <v>31</v>
      </c>
      <c r="H1460" s="1">
        <v>36.994</v>
      </c>
    </row>
    <row r="1461" spans="1:8" x14ac:dyDescent="0.3">
      <c r="A1461" s="2">
        <v>582</v>
      </c>
      <c r="B1461" t="s">
        <v>2266</v>
      </c>
      <c r="C1461" t="s">
        <v>1</v>
      </c>
      <c r="D1461" s="2">
        <v>1</v>
      </c>
      <c r="E1461" s="11" t="s">
        <v>2163</v>
      </c>
      <c r="F1461" t="s">
        <v>39</v>
      </c>
      <c r="G1461" s="2" t="s">
        <v>4</v>
      </c>
      <c r="H1461" s="1">
        <v>84.694000000000017</v>
      </c>
    </row>
    <row r="1462" spans="1:8" x14ac:dyDescent="0.3">
      <c r="A1462" s="2">
        <v>582</v>
      </c>
      <c r="B1462" t="s">
        <v>2165</v>
      </c>
      <c r="C1462" t="s">
        <v>1</v>
      </c>
      <c r="D1462" s="2">
        <v>1</v>
      </c>
      <c r="E1462" s="11" t="s">
        <v>2163</v>
      </c>
      <c r="F1462" t="s">
        <v>39</v>
      </c>
      <c r="G1462" s="2" t="s">
        <v>31</v>
      </c>
      <c r="H1462" s="1">
        <v>84.694000000000017</v>
      </c>
    </row>
    <row r="1463" spans="1:8" x14ac:dyDescent="0.3">
      <c r="A1463" s="2">
        <v>582</v>
      </c>
      <c r="B1463" t="s">
        <v>101</v>
      </c>
      <c r="C1463" t="s">
        <v>2</v>
      </c>
      <c r="D1463" s="2">
        <v>1</v>
      </c>
      <c r="E1463" s="11" t="s">
        <v>60</v>
      </c>
      <c r="F1463" t="s">
        <v>39</v>
      </c>
      <c r="G1463" s="2" t="s">
        <v>4</v>
      </c>
      <c r="H1463" s="1">
        <v>68.794000000000011</v>
      </c>
    </row>
    <row r="1464" spans="1:8" x14ac:dyDescent="0.3">
      <c r="A1464" s="2">
        <v>582</v>
      </c>
      <c r="B1464" t="s">
        <v>100</v>
      </c>
      <c r="C1464" t="s">
        <v>2</v>
      </c>
      <c r="D1464" s="2">
        <v>1</v>
      </c>
      <c r="E1464" s="11" t="s">
        <v>60</v>
      </c>
      <c r="F1464" t="s">
        <v>39</v>
      </c>
      <c r="G1464" s="2" t="s">
        <v>31</v>
      </c>
      <c r="H1464" s="1">
        <v>68.794000000000011</v>
      </c>
    </row>
    <row r="1465" spans="1:8" x14ac:dyDescent="0.3">
      <c r="A1465" s="2">
        <v>582</v>
      </c>
      <c r="B1465" t="s">
        <v>2794</v>
      </c>
      <c r="C1465" t="s">
        <v>3220</v>
      </c>
      <c r="D1465" s="2">
        <v>1</v>
      </c>
      <c r="E1465" s="11" t="s">
        <v>2793</v>
      </c>
      <c r="F1465" t="s">
        <v>28</v>
      </c>
      <c r="G1465" s="2" t="s">
        <v>31</v>
      </c>
      <c r="H1465" s="1">
        <v>21.094000000000001</v>
      </c>
    </row>
    <row r="1466" spans="1:8" x14ac:dyDescent="0.3">
      <c r="A1466" s="2">
        <v>583</v>
      </c>
      <c r="B1466" t="s">
        <v>2766</v>
      </c>
      <c r="C1466" t="s">
        <v>3365</v>
      </c>
      <c r="D1466" s="2">
        <v>1</v>
      </c>
      <c r="E1466" s="11" t="s">
        <v>2760</v>
      </c>
      <c r="F1466" t="s">
        <v>65</v>
      </c>
      <c r="G1466" s="2" t="s">
        <v>31</v>
      </c>
      <c r="H1466" s="1">
        <v>164.19400000000002</v>
      </c>
    </row>
    <row r="1467" spans="1:8" x14ac:dyDescent="0.3">
      <c r="A1467" s="2">
        <v>583</v>
      </c>
      <c r="B1467" t="s">
        <v>1142</v>
      </c>
      <c r="C1467" t="s">
        <v>3219</v>
      </c>
      <c r="D1467" s="2">
        <v>1</v>
      </c>
      <c r="E1467" s="11" t="s">
        <v>102</v>
      </c>
      <c r="F1467" t="s">
        <v>114</v>
      </c>
      <c r="G1467" s="2" t="s">
        <v>4</v>
      </c>
      <c r="H1467" s="1">
        <v>121.79400000000001</v>
      </c>
    </row>
    <row r="1468" spans="1:8" x14ac:dyDescent="0.3">
      <c r="A1468" s="2">
        <v>583</v>
      </c>
      <c r="B1468" t="s">
        <v>2555</v>
      </c>
      <c r="C1468" t="s">
        <v>3224</v>
      </c>
      <c r="D1468" s="2">
        <v>1</v>
      </c>
      <c r="E1468" s="11" t="s">
        <v>2554</v>
      </c>
      <c r="F1468" t="s">
        <v>114</v>
      </c>
      <c r="G1468" s="2" t="s">
        <v>31</v>
      </c>
      <c r="H1468" s="1">
        <v>74.094000000000008</v>
      </c>
    </row>
    <row r="1469" spans="1:8" x14ac:dyDescent="0.3">
      <c r="A1469" s="2">
        <v>583</v>
      </c>
      <c r="B1469" t="s">
        <v>2792</v>
      </c>
      <c r="C1469" t="s">
        <v>3334</v>
      </c>
      <c r="D1469" s="2">
        <v>1</v>
      </c>
      <c r="E1469" s="11" t="s">
        <v>2486</v>
      </c>
      <c r="F1469" t="s">
        <v>114</v>
      </c>
      <c r="G1469" s="2" t="s">
        <v>4</v>
      </c>
      <c r="H1469" s="1">
        <v>105.89400000000001</v>
      </c>
    </row>
    <row r="1470" spans="1:8" x14ac:dyDescent="0.3">
      <c r="A1470" s="2">
        <v>583</v>
      </c>
      <c r="B1470" t="s">
        <v>2791</v>
      </c>
      <c r="C1470" t="s">
        <v>3</v>
      </c>
      <c r="D1470" s="2">
        <v>1</v>
      </c>
      <c r="E1470" s="11" t="s">
        <v>2769</v>
      </c>
      <c r="F1470" t="s">
        <v>114</v>
      </c>
      <c r="G1470" s="2" t="s">
        <v>31</v>
      </c>
      <c r="H1470" s="1">
        <v>95.294000000000011</v>
      </c>
    </row>
    <row r="1471" spans="1:8" x14ac:dyDescent="0.3">
      <c r="A1471" s="2">
        <v>583</v>
      </c>
      <c r="B1471" t="s">
        <v>2790</v>
      </c>
      <c r="C1471" t="s">
        <v>0</v>
      </c>
      <c r="D1471" s="2">
        <v>1</v>
      </c>
      <c r="E1471" s="11" t="s">
        <v>2509</v>
      </c>
      <c r="F1471" t="s">
        <v>114</v>
      </c>
      <c r="G1471" s="2" t="s">
        <v>4</v>
      </c>
      <c r="H1471" s="1">
        <v>153.59400000000002</v>
      </c>
    </row>
    <row r="1472" spans="1:8" x14ac:dyDescent="0.3">
      <c r="A1472" s="2">
        <v>583</v>
      </c>
      <c r="B1472" t="s">
        <v>2762</v>
      </c>
      <c r="C1472" t="s">
        <v>0</v>
      </c>
      <c r="D1472" s="2">
        <v>1</v>
      </c>
      <c r="E1472" s="11" t="s">
        <v>2509</v>
      </c>
      <c r="F1472" t="s">
        <v>36</v>
      </c>
      <c r="G1472" s="2" t="s">
        <v>4</v>
      </c>
      <c r="H1472" s="1">
        <v>153.59400000000002</v>
      </c>
    </row>
    <row r="1473" spans="1:8" x14ac:dyDescent="0.3">
      <c r="A1473" s="2">
        <v>583</v>
      </c>
      <c r="B1473" t="s">
        <v>1043</v>
      </c>
      <c r="C1473" t="s">
        <v>3219</v>
      </c>
      <c r="D1473" s="2">
        <v>1</v>
      </c>
      <c r="E1473" s="11" t="s">
        <v>102</v>
      </c>
      <c r="F1473" t="s">
        <v>47</v>
      </c>
      <c r="G1473" s="2" t="s">
        <v>4</v>
      </c>
      <c r="H1473" s="1">
        <v>121.79400000000001</v>
      </c>
    </row>
    <row r="1474" spans="1:8" x14ac:dyDescent="0.3">
      <c r="A1474" s="2">
        <v>583</v>
      </c>
      <c r="B1474" t="s">
        <v>2582</v>
      </c>
      <c r="C1474" t="s">
        <v>3225</v>
      </c>
      <c r="D1474" s="2">
        <v>3</v>
      </c>
      <c r="E1474" s="11" t="s">
        <v>2511</v>
      </c>
      <c r="F1474" t="s">
        <v>47</v>
      </c>
      <c r="G1474" s="2" t="s">
        <v>31</v>
      </c>
      <c r="H1474" s="1">
        <v>164.19400000000002</v>
      </c>
    </row>
    <row r="1475" spans="1:8" x14ac:dyDescent="0.3">
      <c r="A1475" s="2">
        <v>583</v>
      </c>
      <c r="B1475" t="s">
        <v>2789</v>
      </c>
      <c r="C1475" t="s">
        <v>3</v>
      </c>
      <c r="D1475" s="2">
        <v>1</v>
      </c>
      <c r="E1475" s="11" t="s">
        <v>2767</v>
      </c>
      <c r="F1475" t="s">
        <v>47</v>
      </c>
      <c r="G1475" s="2" t="s">
        <v>31</v>
      </c>
      <c r="H1475" s="1">
        <v>68.794000000000011</v>
      </c>
    </row>
    <row r="1476" spans="1:8" x14ac:dyDescent="0.3">
      <c r="A1476" s="2">
        <v>583</v>
      </c>
      <c r="B1476" t="s">
        <v>2548</v>
      </c>
      <c r="C1476" t="s">
        <v>3</v>
      </c>
      <c r="D1476" s="2">
        <v>1</v>
      </c>
      <c r="E1476" s="11" t="s">
        <v>2417</v>
      </c>
      <c r="F1476" t="s">
        <v>47</v>
      </c>
      <c r="G1476" s="2" t="s">
        <v>31</v>
      </c>
      <c r="H1476" s="1">
        <v>74.094000000000008</v>
      </c>
    </row>
    <row r="1477" spans="1:8" x14ac:dyDescent="0.3">
      <c r="A1477" s="2">
        <v>583</v>
      </c>
      <c r="B1477" t="s">
        <v>2788</v>
      </c>
      <c r="C1477" t="s">
        <v>3</v>
      </c>
      <c r="D1477" s="2">
        <v>1</v>
      </c>
      <c r="E1477" s="11" t="s">
        <v>2460</v>
      </c>
      <c r="F1477" t="s">
        <v>39</v>
      </c>
      <c r="G1477" s="2" t="s">
        <v>31</v>
      </c>
      <c r="H1477" s="1">
        <v>95.294000000000011</v>
      </c>
    </row>
    <row r="1478" spans="1:8" x14ac:dyDescent="0.3">
      <c r="A1478" s="2">
        <v>583</v>
      </c>
      <c r="B1478" t="s">
        <v>2787</v>
      </c>
      <c r="C1478" t="s">
        <v>3217</v>
      </c>
      <c r="D1478" s="2">
        <v>1</v>
      </c>
      <c r="E1478" s="11" t="s">
        <v>2458</v>
      </c>
      <c r="F1478" t="s">
        <v>39</v>
      </c>
      <c r="G1478" s="2" t="s">
        <v>31</v>
      </c>
      <c r="H1478" s="1">
        <v>89.994000000000014</v>
      </c>
    </row>
    <row r="1479" spans="1:8" x14ac:dyDescent="0.3">
      <c r="A1479" s="2">
        <v>583</v>
      </c>
      <c r="B1479" t="s">
        <v>2786</v>
      </c>
      <c r="C1479" t="s">
        <v>3225</v>
      </c>
      <c r="D1479" s="2">
        <v>1</v>
      </c>
      <c r="E1479" s="11" t="s">
        <v>2511</v>
      </c>
      <c r="F1479" t="s">
        <v>39</v>
      </c>
      <c r="G1479" s="2" t="s">
        <v>31</v>
      </c>
      <c r="H1479" s="1">
        <v>164.19400000000002</v>
      </c>
    </row>
    <row r="1480" spans="1:8" x14ac:dyDescent="0.3">
      <c r="A1480" s="2">
        <v>583</v>
      </c>
      <c r="B1480" t="s">
        <v>1695</v>
      </c>
      <c r="C1480" t="s">
        <v>3219</v>
      </c>
      <c r="D1480" s="2">
        <v>1</v>
      </c>
      <c r="E1480" s="11" t="s">
        <v>977</v>
      </c>
      <c r="F1480" t="s">
        <v>39</v>
      </c>
      <c r="G1480" s="2" t="s">
        <v>4</v>
      </c>
      <c r="H1480" s="1">
        <v>116.49400000000001</v>
      </c>
    </row>
    <row r="1481" spans="1:8" x14ac:dyDescent="0.3">
      <c r="A1481" s="2">
        <v>583</v>
      </c>
      <c r="B1481" t="s">
        <v>2785</v>
      </c>
      <c r="C1481" t="s">
        <v>0</v>
      </c>
      <c r="D1481" s="2">
        <v>1</v>
      </c>
      <c r="E1481" s="11" t="s">
        <v>2784</v>
      </c>
      <c r="F1481" t="s">
        <v>39</v>
      </c>
      <c r="G1481" s="2" t="s">
        <v>31</v>
      </c>
      <c r="H1481" s="1">
        <v>148.29400000000001</v>
      </c>
    </row>
    <row r="1482" spans="1:8" x14ac:dyDescent="0.3">
      <c r="A1482" s="2">
        <v>584</v>
      </c>
      <c r="B1482" t="s">
        <v>2783</v>
      </c>
      <c r="C1482" t="s">
        <v>3224</v>
      </c>
      <c r="D1482" s="2">
        <v>1</v>
      </c>
      <c r="E1482" s="11" t="s">
        <v>2369</v>
      </c>
      <c r="F1482" t="s">
        <v>114</v>
      </c>
      <c r="G1482" s="2" t="s">
        <v>23</v>
      </c>
      <c r="H1482" s="1">
        <v>84.694000000000017</v>
      </c>
    </row>
    <row r="1483" spans="1:8" x14ac:dyDescent="0.3">
      <c r="A1483" s="2">
        <v>584</v>
      </c>
      <c r="B1483" t="s">
        <v>2095</v>
      </c>
      <c r="C1483" t="s">
        <v>1</v>
      </c>
      <c r="D1483" s="2">
        <v>1</v>
      </c>
      <c r="E1483" s="11" t="s">
        <v>76</v>
      </c>
      <c r="F1483" t="s">
        <v>78</v>
      </c>
      <c r="G1483" s="2" t="s">
        <v>23</v>
      </c>
      <c r="H1483" s="1">
        <v>63.494</v>
      </c>
    </row>
    <row r="1484" spans="1:8" x14ac:dyDescent="0.3">
      <c r="A1484" s="2">
        <v>584</v>
      </c>
      <c r="B1484" t="s">
        <v>2094</v>
      </c>
      <c r="C1484" t="s">
        <v>1</v>
      </c>
      <c r="D1484" s="2">
        <v>1</v>
      </c>
      <c r="E1484" s="11" t="s">
        <v>76</v>
      </c>
      <c r="F1484" t="s">
        <v>47</v>
      </c>
      <c r="G1484" s="2" t="s">
        <v>4</v>
      </c>
      <c r="H1484" s="1">
        <v>63.494</v>
      </c>
    </row>
    <row r="1485" spans="1:8" x14ac:dyDescent="0.3">
      <c r="A1485" s="2">
        <v>584</v>
      </c>
      <c r="B1485" t="s">
        <v>533</v>
      </c>
      <c r="C1485" t="s">
        <v>1</v>
      </c>
      <c r="D1485" s="2">
        <v>1</v>
      </c>
      <c r="E1485" s="11" t="s">
        <v>76</v>
      </c>
      <c r="F1485" t="s">
        <v>47</v>
      </c>
      <c r="G1485" s="2" t="s">
        <v>31</v>
      </c>
      <c r="H1485" s="1">
        <v>63.494</v>
      </c>
    </row>
    <row r="1486" spans="1:8" x14ac:dyDescent="0.3">
      <c r="A1486" s="2">
        <v>584</v>
      </c>
      <c r="B1486" t="s">
        <v>832</v>
      </c>
      <c r="C1486" t="s">
        <v>3225</v>
      </c>
      <c r="D1486" s="2">
        <v>1</v>
      </c>
      <c r="E1486" s="11" t="s">
        <v>831</v>
      </c>
      <c r="F1486" t="s">
        <v>47</v>
      </c>
      <c r="G1486" s="2" t="s">
        <v>4</v>
      </c>
      <c r="H1486" s="1">
        <v>190.69400000000002</v>
      </c>
    </row>
    <row r="1487" spans="1:8" x14ac:dyDescent="0.3">
      <c r="A1487" s="2">
        <v>584</v>
      </c>
      <c r="B1487" t="s">
        <v>1947</v>
      </c>
      <c r="C1487" t="s">
        <v>3225</v>
      </c>
      <c r="D1487" s="2">
        <v>1</v>
      </c>
      <c r="E1487" s="11" t="s">
        <v>831</v>
      </c>
      <c r="F1487" t="s">
        <v>47</v>
      </c>
      <c r="G1487" s="2" t="s">
        <v>31</v>
      </c>
      <c r="H1487" s="1">
        <v>190.69400000000002</v>
      </c>
    </row>
    <row r="1488" spans="1:8" x14ac:dyDescent="0.3">
      <c r="A1488" s="2">
        <v>584</v>
      </c>
      <c r="B1488" t="s">
        <v>1505</v>
      </c>
      <c r="C1488" t="s">
        <v>3225</v>
      </c>
      <c r="D1488" s="2">
        <v>1</v>
      </c>
      <c r="E1488" s="11" t="s">
        <v>831</v>
      </c>
      <c r="F1488" t="s">
        <v>47</v>
      </c>
      <c r="G1488" s="2" t="s">
        <v>23</v>
      </c>
      <c r="H1488" s="1">
        <v>190.69400000000002</v>
      </c>
    </row>
    <row r="1489" spans="1:8" x14ac:dyDescent="0.3">
      <c r="A1489" s="2">
        <v>584</v>
      </c>
      <c r="B1489" t="s">
        <v>2588</v>
      </c>
      <c r="C1489" t="s">
        <v>3219</v>
      </c>
      <c r="D1489" s="2">
        <v>1</v>
      </c>
      <c r="E1489" s="11" t="s">
        <v>2172</v>
      </c>
      <c r="F1489" t="s">
        <v>39</v>
      </c>
      <c r="G1489" s="2" t="s">
        <v>31</v>
      </c>
      <c r="H1489" s="1">
        <v>142.994</v>
      </c>
    </row>
    <row r="1490" spans="1:8" x14ac:dyDescent="0.3">
      <c r="A1490" s="2">
        <v>584</v>
      </c>
      <c r="B1490" t="s">
        <v>2587</v>
      </c>
      <c r="C1490" t="s">
        <v>3219</v>
      </c>
      <c r="D1490" s="2">
        <v>1</v>
      </c>
      <c r="E1490" s="11" t="s">
        <v>2172</v>
      </c>
      <c r="F1490" t="s">
        <v>39</v>
      </c>
      <c r="G1490" s="2" t="s">
        <v>23</v>
      </c>
      <c r="H1490" s="1">
        <v>142.994</v>
      </c>
    </row>
    <row r="1491" spans="1:8" x14ac:dyDescent="0.3">
      <c r="A1491" s="2">
        <v>584</v>
      </c>
      <c r="B1491" t="s">
        <v>2401</v>
      </c>
      <c r="C1491" t="s">
        <v>3217</v>
      </c>
      <c r="D1491" s="2">
        <v>1</v>
      </c>
      <c r="E1491" s="11" t="s">
        <v>1948</v>
      </c>
      <c r="F1491" t="s">
        <v>28</v>
      </c>
      <c r="G1491" s="2" t="s">
        <v>23</v>
      </c>
      <c r="H1491" s="1">
        <v>63.494000000000007</v>
      </c>
    </row>
    <row r="1492" spans="1:8" x14ac:dyDescent="0.3">
      <c r="A1492" s="2">
        <v>584</v>
      </c>
      <c r="B1492" t="s">
        <v>1654</v>
      </c>
      <c r="C1492" t="s">
        <v>1</v>
      </c>
      <c r="D1492" s="2">
        <v>1</v>
      </c>
      <c r="E1492" s="11" t="s">
        <v>1653</v>
      </c>
      <c r="F1492" t="s">
        <v>28</v>
      </c>
      <c r="G1492" s="2" t="s">
        <v>4</v>
      </c>
      <c r="H1492" s="1">
        <v>79.394000000000005</v>
      </c>
    </row>
    <row r="1493" spans="1:8" x14ac:dyDescent="0.3">
      <c r="A1493" s="2">
        <v>584</v>
      </c>
      <c r="B1493" t="s">
        <v>2247</v>
      </c>
      <c r="C1493" t="s">
        <v>1</v>
      </c>
      <c r="D1493" s="2">
        <v>1</v>
      </c>
      <c r="E1493" s="11" t="s">
        <v>1653</v>
      </c>
      <c r="F1493" t="s">
        <v>28</v>
      </c>
      <c r="G1493" s="2" t="s">
        <v>31</v>
      </c>
      <c r="H1493" s="1">
        <v>79.394000000000005</v>
      </c>
    </row>
    <row r="1494" spans="1:8" x14ac:dyDescent="0.3">
      <c r="A1494" s="2">
        <v>585</v>
      </c>
      <c r="B1494" t="s">
        <v>2782</v>
      </c>
      <c r="C1494" t="s">
        <v>3224</v>
      </c>
      <c r="D1494" s="2">
        <v>1</v>
      </c>
      <c r="E1494" s="11" t="s">
        <v>2212</v>
      </c>
      <c r="F1494" t="s">
        <v>55</v>
      </c>
      <c r="G1494" s="2" t="s">
        <v>23</v>
      </c>
      <c r="H1494" s="1">
        <v>79.394000000000005</v>
      </c>
    </row>
    <row r="1495" spans="1:8" x14ac:dyDescent="0.3">
      <c r="A1495" s="2">
        <v>585</v>
      </c>
      <c r="B1495" t="s">
        <v>2781</v>
      </c>
      <c r="C1495" t="s">
        <v>0</v>
      </c>
      <c r="D1495" s="2">
        <v>1</v>
      </c>
      <c r="E1495" s="11" t="s">
        <v>2552</v>
      </c>
      <c r="F1495" t="s">
        <v>114</v>
      </c>
      <c r="G1495" s="2" t="s">
        <v>4</v>
      </c>
      <c r="H1495" s="1">
        <v>206.59400000000002</v>
      </c>
    </row>
    <row r="1496" spans="1:8" x14ac:dyDescent="0.3">
      <c r="A1496" s="2">
        <v>585</v>
      </c>
      <c r="B1496" t="s">
        <v>2780</v>
      </c>
      <c r="C1496" t="s">
        <v>0</v>
      </c>
      <c r="D1496" s="2">
        <v>1</v>
      </c>
      <c r="E1496" s="11" t="s">
        <v>2552</v>
      </c>
      <c r="F1496" t="s">
        <v>114</v>
      </c>
      <c r="G1496" s="2" t="s">
        <v>31</v>
      </c>
      <c r="H1496" s="1">
        <v>206.59400000000002</v>
      </c>
    </row>
    <row r="1497" spans="1:8" x14ac:dyDescent="0.3">
      <c r="A1497" s="2">
        <v>585</v>
      </c>
      <c r="B1497" t="s">
        <v>2553</v>
      </c>
      <c r="C1497" t="s">
        <v>0</v>
      </c>
      <c r="D1497" s="2">
        <v>1</v>
      </c>
      <c r="E1497" s="11" t="s">
        <v>2552</v>
      </c>
      <c r="F1497" t="s">
        <v>114</v>
      </c>
      <c r="G1497" s="2" t="s">
        <v>23</v>
      </c>
      <c r="H1497" s="1">
        <v>206.59400000000002</v>
      </c>
    </row>
    <row r="1498" spans="1:8" x14ac:dyDescent="0.3">
      <c r="A1498" s="2">
        <v>585</v>
      </c>
      <c r="B1498" t="s">
        <v>2699</v>
      </c>
      <c r="C1498" t="s">
        <v>3224</v>
      </c>
      <c r="D1498" s="2">
        <v>1</v>
      </c>
      <c r="E1498" s="11" t="s">
        <v>2180</v>
      </c>
      <c r="F1498" t="s">
        <v>28</v>
      </c>
      <c r="G1498" s="2" t="s">
        <v>31</v>
      </c>
      <c r="H1498" s="1">
        <v>84.694000000000017</v>
      </c>
    </row>
    <row r="1499" spans="1:8" x14ac:dyDescent="0.3">
      <c r="A1499" s="2">
        <v>585</v>
      </c>
      <c r="B1499" t="s">
        <v>2779</v>
      </c>
      <c r="C1499" t="s">
        <v>3</v>
      </c>
      <c r="D1499" s="2">
        <v>1</v>
      </c>
      <c r="E1499" s="11" t="s">
        <v>2178</v>
      </c>
      <c r="F1499" t="s">
        <v>28</v>
      </c>
      <c r="G1499" s="2" t="s">
        <v>31</v>
      </c>
      <c r="H1499" s="1">
        <v>111.19400000000002</v>
      </c>
    </row>
    <row r="1500" spans="1:8" x14ac:dyDescent="0.3">
      <c r="A1500" s="2">
        <v>585</v>
      </c>
      <c r="B1500" t="s">
        <v>2181</v>
      </c>
      <c r="C1500" t="s">
        <v>3224</v>
      </c>
      <c r="D1500" s="2">
        <v>1</v>
      </c>
      <c r="E1500" s="11" t="s">
        <v>2180</v>
      </c>
      <c r="F1500" t="s">
        <v>36</v>
      </c>
      <c r="G1500" s="2" t="s">
        <v>31</v>
      </c>
      <c r="H1500" s="1">
        <v>84.694000000000017</v>
      </c>
    </row>
    <row r="1501" spans="1:8" x14ac:dyDescent="0.3">
      <c r="A1501" s="2">
        <v>585</v>
      </c>
      <c r="B1501" t="s">
        <v>2778</v>
      </c>
      <c r="C1501" t="s">
        <v>3224</v>
      </c>
      <c r="D1501" s="2">
        <v>2</v>
      </c>
      <c r="E1501" s="11" t="s">
        <v>2180</v>
      </c>
      <c r="F1501" t="s">
        <v>36</v>
      </c>
      <c r="G1501" s="2" t="s">
        <v>23</v>
      </c>
      <c r="H1501" s="1">
        <v>84.694000000000017</v>
      </c>
    </row>
    <row r="1502" spans="1:8" x14ac:dyDescent="0.3">
      <c r="A1502" s="2">
        <v>585</v>
      </c>
      <c r="B1502" t="s">
        <v>2179</v>
      </c>
      <c r="C1502" t="s">
        <v>3</v>
      </c>
      <c r="D1502" s="2">
        <v>1</v>
      </c>
      <c r="E1502" s="11" t="s">
        <v>2178</v>
      </c>
      <c r="F1502" t="s">
        <v>36</v>
      </c>
      <c r="G1502" s="2" t="s">
        <v>31</v>
      </c>
      <c r="H1502" s="1">
        <v>111.19400000000002</v>
      </c>
    </row>
    <row r="1503" spans="1:8" x14ac:dyDescent="0.3">
      <c r="A1503" s="2">
        <v>585</v>
      </c>
      <c r="B1503" t="s">
        <v>2777</v>
      </c>
      <c r="C1503" t="s">
        <v>3</v>
      </c>
      <c r="D1503" s="2">
        <v>2</v>
      </c>
      <c r="E1503" s="11" t="s">
        <v>2178</v>
      </c>
      <c r="F1503" t="s">
        <v>36</v>
      </c>
      <c r="G1503" s="2" t="s">
        <v>23</v>
      </c>
      <c r="H1503" s="1">
        <v>111.19400000000002</v>
      </c>
    </row>
    <row r="1504" spans="1:8" x14ac:dyDescent="0.3">
      <c r="A1504" s="2">
        <v>585</v>
      </c>
      <c r="B1504" t="s">
        <v>2776</v>
      </c>
      <c r="C1504" t="s">
        <v>3219</v>
      </c>
      <c r="D1504" s="2">
        <v>1</v>
      </c>
      <c r="E1504" s="11" t="s">
        <v>2251</v>
      </c>
      <c r="F1504" t="s">
        <v>47</v>
      </c>
      <c r="G1504" s="2" t="s">
        <v>4</v>
      </c>
      <c r="H1504" s="1">
        <v>169.49400000000003</v>
      </c>
    </row>
    <row r="1505" spans="1:8" x14ac:dyDescent="0.3">
      <c r="A1505" s="2">
        <v>585</v>
      </c>
      <c r="B1505" t="s">
        <v>2227</v>
      </c>
      <c r="C1505" t="s">
        <v>3224</v>
      </c>
      <c r="D1505" s="2">
        <v>1</v>
      </c>
      <c r="E1505" s="11" t="s">
        <v>191</v>
      </c>
      <c r="F1505" t="s">
        <v>47</v>
      </c>
      <c r="G1505" s="2" t="s">
        <v>4</v>
      </c>
      <c r="H1505" s="1">
        <v>63.494000000000007</v>
      </c>
    </row>
    <row r="1506" spans="1:8" x14ac:dyDescent="0.3">
      <c r="A1506" s="2">
        <v>585</v>
      </c>
      <c r="B1506" t="s">
        <v>2775</v>
      </c>
      <c r="C1506" t="s">
        <v>3224</v>
      </c>
      <c r="D1506" s="2">
        <v>1</v>
      </c>
      <c r="E1506" s="11" t="s">
        <v>2212</v>
      </c>
      <c r="F1506" t="s">
        <v>36</v>
      </c>
      <c r="G1506" s="2" t="s">
        <v>23</v>
      </c>
      <c r="H1506" s="1">
        <v>79.394000000000005</v>
      </c>
    </row>
    <row r="1507" spans="1:8" x14ac:dyDescent="0.3">
      <c r="A1507" s="2">
        <v>585</v>
      </c>
      <c r="B1507" t="s">
        <v>2774</v>
      </c>
      <c r="C1507" t="s">
        <v>0</v>
      </c>
      <c r="D1507" s="2">
        <v>1</v>
      </c>
      <c r="E1507" s="11" t="s">
        <v>1856</v>
      </c>
      <c r="F1507" t="s">
        <v>36</v>
      </c>
      <c r="G1507" s="2" t="s">
        <v>23</v>
      </c>
      <c r="H1507" s="1">
        <v>158.89400000000001</v>
      </c>
    </row>
    <row r="1508" spans="1:8" x14ac:dyDescent="0.3">
      <c r="A1508" s="2">
        <v>586</v>
      </c>
      <c r="B1508" t="s">
        <v>2761</v>
      </c>
      <c r="C1508" t="s">
        <v>3365</v>
      </c>
      <c r="D1508" s="2">
        <v>2</v>
      </c>
      <c r="E1508" s="11" t="s">
        <v>2760</v>
      </c>
      <c r="F1508" t="s">
        <v>65</v>
      </c>
      <c r="G1508" s="2" t="s">
        <v>4</v>
      </c>
      <c r="H1508" s="1">
        <v>164.19400000000002</v>
      </c>
    </row>
    <row r="1509" spans="1:8" x14ac:dyDescent="0.3">
      <c r="A1509" s="2">
        <v>586</v>
      </c>
      <c r="B1509" t="s">
        <v>2505</v>
      </c>
      <c r="C1509" t="s">
        <v>3</v>
      </c>
      <c r="D1509" s="2">
        <v>1</v>
      </c>
      <c r="E1509" s="11" t="s">
        <v>2178</v>
      </c>
      <c r="F1509" t="s">
        <v>114</v>
      </c>
      <c r="G1509" s="2" t="s">
        <v>31</v>
      </c>
      <c r="H1509" s="1">
        <v>111.19400000000002</v>
      </c>
    </row>
    <row r="1510" spans="1:8" x14ac:dyDescent="0.3">
      <c r="A1510" s="2">
        <v>586</v>
      </c>
      <c r="B1510" t="s">
        <v>1504</v>
      </c>
      <c r="C1510" t="s">
        <v>3225</v>
      </c>
      <c r="D1510" s="2">
        <v>1</v>
      </c>
      <c r="E1510" s="11" t="s">
        <v>831</v>
      </c>
      <c r="F1510" t="s">
        <v>81</v>
      </c>
      <c r="G1510" s="2" t="s">
        <v>4</v>
      </c>
      <c r="H1510" s="1">
        <v>190.69400000000002</v>
      </c>
    </row>
    <row r="1511" spans="1:8" x14ac:dyDescent="0.3">
      <c r="A1511" s="2">
        <v>586</v>
      </c>
      <c r="B1511" t="s">
        <v>1483</v>
      </c>
      <c r="C1511" t="s">
        <v>3225</v>
      </c>
      <c r="D1511" s="2">
        <v>1</v>
      </c>
      <c r="E1511" s="11" t="s">
        <v>831</v>
      </c>
      <c r="F1511" t="s">
        <v>81</v>
      </c>
      <c r="G1511" s="2" t="s">
        <v>31</v>
      </c>
      <c r="H1511" s="1">
        <v>190.69400000000002</v>
      </c>
    </row>
    <row r="1512" spans="1:8" x14ac:dyDescent="0.3">
      <c r="A1512" s="2">
        <v>586</v>
      </c>
      <c r="B1512" t="s">
        <v>2299</v>
      </c>
      <c r="C1512" t="s">
        <v>0</v>
      </c>
      <c r="D1512" s="2">
        <v>1</v>
      </c>
      <c r="E1512" s="11" t="s">
        <v>2060</v>
      </c>
      <c r="F1512" t="s">
        <v>55</v>
      </c>
      <c r="G1512" s="2" t="s">
        <v>4</v>
      </c>
      <c r="H1512" s="1">
        <v>158.89400000000001</v>
      </c>
    </row>
    <row r="1513" spans="1:8" x14ac:dyDescent="0.3">
      <c r="A1513" s="2">
        <v>586</v>
      </c>
      <c r="B1513" t="s">
        <v>2448</v>
      </c>
      <c r="C1513" t="s">
        <v>0</v>
      </c>
      <c r="D1513" s="2">
        <v>1</v>
      </c>
      <c r="E1513" s="11" t="s">
        <v>2060</v>
      </c>
      <c r="F1513" t="s">
        <v>28</v>
      </c>
      <c r="G1513" s="2" t="s">
        <v>4</v>
      </c>
      <c r="H1513" s="1">
        <v>158.89400000000001</v>
      </c>
    </row>
    <row r="1514" spans="1:8" x14ac:dyDescent="0.3">
      <c r="A1514" s="2">
        <v>586</v>
      </c>
      <c r="B1514" t="s">
        <v>2773</v>
      </c>
      <c r="C1514" t="s">
        <v>3</v>
      </c>
      <c r="D1514" s="2">
        <v>1</v>
      </c>
      <c r="E1514" s="11" t="s">
        <v>2769</v>
      </c>
      <c r="F1514" t="s">
        <v>114</v>
      </c>
      <c r="G1514" s="2" t="s">
        <v>4</v>
      </c>
      <c r="H1514" s="1">
        <v>95.294000000000011</v>
      </c>
    </row>
    <row r="1515" spans="1:8" x14ac:dyDescent="0.3">
      <c r="A1515" s="2">
        <v>586</v>
      </c>
      <c r="B1515" t="s">
        <v>2772</v>
      </c>
      <c r="C1515" t="s">
        <v>3224</v>
      </c>
      <c r="D1515" s="2">
        <v>2</v>
      </c>
      <c r="E1515" s="11" t="s">
        <v>2180</v>
      </c>
      <c r="F1515" t="s">
        <v>28</v>
      </c>
      <c r="G1515" s="2" t="s">
        <v>4</v>
      </c>
      <c r="H1515" s="1">
        <v>84.694000000000017</v>
      </c>
    </row>
    <row r="1516" spans="1:8" x14ac:dyDescent="0.3">
      <c r="A1516" s="2">
        <v>586</v>
      </c>
      <c r="B1516" t="s">
        <v>2771</v>
      </c>
      <c r="C1516" t="s">
        <v>3</v>
      </c>
      <c r="D1516" s="2">
        <v>2</v>
      </c>
      <c r="E1516" s="11" t="s">
        <v>2178</v>
      </c>
      <c r="F1516" t="s">
        <v>28</v>
      </c>
      <c r="G1516" s="2" t="s">
        <v>4</v>
      </c>
      <c r="H1516" s="1">
        <v>111.19400000000002</v>
      </c>
    </row>
    <row r="1517" spans="1:8" x14ac:dyDescent="0.3">
      <c r="A1517" s="2">
        <v>586</v>
      </c>
      <c r="B1517" t="s">
        <v>2770</v>
      </c>
      <c r="C1517" t="s">
        <v>3</v>
      </c>
      <c r="D1517" s="2">
        <v>1</v>
      </c>
      <c r="E1517" s="11" t="s">
        <v>2769</v>
      </c>
      <c r="F1517" t="s">
        <v>78</v>
      </c>
      <c r="G1517" s="2" t="s">
        <v>4</v>
      </c>
      <c r="H1517" s="1">
        <v>95.294000000000011</v>
      </c>
    </row>
    <row r="1518" spans="1:8" x14ac:dyDescent="0.3">
      <c r="A1518" s="2">
        <v>586</v>
      </c>
      <c r="B1518" t="s">
        <v>2723</v>
      </c>
      <c r="C1518" t="s">
        <v>3225</v>
      </c>
      <c r="D1518" s="2">
        <v>1</v>
      </c>
      <c r="E1518" s="11" t="s">
        <v>831</v>
      </c>
      <c r="F1518" t="s">
        <v>78</v>
      </c>
      <c r="G1518" s="2" t="s">
        <v>31</v>
      </c>
      <c r="H1518" s="1">
        <v>190.69400000000002</v>
      </c>
    </row>
    <row r="1519" spans="1:8" x14ac:dyDescent="0.3">
      <c r="A1519" s="2">
        <v>586</v>
      </c>
      <c r="B1519" t="s">
        <v>2706</v>
      </c>
      <c r="C1519" t="s">
        <v>3225</v>
      </c>
      <c r="D1519" s="2">
        <v>1</v>
      </c>
      <c r="E1519" s="11" t="s">
        <v>831</v>
      </c>
      <c r="F1519" t="s">
        <v>78</v>
      </c>
      <c r="G1519" s="2" t="s">
        <v>23</v>
      </c>
      <c r="H1519" s="1">
        <v>190.69400000000002</v>
      </c>
    </row>
    <row r="1520" spans="1:8" x14ac:dyDescent="0.3">
      <c r="A1520" s="2">
        <v>586</v>
      </c>
      <c r="B1520" t="s">
        <v>2768</v>
      </c>
      <c r="C1520" t="s">
        <v>3</v>
      </c>
      <c r="D1520" s="2">
        <v>1</v>
      </c>
      <c r="E1520" s="11" t="s">
        <v>2767</v>
      </c>
      <c r="F1520" t="s">
        <v>47</v>
      </c>
      <c r="G1520" s="2" t="s">
        <v>4</v>
      </c>
      <c r="H1520" s="1">
        <v>68.794000000000011</v>
      </c>
    </row>
    <row r="1521" spans="1:8" x14ac:dyDescent="0.3">
      <c r="A1521" s="2">
        <v>586</v>
      </c>
      <c r="B1521" t="s">
        <v>2747</v>
      </c>
      <c r="C1521" t="s">
        <v>3217</v>
      </c>
      <c r="D1521" s="2">
        <v>1</v>
      </c>
      <c r="E1521" s="11" t="s">
        <v>2458</v>
      </c>
      <c r="F1521" t="s">
        <v>39</v>
      </c>
      <c r="G1521" s="2" t="s">
        <v>4</v>
      </c>
      <c r="H1521" s="1">
        <v>89.994000000000014</v>
      </c>
    </row>
    <row r="1522" spans="1:8" x14ac:dyDescent="0.3">
      <c r="A1522" s="2">
        <v>586</v>
      </c>
      <c r="B1522" t="s">
        <v>1882</v>
      </c>
      <c r="C1522" t="s">
        <v>1</v>
      </c>
      <c r="D1522" s="2">
        <v>1</v>
      </c>
      <c r="E1522" s="11" t="s">
        <v>222</v>
      </c>
      <c r="F1522" t="s">
        <v>39</v>
      </c>
      <c r="G1522" s="2" t="s">
        <v>4</v>
      </c>
      <c r="H1522" s="1">
        <v>52.893999999999998</v>
      </c>
    </row>
    <row r="1523" spans="1:8" x14ac:dyDescent="0.3">
      <c r="A1523" s="2">
        <v>587</v>
      </c>
      <c r="B1523" t="s">
        <v>2761</v>
      </c>
      <c r="C1523" t="s">
        <v>3365</v>
      </c>
      <c r="D1523" s="2">
        <v>1</v>
      </c>
      <c r="E1523" s="11" t="s">
        <v>2760</v>
      </c>
      <c r="F1523" t="s">
        <v>65</v>
      </c>
      <c r="G1523" s="2" t="s">
        <v>4</v>
      </c>
      <c r="H1523" s="1">
        <v>164.19400000000002</v>
      </c>
    </row>
    <row r="1524" spans="1:8" x14ac:dyDescent="0.3">
      <c r="A1524" s="2">
        <v>587</v>
      </c>
      <c r="B1524" t="s">
        <v>2766</v>
      </c>
      <c r="C1524" t="s">
        <v>3365</v>
      </c>
      <c r="D1524" s="2">
        <v>1</v>
      </c>
      <c r="E1524" s="11" t="s">
        <v>2760</v>
      </c>
      <c r="F1524" t="s">
        <v>65</v>
      </c>
      <c r="G1524" s="2" t="s">
        <v>31</v>
      </c>
      <c r="H1524" s="1">
        <v>164.19400000000002</v>
      </c>
    </row>
    <row r="1525" spans="1:8" x14ac:dyDescent="0.3">
      <c r="A1525" s="2">
        <v>587</v>
      </c>
      <c r="B1525" t="s">
        <v>2765</v>
      </c>
      <c r="C1525" t="s">
        <v>3365</v>
      </c>
      <c r="D1525" s="2">
        <v>1</v>
      </c>
      <c r="E1525" s="11" t="s">
        <v>2760</v>
      </c>
      <c r="F1525" t="s">
        <v>65</v>
      </c>
      <c r="G1525" s="2" t="s">
        <v>23</v>
      </c>
      <c r="H1525" s="1">
        <v>164.19400000000002</v>
      </c>
    </row>
    <row r="1526" spans="1:8" x14ac:dyDescent="0.3">
      <c r="A1526" s="2">
        <v>587</v>
      </c>
      <c r="B1526" t="s">
        <v>2539</v>
      </c>
      <c r="C1526" t="s">
        <v>1</v>
      </c>
      <c r="D1526" s="2">
        <v>1</v>
      </c>
      <c r="E1526" s="11" t="s">
        <v>243</v>
      </c>
      <c r="F1526" t="s">
        <v>126</v>
      </c>
      <c r="G1526" s="2" t="s">
        <v>23</v>
      </c>
      <c r="H1526" s="1">
        <v>31.693999999999999</v>
      </c>
    </row>
    <row r="1527" spans="1:8" x14ac:dyDescent="0.3">
      <c r="A1527" s="2">
        <v>587</v>
      </c>
      <c r="B1527" t="s">
        <v>723</v>
      </c>
      <c r="C1527" t="s">
        <v>1</v>
      </c>
      <c r="D1527" s="2">
        <v>1</v>
      </c>
      <c r="E1527" s="11" t="s">
        <v>222</v>
      </c>
      <c r="F1527" t="s">
        <v>28</v>
      </c>
      <c r="G1527" s="2" t="s">
        <v>31</v>
      </c>
      <c r="H1527" s="1">
        <v>52.893999999999998</v>
      </c>
    </row>
    <row r="1528" spans="1:8" x14ac:dyDescent="0.3">
      <c r="A1528" s="2">
        <v>587</v>
      </c>
      <c r="B1528" t="s">
        <v>722</v>
      </c>
      <c r="C1528" t="s">
        <v>1</v>
      </c>
      <c r="D1528" s="2">
        <v>1</v>
      </c>
      <c r="E1528" s="11" t="s">
        <v>222</v>
      </c>
      <c r="F1528" t="s">
        <v>28</v>
      </c>
      <c r="G1528" s="2" t="s">
        <v>23</v>
      </c>
      <c r="H1528" s="1">
        <v>52.893999999999998</v>
      </c>
    </row>
    <row r="1529" spans="1:8" x14ac:dyDescent="0.3">
      <c r="A1529" s="2">
        <v>587</v>
      </c>
      <c r="B1529" t="s">
        <v>2691</v>
      </c>
      <c r="C1529" t="s">
        <v>0</v>
      </c>
      <c r="D1529" s="2">
        <v>1</v>
      </c>
      <c r="E1529" s="11" t="s">
        <v>987</v>
      </c>
      <c r="F1529" t="s">
        <v>62</v>
      </c>
      <c r="G1529" s="2" t="s">
        <v>31</v>
      </c>
      <c r="H1529" s="1">
        <v>185.39400000000001</v>
      </c>
    </row>
    <row r="1530" spans="1:8" x14ac:dyDescent="0.3">
      <c r="A1530" s="2">
        <v>587</v>
      </c>
      <c r="B1530" t="s">
        <v>2764</v>
      </c>
      <c r="C1530" t="s">
        <v>3224</v>
      </c>
      <c r="D1530" s="2">
        <v>1</v>
      </c>
      <c r="E1530" s="11" t="s">
        <v>2381</v>
      </c>
      <c r="F1530" t="s">
        <v>114</v>
      </c>
      <c r="G1530" s="2" t="s">
        <v>4</v>
      </c>
      <c r="H1530" s="1">
        <v>36.994</v>
      </c>
    </row>
    <row r="1531" spans="1:8" x14ac:dyDescent="0.3">
      <c r="A1531" s="2">
        <v>587</v>
      </c>
      <c r="B1531" t="s">
        <v>2481</v>
      </c>
      <c r="C1531" t="s">
        <v>3224</v>
      </c>
      <c r="D1531" s="2">
        <v>1</v>
      </c>
      <c r="E1531" s="11" t="s">
        <v>2381</v>
      </c>
      <c r="F1531" t="s">
        <v>114</v>
      </c>
      <c r="G1531" s="2" t="s">
        <v>31</v>
      </c>
      <c r="H1531" s="1">
        <v>36.994</v>
      </c>
    </row>
    <row r="1532" spans="1:8" x14ac:dyDescent="0.3">
      <c r="A1532" s="2">
        <v>587</v>
      </c>
      <c r="B1532" t="s">
        <v>2387</v>
      </c>
      <c r="C1532" t="s">
        <v>3224</v>
      </c>
      <c r="D1532" s="2">
        <v>1</v>
      </c>
      <c r="E1532" s="11" t="s">
        <v>2381</v>
      </c>
      <c r="F1532" t="s">
        <v>114</v>
      </c>
      <c r="G1532" s="2" t="s">
        <v>23</v>
      </c>
      <c r="H1532" s="1">
        <v>36.994</v>
      </c>
    </row>
    <row r="1533" spans="1:8" x14ac:dyDescent="0.3">
      <c r="A1533" s="2">
        <v>587</v>
      </c>
      <c r="B1533" t="s">
        <v>2763</v>
      </c>
      <c r="C1533" t="s">
        <v>0</v>
      </c>
      <c r="D1533" s="2">
        <v>1</v>
      </c>
      <c r="E1533" s="11" t="s">
        <v>2479</v>
      </c>
      <c r="F1533" t="s">
        <v>683</v>
      </c>
      <c r="G1533" s="2" t="s">
        <v>31</v>
      </c>
      <c r="H1533" s="1">
        <v>132.39400000000001</v>
      </c>
    </row>
    <row r="1534" spans="1:8" x14ac:dyDescent="0.3">
      <c r="A1534" s="2">
        <v>587</v>
      </c>
      <c r="B1534" t="s">
        <v>2583</v>
      </c>
      <c r="C1534" t="s">
        <v>0</v>
      </c>
      <c r="D1534" s="2">
        <v>1</v>
      </c>
      <c r="E1534" s="11" t="s">
        <v>2479</v>
      </c>
      <c r="F1534" t="s">
        <v>683</v>
      </c>
      <c r="G1534" s="2" t="s">
        <v>23</v>
      </c>
      <c r="H1534" s="1">
        <v>132.39400000000001</v>
      </c>
    </row>
    <row r="1535" spans="1:8" x14ac:dyDescent="0.3">
      <c r="A1535" s="2">
        <v>587</v>
      </c>
      <c r="B1535" t="s">
        <v>2762</v>
      </c>
      <c r="C1535" t="s">
        <v>0</v>
      </c>
      <c r="D1535" s="2">
        <v>1</v>
      </c>
      <c r="E1535" s="11" t="s">
        <v>2509</v>
      </c>
      <c r="F1535" t="s">
        <v>36</v>
      </c>
      <c r="G1535" s="2" t="s">
        <v>4</v>
      </c>
      <c r="H1535" s="1">
        <v>153.59400000000002</v>
      </c>
    </row>
    <row r="1536" spans="1:8" x14ac:dyDescent="0.3">
      <c r="A1536" s="2">
        <v>588</v>
      </c>
      <c r="B1536" t="s">
        <v>2761</v>
      </c>
      <c r="C1536" t="s">
        <v>3365</v>
      </c>
      <c r="D1536" s="2">
        <v>1</v>
      </c>
      <c r="E1536" s="11" t="s">
        <v>2760</v>
      </c>
      <c r="F1536" t="s">
        <v>65</v>
      </c>
      <c r="G1536" s="2" t="s">
        <v>4</v>
      </c>
      <c r="H1536" s="1">
        <v>164.19400000000002</v>
      </c>
    </row>
    <row r="1537" spans="1:8" x14ac:dyDescent="0.3">
      <c r="A1537" s="2">
        <v>588</v>
      </c>
      <c r="B1537" t="s">
        <v>2759</v>
      </c>
      <c r="C1537" t="s">
        <v>3224</v>
      </c>
      <c r="D1537" s="2">
        <v>1</v>
      </c>
      <c r="E1537" s="11" t="s">
        <v>2758</v>
      </c>
      <c r="F1537" t="s">
        <v>65</v>
      </c>
      <c r="G1537" s="2" t="s">
        <v>4</v>
      </c>
      <c r="H1537" s="1">
        <v>63.494000000000007</v>
      </c>
    </row>
    <row r="1538" spans="1:8" x14ac:dyDescent="0.3">
      <c r="A1538" s="2">
        <v>588</v>
      </c>
      <c r="B1538" t="s">
        <v>2757</v>
      </c>
      <c r="C1538" t="s">
        <v>3</v>
      </c>
      <c r="D1538" s="2">
        <v>1</v>
      </c>
      <c r="E1538" s="11" t="s">
        <v>2756</v>
      </c>
      <c r="F1538" t="s">
        <v>65</v>
      </c>
      <c r="G1538" s="2" t="s">
        <v>4</v>
      </c>
      <c r="H1538" s="1">
        <v>121.79400000000001</v>
      </c>
    </row>
    <row r="1539" spans="1:8" x14ac:dyDescent="0.3">
      <c r="A1539" s="2">
        <v>588</v>
      </c>
      <c r="B1539" t="s">
        <v>2755</v>
      </c>
      <c r="C1539" t="s">
        <v>3220</v>
      </c>
      <c r="D1539" s="2">
        <v>1</v>
      </c>
      <c r="E1539" s="11" t="s">
        <v>2318</v>
      </c>
      <c r="F1539" t="s">
        <v>28</v>
      </c>
      <c r="G1539" s="2" t="s">
        <v>4</v>
      </c>
      <c r="H1539" s="1">
        <v>42.294000000000004</v>
      </c>
    </row>
    <row r="1540" spans="1:8" x14ac:dyDescent="0.3">
      <c r="A1540" s="2">
        <v>588</v>
      </c>
      <c r="B1540" t="s">
        <v>2754</v>
      </c>
      <c r="C1540" t="s">
        <v>3219</v>
      </c>
      <c r="D1540" s="2">
        <v>1</v>
      </c>
      <c r="E1540" s="11" t="s">
        <v>2316</v>
      </c>
      <c r="F1540" t="s">
        <v>28</v>
      </c>
      <c r="G1540" s="2" t="s">
        <v>4</v>
      </c>
      <c r="H1540" s="1">
        <v>164.19400000000002</v>
      </c>
    </row>
    <row r="1541" spans="1:8" x14ac:dyDescent="0.3">
      <c r="A1541" s="2">
        <v>588</v>
      </c>
      <c r="B1541" t="s">
        <v>1670</v>
      </c>
      <c r="C1541" t="s">
        <v>3217</v>
      </c>
      <c r="D1541" s="2">
        <v>1</v>
      </c>
      <c r="E1541" s="11" t="s">
        <v>1285</v>
      </c>
      <c r="F1541" t="s">
        <v>114</v>
      </c>
      <c r="G1541" s="2" t="s">
        <v>4</v>
      </c>
      <c r="H1541" s="1">
        <v>42.294000000000004</v>
      </c>
    </row>
    <row r="1542" spans="1:8" x14ac:dyDescent="0.3">
      <c r="A1542" s="2">
        <v>588</v>
      </c>
      <c r="B1542" t="s">
        <v>2753</v>
      </c>
      <c r="C1542" t="s">
        <v>3224</v>
      </c>
      <c r="D1542" s="2">
        <v>1</v>
      </c>
      <c r="E1542" s="11" t="s">
        <v>2407</v>
      </c>
      <c r="F1542" t="s">
        <v>36</v>
      </c>
      <c r="G1542" s="2" t="s">
        <v>4</v>
      </c>
      <c r="H1542" s="1">
        <v>84.694000000000017</v>
      </c>
    </row>
    <row r="1543" spans="1:8" x14ac:dyDescent="0.3">
      <c r="A1543" s="2">
        <v>588</v>
      </c>
      <c r="B1543" t="s">
        <v>2752</v>
      </c>
      <c r="C1543" t="s">
        <v>3220</v>
      </c>
      <c r="D1543" s="2">
        <v>1</v>
      </c>
      <c r="E1543" s="11" t="s">
        <v>2318</v>
      </c>
      <c r="F1543" t="s">
        <v>36</v>
      </c>
      <c r="G1543" s="2" t="s">
        <v>4</v>
      </c>
      <c r="H1543" s="1">
        <v>42.294000000000004</v>
      </c>
    </row>
    <row r="1544" spans="1:8" x14ac:dyDescent="0.3">
      <c r="A1544" s="2">
        <v>588</v>
      </c>
      <c r="B1544" t="s">
        <v>2751</v>
      </c>
      <c r="C1544" t="s">
        <v>3225</v>
      </c>
      <c r="D1544" s="2">
        <v>1</v>
      </c>
      <c r="E1544" s="11" t="s">
        <v>2636</v>
      </c>
      <c r="F1544" t="s">
        <v>47</v>
      </c>
      <c r="G1544" s="2" t="s">
        <v>4</v>
      </c>
      <c r="H1544" s="1">
        <v>158.89400000000001</v>
      </c>
    </row>
    <row r="1545" spans="1:8" x14ac:dyDescent="0.3">
      <c r="A1545" s="2">
        <v>588</v>
      </c>
      <c r="B1545" t="s">
        <v>2750</v>
      </c>
      <c r="C1545" t="s">
        <v>3224</v>
      </c>
      <c r="D1545" s="2">
        <v>1</v>
      </c>
      <c r="E1545" s="11" t="s">
        <v>2379</v>
      </c>
      <c r="F1545" t="s">
        <v>47</v>
      </c>
      <c r="G1545" s="2" t="s">
        <v>4</v>
      </c>
      <c r="H1545" s="1">
        <v>95.294000000000011</v>
      </c>
    </row>
    <row r="1546" spans="1:8" x14ac:dyDescent="0.3">
      <c r="A1546" s="2">
        <v>588</v>
      </c>
      <c r="B1546" t="s">
        <v>2270</v>
      </c>
      <c r="C1546" t="s">
        <v>1</v>
      </c>
      <c r="D1546" s="2">
        <v>1</v>
      </c>
      <c r="E1546" s="11" t="s">
        <v>2269</v>
      </c>
      <c r="F1546" t="s">
        <v>47</v>
      </c>
      <c r="G1546" s="2" t="s">
        <v>4</v>
      </c>
      <c r="H1546" s="1">
        <v>74.094000000000008</v>
      </c>
    </row>
    <row r="1547" spans="1:8" x14ac:dyDescent="0.3">
      <c r="A1547" s="2">
        <v>588</v>
      </c>
      <c r="B1547" t="s">
        <v>832</v>
      </c>
      <c r="C1547" t="s">
        <v>3225</v>
      </c>
      <c r="D1547" s="2">
        <v>1</v>
      </c>
      <c r="E1547" s="11" t="s">
        <v>831</v>
      </c>
      <c r="F1547" t="s">
        <v>47</v>
      </c>
      <c r="G1547" s="2" t="s">
        <v>4</v>
      </c>
      <c r="H1547" s="1">
        <v>190.69400000000002</v>
      </c>
    </row>
    <row r="1548" spans="1:8" x14ac:dyDescent="0.3">
      <c r="A1548" s="2">
        <v>588</v>
      </c>
      <c r="B1548" t="s">
        <v>955</v>
      </c>
      <c r="C1548" t="s">
        <v>1</v>
      </c>
      <c r="D1548" s="2">
        <v>1</v>
      </c>
      <c r="E1548" s="11" t="s">
        <v>279</v>
      </c>
      <c r="F1548" t="s">
        <v>47</v>
      </c>
      <c r="G1548" s="2" t="s">
        <v>4</v>
      </c>
      <c r="H1548" s="1">
        <v>47.594000000000001</v>
      </c>
    </row>
    <row r="1549" spans="1:8" x14ac:dyDescent="0.3">
      <c r="A1549" s="2">
        <v>588</v>
      </c>
      <c r="B1549" t="s">
        <v>2749</v>
      </c>
      <c r="C1549" t="s">
        <v>1</v>
      </c>
      <c r="D1549" s="2">
        <v>1</v>
      </c>
      <c r="E1549" s="11" t="s">
        <v>279</v>
      </c>
      <c r="F1549" t="s">
        <v>47</v>
      </c>
      <c r="G1549" s="2" t="s">
        <v>203</v>
      </c>
      <c r="H1549" s="1">
        <v>47.594000000000001</v>
      </c>
    </row>
    <row r="1550" spans="1:8" x14ac:dyDescent="0.3">
      <c r="A1550" s="2">
        <v>588</v>
      </c>
      <c r="B1550" t="s">
        <v>2748</v>
      </c>
      <c r="C1550" t="s">
        <v>3</v>
      </c>
      <c r="D1550" s="2">
        <v>1</v>
      </c>
      <c r="E1550" s="11" t="s">
        <v>2460</v>
      </c>
      <c r="F1550" t="s">
        <v>39</v>
      </c>
      <c r="G1550" s="2" t="s">
        <v>4</v>
      </c>
      <c r="H1550" s="1">
        <v>95.294000000000011</v>
      </c>
    </row>
    <row r="1551" spans="1:8" x14ac:dyDescent="0.3">
      <c r="A1551" s="2">
        <v>588</v>
      </c>
      <c r="B1551" t="s">
        <v>2747</v>
      </c>
      <c r="C1551" t="s">
        <v>3217</v>
      </c>
      <c r="D1551" s="2">
        <v>1</v>
      </c>
      <c r="E1551" s="11" t="s">
        <v>2458</v>
      </c>
      <c r="F1551" t="s">
        <v>39</v>
      </c>
      <c r="G1551" s="2" t="s">
        <v>4</v>
      </c>
      <c r="H1551" s="1">
        <v>89.994000000000014</v>
      </c>
    </row>
    <row r="1552" spans="1:8" x14ac:dyDescent="0.3">
      <c r="A1552" s="2">
        <v>588</v>
      </c>
      <c r="B1552" t="s">
        <v>2746</v>
      </c>
      <c r="C1552" t="s">
        <v>3224</v>
      </c>
      <c r="D1552" s="2">
        <v>1</v>
      </c>
      <c r="E1552" s="11" t="s">
        <v>2563</v>
      </c>
      <c r="F1552" t="s">
        <v>28</v>
      </c>
      <c r="G1552" s="2" t="s">
        <v>4</v>
      </c>
      <c r="H1552" s="1">
        <v>74.094000000000008</v>
      </c>
    </row>
    <row r="1553" spans="1:8" x14ac:dyDescent="0.3">
      <c r="A1553" s="2">
        <v>589</v>
      </c>
      <c r="B1553" t="s">
        <v>2745</v>
      </c>
      <c r="C1553" t="s">
        <v>1</v>
      </c>
      <c r="D1553" s="2">
        <v>1</v>
      </c>
      <c r="E1553" s="11" t="s">
        <v>285</v>
      </c>
      <c r="F1553" t="s">
        <v>65</v>
      </c>
      <c r="G1553" s="2" t="s">
        <v>23</v>
      </c>
      <c r="H1553" s="1">
        <v>68.794000000000011</v>
      </c>
    </row>
    <row r="1554" spans="1:8" x14ac:dyDescent="0.3">
      <c r="A1554" s="2">
        <v>589</v>
      </c>
      <c r="B1554" t="s">
        <v>2408</v>
      </c>
      <c r="C1554" t="s">
        <v>3224</v>
      </c>
      <c r="D1554" s="2">
        <v>1</v>
      </c>
      <c r="E1554" s="11" t="s">
        <v>2407</v>
      </c>
      <c r="F1554" t="s">
        <v>28</v>
      </c>
      <c r="G1554" s="2" t="s">
        <v>23</v>
      </c>
      <c r="H1554" s="1">
        <v>84.694000000000017</v>
      </c>
    </row>
    <row r="1555" spans="1:8" x14ac:dyDescent="0.3">
      <c r="A1555" s="2">
        <v>589</v>
      </c>
      <c r="B1555" t="s">
        <v>2560</v>
      </c>
      <c r="C1555" t="s">
        <v>3219</v>
      </c>
      <c r="D1555" s="2">
        <v>1</v>
      </c>
      <c r="E1555" s="11" t="s">
        <v>2316</v>
      </c>
      <c r="F1555" t="s">
        <v>28</v>
      </c>
      <c r="G1555" s="2" t="s">
        <v>23</v>
      </c>
      <c r="H1555" s="1">
        <v>164.19400000000002</v>
      </c>
    </row>
    <row r="1556" spans="1:8" x14ac:dyDescent="0.3">
      <c r="A1556" s="2">
        <v>589</v>
      </c>
      <c r="B1556" t="s">
        <v>2744</v>
      </c>
      <c r="C1556" t="s">
        <v>1</v>
      </c>
      <c r="D1556" s="2">
        <v>1</v>
      </c>
      <c r="E1556" s="11" t="s">
        <v>2136</v>
      </c>
      <c r="F1556" t="s">
        <v>28</v>
      </c>
      <c r="G1556" s="2" t="s">
        <v>203</v>
      </c>
      <c r="H1556" s="1">
        <v>52.893999999999998</v>
      </c>
    </row>
    <row r="1557" spans="1:8" x14ac:dyDescent="0.3">
      <c r="A1557" s="2">
        <v>589</v>
      </c>
      <c r="B1557" t="s">
        <v>2743</v>
      </c>
      <c r="C1557" t="s">
        <v>3219</v>
      </c>
      <c r="D1557" s="2">
        <v>1</v>
      </c>
      <c r="E1557" s="11" t="s">
        <v>2683</v>
      </c>
      <c r="F1557" t="s">
        <v>62</v>
      </c>
      <c r="G1557" s="2" t="s">
        <v>23</v>
      </c>
      <c r="H1557" s="1">
        <v>148.29400000000001</v>
      </c>
    </row>
    <row r="1558" spans="1:8" x14ac:dyDescent="0.3">
      <c r="A1558" s="2">
        <v>589</v>
      </c>
      <c r="B1558" t="s">
        <v>2742</v>
      </c>
      <c r="C1558" t="s">
        <v>1</v>
      </c>
      <c r="D1558" s="2">
        <v>1</v>
      </c>
      <c r="E1558" s="11" t="s">
        <v>2741</v>
      </c>
      <c r="F1558" t="s">
        <v>62</v>
      </c>
      <c r="G1558" s="2" t="s">
        <v>203</v>
      </c>
      <c r="H1558" s="1">
        <v>74.094000000000008</v>
      </c>
    </row>
    <row r="1559" spans="1:8" x14ac:dyDescent="0.3">
      <c r="A1559" s="2">
        <v>589</v>
      </c>
      <c r="B1559" t="s">
        <v>2423</v>
      </c>
      <c r="C1559" t="s">
        <v>3224</v>
      </c>
      <c r="D1559" s="2">
        <v>1</v>
      </c>
      <c r="E1559" s="11" t="s">
        <v>2422</v>
      </c>
      <c r="F1559" t="s">
        <v>62</v>
      </c>
      <c r="G1559" s="2" t="s">
        <v>23</v>
      </c>
      <c r="H1559" s="1">
        <v>63.494000000000007</v>
      </c>
    </row>
    <row r="1560" spans="1:8" x14ac:dyDescent="0.3">
      <c r="A1560" s="2">
        <v>589</v>
      </c>
      <c r="B1560" t="s">
        <v>1162</v>
      </c>
      <c r="C1560" t="s">
        <v>1</v>
      </c>
      <c r="D1560" s="2">
        <v>2</v>
      </c>
      <c r="E1560" s="11" t="s">
        <v>285</v>
      </c>
      <c r="F1560" t="s">
        <v>47</v>
      </c>
      <c r="G1560" s="2" t="s">
        <v>4</v>
      </c>
      <c r="H1560" s="1">
        <v>68.794000000000011</v>
      </c>
    </row>
    <row r="1561" spans="1:8" x14ac:dyDescent="0.3">
      <c r="A1561" s="2">
        <v>589</v>
      </c>
      <c r="B1561" t="s">
        <v>2637</v>
      </c>
      <c r="C1561" t="s">
        <v>3225</v>
      </c>
      <c r="D1561" s="2">
        <v>1</v>
      </c>
      <c r="E1561" s="11" t="s">
        <v>2636</v>
      </c>
      <c r="F1561" t="s">
        <v>47</v>
      </c>
      <c r="G1561" s="2" t="s">
        <v>23</v>
      </c>
      <c r="H1561" s="1">
        <v>158.89400000000001</v>
      </c>
    </row>
    <row r="1562" spans="1:8" x14ac:dyDescent="0.3">
      <c r="A1562" s="2">
        <v>589</v>
      </c>
      <c r="B1562" t="s">
        <v>2740</v>
      </c>
      <c r="C1562" t="s">
        <v>1</v>
      </c>
      <c r="D1562" s="2">
        <v>1</v>
      </c>
      <c r="E1562" s="11" t="s">
        <v>2739</v>
      </c>
      <c r="F1562" t="s">
        <v>47</v>
      </c>
      <c r="G1562" s="2" t="s">
        <v>203</v>
      </c>
      <c r="H1562" s="1">
        <v>89.994000000000014</v>
      </c>
    </row>
    <row r="1563" spans="1:8" x14ac:dyDescent="0.3">
      <c r="A1563" s="2">
        <v>589</v>
      </c>
      <c r="B1563" t="s">
        <v>2738</v>
      </c>
      <c r="C1563" t="s">
        <v>1</v>
      </c>
      <c r="D1563" s="2">
        <v>1</v>
      </c>
      <c r="E1563" s="11" t="s">
        <v>2737</v>
      </c>
      <c r="F1563" t="s">
        <v>28</v>
      </c>
      <c r="G1563" s="2" t="s">
        <v>203</v>
      </c>
      <c r="H1563" s="1">
        <v>79.394000000000005</v>
      </c>
    </row>
    <row r="1564" spans="1:8" x14ac:dyDescent="0.3">
      <c r="A1564" s="2">
        <v>589</v>
      </c>
      <c r="B1564" t="s">
        <v>2736</v>
      </c>
      <c r="C1564" t="s">
        <v>0</v>
      </c>
      <c r="D1564" s="2">
        <v>1</v>
      </c>
      <c r="E1564" s="11" t="s">
        <v>2483</v>
      </c>
      <c r="F1564" t="s">
        <v>28</v>
      </c>
      <c r="G1564" s="2" t="s">
        <v>23</v>
      </c>
      <c r="H1564" s="1">
        <v>148.29400000000001</v>
      </c>
    </row>
    <row r="1565" spans="1:8" x14ac:dyDescent="0.3">
      <c r="A1565" s="2">
        <v>590</v>
      </c>
      <c r="B1565" t="s">
        <v>2735</v>
      </c>
      <c r="C1565" t="s">
        <v>3220</v>
      </c>
      <c r="D1565" s="2">
        <v>1</v>
      </c>
      <c r="E1565" s="11" t="s">
        <v>2419</v>
      </c>
      <c r="F1565" t="s">
        <v>126</v>
      </c>
      <c r="G1565" s="2" t="s">
        <v>4</v>
      </c>
      <c r="H1565" s="1">
        <v>47.594000000000001</v>
      </c>
    </row>
    <row r="1566" spans="1:8" x14ac:dyDescent="0.3">
      <c r="A1566" s="2">
        <v>590</v>
      </c>
      <c r="B1566" t="s">
        <v>2734</v>
      </c>
      <c r="C1566" t="s">
        <v>3220</v>
      </c>
      <c r="D1566" s="2">
        <v>1</v>
      </c>
      <c r="E1566" s="11" t="s">
        <v>2419</v>
      </c>
      <c r="F1566" t="s">
        <v>126</v>
      </c>
      <c r="G1566" s="2" t="s">
        <v>31</v>
      </c>
      <c r="H1566" s="1">
        <v>47.594000000000001</v>
      </c>
    </row>
    <row r="1567" spans="1:8" x14ac:dyDescent="0.3">
      <c r="A1567" s="2">
        <v>590</v>
      </c>
      <c r="B1567" t="s">
        <v>2733</v>
      </c>
      <c r="C1567" t="s">
        <v>3220</v>
      </c>
      <c r="D1567" s="2">
        <v>2</v>
      </c>
      <c r="E1567" s="11" t="s">
        <v>2419</v>
      </c>
      <c r="F1567" t="s">
        <v>126</v>
      </c>
      <c r="G1567" s="2" t="s">
        <v>23</v>
      </c>
      <c r="H1567" s="1">
        <v>47.594000000000001</v>
      </c>
    </row>
    <row r="1568" spans="1:8" x14ac:dyDescent="0.3">
      <c r="A1568" s="2">
        <v>590</v>
      </c>
      <c r="B1568" t="s">
        <v>2732</v>
      </c>
      <c r="C1568" t="s">
        <v>3224</v>
      </c>
      <c r="D1568" s="2">
        <v>2</v>
      </c>
      <c r="E1568" s="11" t="s">
        <v>2426</v>
      </c>
      <c r="F1568" t="s">
        <v>126</v>
      </c>
      <c r="G1568" s="2" t="s">
        <v>4</v>
      </c>
      <c r="H1568" s="1">
        <v>95.294000000000011</v>
      </c>
    </row>
    <row r="1569" spans="1:8" x14ac:dyDescent="0.3">
      <c r="A1569" s="2">
        <v>590</v>
      </c>
      <c r="B1569" t="s">
        <v>2731</v>
      </c>
      <c r="C1569" t="s">
        <v>3224</v>
      </c>
      <c r="D1569" s="2">
        <v>1</v>
      </c>
      <c r="E1569" s="11" t="s">
        <v>2426</v>
      </c>
      <c r="F1569" t="s">
        <v>126</v>
      </c>
      <c r="G1569" s="2" t="s">
        <v>31</v>
      </c>
      <c r="H1569" s="1">
        <v>95.294000000000011</v>
      </c>
    </row>
    <row r="1570" spans="1:8" x14ac:dyDescent="0.3">
      <c r="A1570" s="2">
        <v>590</v>
      </c>
      <c r="B1570" t="s">
        <v>2427</v>
      </c>
      <c r="C1570" t="s">
        <v>3224</v>
      </c>
      <c r="D1570" s="2">
        <v>1</v>
      </c>
      <c r="E1570" s="11" t="s">
        <v>2426</v>
      </c>
      <c r="F1570" t="s">
        <v>126</v>
      </c>
      <c r="G1570" s="2" t="s">
        <v>23</v>
      </c>
      <c r="H1570" s="1">
        <v>95.294000000000011</v>
      </c>
    </row>
    <row r="1571" spans="1:8" x14ac:dyDescent="0.3">
      <c r="A1571" s="2">
        <v>590</v>
      </c>
      <c r="B1571" t="s">
        <v>2730</v>
      </c>
      <c r="C1571" t="s">
        <v>3220</v>
      </c>
      <c r="D1571" s="2">
        <v>1</v>
      </c>
      <c r="E1571" s="11" t="s">
        <v>2419</v>
      </c>
      <c r="F1571" t="s">
        <v>114</v>
      </c>
      <c r="G1571" s="2" t="s">
        <v>4</v>
      </c>
      <c r="H1571" s="1">
        <v>47.594000000000001</v>
      </c>
    </row>
    <row r="1572" spans="1:8" x14ac:dyDescent="0.3">
      <c r="A1572" s="2">
        <v>590</v>
      </c>
      <c r="B1572" t="s">
        <v>2729</v>
      </c>
      <c r="C1572" t="s">
        <v>3220</v>
      </c>
      <c r="D1572" s="2">
        <v>1</v>
      </c>
      <c r="E1572" s="11" t="s">
        <v>2419</v>
      </c>
      <c r="F1572" t="s">
        <v>114</v>
      </c>
      <c r="G1572" s="2" t="s">
        <v>31</v>
      </c>
      <c r="H1572" s="1">
        <v>47.594000000000001</v>
      </c>
    </row>
    <row r="1573" spans="1:8" x14ac:dyDescent="0.3">
      <c r="A1573" s="2">
        <v>590</v>
      </c>
      <c r="B1573" t="s">
        <v>2728</v>
      </c>
      <c r="C1573" t="s">
        <v>3224</v>
      </c>
      <c r="D1573" s="2">
        <v>2</v>
      </c>
      <c r="E1573" s="11" t="s">
        <v>2426</v>
      </c>
      <c r="F1573" t="s">
        <v>39</v>
      </c>
      <c r="G1573" s="2" t="s">
        <v>4</v>
      </c>
      <c r="H1573" s="1">
        <v>95.294000000000011</v>
      </c>
    </row>
    <row r="1574" spans="1:8" x14ac:dyDescent="0.3">
      <c r="A1574" s="2">
        <v>591</v>
      </c>
      <c r="B1574" t="s">
        <v>2723</v>
      </c>
      <c r="C1574" t="s">
        <v>3225</v>
      </c>
      <c r="D1574" s="2">
        <v>1</v>
      </c>
      <c r="E1574" s="11" t="s">
        <v>831</v>
      </c>
      <c r="F1574" t="s">
        <v>78</v>
      </c>
      <c r="G1574" s="2" t="s">
        <v>31</v>
      </c>
      <c r="H1574" s="1">
        <v>190.69400000000002</v>
      </c>
    </row>
    <row r="1575" spans="1:8" x14ac:dyDescent="0.3">
      <c r="A1575" s="2">
        <v>591</v>
      </c>
      <c r="B1575" t="s">
        <v>2706</v>
      </c>
      <c r="C1575" t="s">
        <v>3225</v>
      </c>
      <c r="D1575" s="2">
        <v>1</v>
      </c>
      <c r="E1575" s="11" t="s">
        <v>831</v>
      </c>
      <c r="F1575" t="s">
        <v>78</v>
      </c>
      <c r="G1575" s="2" t="s">
        <v>23</v>
      </c>
      <c r="H1575" s="1">
        <v>190.69400000000002</v>
      </c>
    </row>
    <row r="1576" spans="1:8" x14ac:dyDescent="0.3">
      <c r="A1576" s="2">
        <v>591</v>
      </c>
      <c r="B1576" t="s">
        <v>2727</v>
      </c>
      <c r="C1576" t="s">
        <v>0</v>
      </c>
      <c r="D1576" s="2">
        <v>1</v>
      </c>
      <c r="E1576" s="11" t="s">
        <v>1584</v>
      </c>
      <c r="F1576" t="s">
        <v>36</v>
      </c>
      <c r="G1576" s="2" t="s">
        <v>4</v>
      </c>
      <c r="H1576" s="1">
        <v>169.49400000000003</v>
      </c>
    </row>
    <row r="1577" spans="1:8" x14ac:dyDescent="0.3">
      <c r="A1577" s="2">
        <v>591</v>
      </c>
      <c r="B1577" t="s">
        <v>2712</v>
      </c>
      <c r="C1577" t="s">
        <v>0</v>
      </c>
      <c r="D1577" s="2">
        <v>1</v>
      </c>
      <c r="E1577" s="11" t="s">
        <v>1584</v>
      </c>
      <c r="F1577" t="s">
        <v>36</v>
      </c>
      <c r="G1577" s="2" t="s">
        <v>31</v>
      </c>
      <c r="H1577" s="1">
        <v>169.49400000000003</v>
      </c>
    </row>
    <row r="1578" spans="1:8" x14ac:dyDescent="0.3">
      <c r="A1578" s="2">
        <v>591</v>
      </c>
      <c r="B1578" t="s">
        <v>2688</v>
      </c>
      <c r="C1578" t="s">
        <v>0</v>
      </c>
      <c r="D1578" s="2">
        <v>1</v>
      </c>
      <c r="E1578" s="11" t="s">
        <v>1584</v>
      </c>
      <c r="F1578" t="s">
        <v>36</v>
      </c>
      <c r="G1578" s="2" t="s">
        <v>23</v>
      </c>
      <c r="H1578" s="1">
        <v>169.49400000000003</v>
      </c>
    </row>
    <row r="1579" spans="1:8" x14ac:dyDescent="0.3">
      <c r="A1579" s="2">
        <v>592</v>
      </c>
      <c r="B1579" t="s">
        <v>2598</v>
      </c>
      <c r="C1579" t="s">
        <v>3224</v>
      </c>
      <c r="D1579" s="2">
        <v>1</v>
      </c>
      <c r="E1579" s="11" t="s">
        <v>193</v>
      </c>
      <c r="F1579" t="s">
        <v>65</v>
      </c>
      <c r="G1579" s="2" t="s">
        <v>31</v>
      </c>
      <c r="H1579" s="1">
        <v>100.59400000000001</v>
      </c>
    </row>
    <row r="1580" spans="1:8" x14ac:dyDescent="0.3">
      <c r="A1580" s="2">
        <v>592</v>
      </c>
      <c r="B1580" t="s">
        <v>2433</v>
      </c>
      <c r="C1580" t="s">
        <v>0</v>
      </c>
      <c r="D1580" s="2">
        <v>1</v>
      </c>
      <c r="E1580" s="11" t="s">
        <v>2285</v>
      </c>
      <c r="F1580" t="s">
        <v>65</v>
      </c>
      <c r="G1580" s="2" t="s">
        <v>31</v>
      </c>
      <c r="H1580" s="1">
        <v>158.89400000000001</v>
      </c>
    </row>
    <row r="1581" spans="1:8" x14ac:dyDescent="0.3">
      <c r="A1581" s="2">
        <v>592</v>
      </c>
      <c r="B1581" t="s">
        <v>2702</v>
      </c>
      <c r="C1581" t="s">
        <v>0</v>
      </c>
      <c r="D1581" s="2">
        <v>1</v>
      </c>
      <c r="E1581" s="11" t="s">
        <v>2442</v>
      </c>
      <c r="F1581" t="s">
        <v>65</v>
      </c>
      <c r="G1581" s="2" t="s">
        <v>31</v>
      </c>
      <c r="H1581" s="1">
        <v>180.09400000000002</v>
      </c>
    </row>
    <row r="1582" spans="1:8" x14ac:dyDescent="0.3">
      <c r="A1582" s="2">
        <v>592</v>
      </c>
      <c r="B1582" t="s">
        <v>2506</v>
      </c>
      <c r="C1582" t="s">
        <v>3224</v>
      </c>
      <c r="D1582" s="2">
        <v>1</v>
      </c>
      <c r="E1582" s="11" t="s">
        <v>2180</v>
      </c>
      <c r="F1582" t="s">
        <v>114</v>
      </c>
      <c r="G1582" s="2" t="s">
        <v>31</v>
      </c>
      <c r="H1582" s="1">
        <v>84.694000000000017</v>
      </c>
    </row>
    <row r="1583" spans="1:8" x14ac:dyDescent="0.3">
      <c r="A1583" s="2">
        <v>592</v>
      </c>
      <c r="B1583" t="s">
        <v>2505</v>
      </c>
      <c r="C1583" t="s">
        <v>3</v>
      </c>
      <c r="D1583" s="2">
        <v>1</v>
      </c>
      <c r="E1583" s="11" t="s">
        <v>2178</v>
      </c>
      <c r="F1583" t="s">
        <v>114</v>
      </c>
      <c r="G1583" s="2" t="s">
        <v>31</v>
      </c>
      <c r="H1583" s="1">
        <v>111.19400000000002</v>
      </c>
    </row>
    <row r="1584" spans="1:8" x14ac:dyDescent="0.3">
      <c r="A1584" s="2">
        <v>592</v>
      </c>
      <c r="B1584" t="s">
        <v>2726</v>
      </c>
      <c r="C1584" t="s">
        <v>3225</v>
      </c>
      <c r="D1584" s="2">
        <v>1</v>
      </c>
      <c r="E1584" s="11" t="s">
        <v>2440</v>
      </c>
      <c r="F1584" t="s">
        <v>62</v>
      </c>
      <c r="G1584" s="2" t="s">
        <v>31</v>
      </c>
      <c r="H1584" s="1">
        <v>206.59400000000002</v>
      </c>
    </row>
    <row r="1585" spans="1:8" x14ac:dyDescent="0.3">
      <c r="A1585" s="2">
        <v>592</v>
      </c>
      <c r="B1585" t="s">
        <v>2173</v>
      </c>
      <c r="C1585" t="s">
        <v>3219</v>
      </c>
      <c r="D1585" s="2">
        <v>1</v>
      </c>
      <c r="E1585" s="11" t="s">
        <v>2172</v>
      </c>
      <c r="F1585" t="s">
        <v>114</v>
      </c>
      <c r="G1585" s="2" t="s">
        <v>23</v>
      </c>
      <c r="H1585" s="1">
        <v>142.994</v>
      </c>
    </row>
    <row r="1586" spans="1:8" x14ac:dyDescent="0.3">
      <c r="A1586" s="2">
        <v>592</v>
      </c>
      <c r="B1586" t="s">
        <v>2725</v>
      </c>
      <c r="C1586" t="s">
        <v>3219</v>
      </c>
      <c r="D1586" s="2">
        <v>1</v>
      </c>
      <c r="E1586" s="11" t="s">
        <v>2316</v>
      </c>
      <c r="F1586" t="s">
        <v>36</v>
      </c>
      <c r="G1586" s="2" t="s">
        <v>31</v>
      </c>
      <c r="H1586" s="1">
        <v>164.19400000000002</v>
      </c>
    </row>
    <row r="1587" spans="1:8" x14ac:dyDescent="0.3">
      <c r="A1587" s="2">
        <v>592</v>
      </c>
      <c r="B1587" t="s">
        <v>2724</v>
      </c>
      <c r="C1587" t="s">
        <v>0</v>
      </c>
      <c r="D1587" s="2">
        <v>1</v>
      </c>
      <c r="E1587" s="11" t="s">
        <v>987</v>
      </c>
      <c r="F1587" t="s">
        <v>78</v>
      </c>
      <c r="G1587" s="2" t="s">
        <v>31</v>
      </c>
      <c r="H1587" s="1">
        <v>185.39400000000001</v>
      </c>
    </row>
    <row r="1588" spans="1:8" x14ac:dyDescent="0.3">
      <c r="A1588" s="2">
        <v>592</v>
      </c>
      <c r="B1588" t="s">
        <v>2723</v>
      </c>
      <c r="C1588" t="s">
        <v>3225</v>
      </c>
      <c r="D1588" s="2">
        <v>1</v>
      </c>
      <c r="E1588" s="11" t="s">
        <v>831</v>
      </c>
      <c r="F1588" t="s">
        <v>78</v>
      </c>
      <c r="G1588" s="2" t="s">
        <v>31</v>
      </c>
      <c r="H1588" s="1">
        <v>190.69400000000002</v>
      </c>
    </row>
    <row r="1589" spans="1:8" x14ac:dyDescent="0.3">
      <c r="A1589" s="2">
        <v>592</v>
      </c>
      <c r="B1589" t="s">
        <v>1579</v>
      </c>
      <c r="C1589" t="s">
        <v>3219</v>
      </c>
      <c r="D1589" s="2">
        <v>1</v>
      </c>
      <c r="E1589" s="11" t="s">
        <v>102</v>
      </c>
      <c r="F1589" t="s">
        <v>47</v>
      </c>
      <c r="G1589" s="2" t="s">
        <v>23</v>
      </c>
      <c r="H1589" s="1">
        <v>121.79400000000001</v>
      </c>
    </row>
    <row r="1590" spans="1:8" x14ac:dyDescent="0.3">
      <c r="A1590" s="2">
        <v>592</v>
      </c>
      <c r="B1590" t="s">
        <v>1463</v>
      </c>
      <c r="C1590" t="s">
        <v>3221</v>
      </c>
      <c r="D1590" s="2">
        <v>1</v>
      </c>
      <c r="E1590" s="11" t="s">
        <v>1462</v>
      </c>
      <c r="F1590" t="s">
        <v>47</v>
      </c>
      <c r="G1590" s="2" t="s">
        <v>23</v>
      </c>
      <c r="H1590" s="1">
        <v>116.49400000000001</v>
      </c>
    </row>
    <row r="1591" spans="1:8" x14ac:dyDescent="0.3">
      <c r="A1591" s="2">
        <v>592</v>
      </c>
      <c r="B1591" t="s">
        <v>2206</v>
      </c>
      <c r="C1591" t="s">
        <v>2</v>
      </c>
      <c r="D1591" s="2">
        <v>1</v>
      </c>
      <c r="E1591" s="11" t="s">
        <v>60</v>
      </c>
      <c r="F1591" t="s">
        <v>47</v>
      </c>
      <c r="G1591" s="2" t="s">
        <v>31</v>
      </c>
      <c r="H1591" s="1">
        <v>68.794000000000011</v>
      </c>
    </row>
    <row r="1592" spans="1:8" x14ac:dyDescent="0.3">
      <c r="A1592" s="2">
        <v>593</v>
      </c>
      <c r="B1592" t="s">
        <v>2722</v>
      </c>
      <c r="C1592" t="s">
        <v>1</v>
      </c>
      <c r="D1592" s="2">
        <v>1</v>
      </c>
      <c r="E1592" s="11" t="s">
        <v>1979</v>
      </c>
      <c r="F1592" t="s">
        <v>65</v>
      </c>
      <c r="G1592" s="2" t="s">
        <v>4</v>
      </c>
      <c r="H1592" s="1">
        <v>100.59400000000001</v>
      </c>
    </row>
    <row r="1593" spans="1:8" x14ac:dyDescent="0.3">
      <c r="A1593" s="2">
        <v>593</v>
      </c>
      <c r="B1593" t="s">
        <v>2721</v>
      </c>
      <c r="C1593" t="s">
        <v>3</v>
      </c>
      <c r="D1593" s="2">
        <v>1</v>
      </c>
      <c r="E1593" s="11" t="s">
        <v>2324</v>
      </c>
      <c r="F1593" t="s">
        <v>65</v>
      </c>
      <c r="G1593" s="2" t="s">
        <v>4</v>
      </c>
      <c r="H1593" s="1">
        <v>111.19400000000002</v>
      </c>
    </row>
    <row r="1594" spans="1:8" x14ac:dyDescent="0.3">
      <c r="A1594" s="2">
        <v>593</v>
      </c>
      <c r="B1594" t="s">
        <v>2720</v>
      </c>
      <c r="C1594" t="s">
        <v>3</v>
      </c>
      <c r="D1594" s="2">
        <v>1</v>
      </c>
      <c r="E1594" s="11" t="s">
        <v>2324</v>
      </c>
      <c r="F1594" t="s">
        <v>65</v>
      </c>
      <c r="G1594" s="2" t="s">
        <v>31</v>
      </c>
      <c r="H1594" s="1">
        <v>111.19400000000002</v>
      </c>
    </row>
    <row r="1595" spans="1:8" x14ac:dyDescent="0.3">
      <c r="A1595" s="2">
        <v>593</v>
      </c>
      <c r="B1595" t="s">
        <v>2433</v>
      </c>
      <c r="C1595" t="s">
        <v>0</v>
      </c>
      <c r="D1595" s="2">
        <v>1</v>
      </c>
      <c r="E1595" s="11" t="s">
        <v>2285</v>
      </c>
      <c r="F1595" t="s">
        <v>65</v>
      </c>
      <c r="G1595" s="2" t="s">
        <v>31</v>
      </c>
      <c r="H1595" s="1">
        <v>158.89400000000001</v>
      </c>
    </row>
    <row r="1596" spans="1:8" x14ac:dyDescent="0.3">
      <c r="A1596" s="2">
        <v>593</v>
      </c>
      <c r="B1596" t="s">
        <v>2719</v>
      </c>
      <c r="C1596" t="s">
        <v>3217</v>
      </c>
      <c r="D1596" s="2">
        <v>1</v>
      </c>
      <c r="E1596" s="11" t="s">
        <v>1285</v>
      </c>
      <c r="F1596" t="s">
        <v>959</v>
      </c>
      <c r="G1596" s="2" t="s">
        <v>4</v>
      </c>
      <c r="H1596" s="1">
        <v>42.294000000000004</v>
      </c>
    </row>
    <row r="1597" spans="1:8" x14ac:dyDescent="0.3">
      <c r="A1597" s="2">
        <v>593</v>
      </c>
      <c r="B1597" t="s">
        <v>2718</v>
      </c>
      <c r="C1597" t="s">
        <v>1</v>
      </c>
      <c r="D1597" s="2">
        <v>1</v>
      </c>
      <c r="E1597" s="11" t="s">
        <v>1979</v>
      </c>
      <c r="F1597" t="s">
        <v>39</v>
      </c>
      <c r="G1597" s="2" t="s">
        <v>31</v>
      </c>
      <c r="H1597" s="1">
        <v>100.59400000000001</v>
      </c>
    </row>
    <row r="1598" spans="1:8" x14ac:dyDescent="0.3">
      <c r="A1598" s="2">
        <v>593</v>
      </c>
      <c r="B1598" t="s">
        <v>2717</v>
      </c>
      <c r="C1598" t="s">
        <v>3</v>
      </c>
      <c r="D1598" s="2">
        <v>1</v>
      </c>
      <c r="E1598" s="11" t="s">
        <v>2324</v>
      </c>
      <c r="F1598" t="s">
        <v>39</v>
      </c>
      <c r="G1598" s="2" t="s">
        <v>31</v>
      </c>
      <c r="H1598" s="1">
        <v>111.19400000000002</v>
      </c>
    </row>
    <row r="1599" spans="1:8" x14ac:dyDescent="0.3">
      <c r="A1599" s="2">
        <v>593</v>
      </c>
      <c r="B1599" t="s">
        <v>2713</v>
      </c>
      <c r="C1599" t="s">
        <v>0</v>
      </c>
      <c r="D1599" s="2">
        <v>1</v>
      </c>
      <c r="E1599" s="11" t="s">
        <v>2285</v>
      </c>
      <c r="F1599" t="s">
        <v>39</v>
      </c>
      <c r="G1599" s="2" t="s">
        <v>23</v>
      </c>
      <c r="H1599" s="1">
        <v>158.89400000000001</v>
      </c>
    </row>
    <row r="1600" spans="1:8" x14ac:dyDescent="0.3">
      <c r="A1600" s="2">
        <v>593</v>
      </c>
      <c r="B1600" t="s">
        <v>2716</v>
      </c>
      <c r="C1600" t="s">
        <v>1</v>
      </c>
      <c r="D1600" s="2">
        <v>1</v>
      </c>
      <c r="E1600" s="11" t="s">
        <v>1979</v>
      </c>
      <c r="F1600" t="s">
        <v>28</v>
      </c>
      <c r="G1600" s="2" t="s">
        <v>23</v>
      </c>
      <c r="H1600" s="1">
        <v>100.59400000000001</v>
      </c>
    </row>
    <row r="1601" spans="1:8" x14ac:dyDescent="0.3">
      <c r="A1601" s="2">
        <v>593</v>
      </c>
      <c r="B1601" t="s">
        <v>2325</v>
      </c>
      <c r="C1601" t="s">
        <v>3</v>
      </c>
      <c r="D1601" s="2">
        <v>1</v>
      </c>
      <c r="E1601" s="11" t="s">
        <v>2324</v>
      </c>
      <c r="F1601" t="s">
        <v>28</v>
      </c>
      <c r="G1601" s="2" t="s">
        <v>23</v>
      </c>
      <c r="H1601" s="1">
        <v>111.19400000000002</v>
      </c>
    </row>
    <row r="1602" spans="1:8" x14ac:dyDescent="0.3">
      <c r="A1602" s="2">
        <v>593</v>
      </c>
      <c r="B1602" t="s">
        <v>2473</v>
      </c>
      <c r="C1602" t="s">
        <v>0</v>
      </c>
      <c r="D1602" s="2">
        <v>1</v>
      </c>
      <c r="E1602" s="11" t="s">
        <v>2285</v>
      </c>
      <c r="F1602" t="s">
        <v>28</v>
      </c>
      <c r="G1602" s="2" t="s">
        <v>4</v>
      </c>
      <c r="H1602" s="1">
        <v>158.89400000000001</v>
      </c>
    </row>
    <row r="1603" spans="1:8" x14ac:dyDescent="0.3">
      <c r="A1603" s="2">
        <v>593</v>
      </c>
      <c r="B1603" t="s">
        <v>2715</v>
      </c>
      <c r="C1603" t="s">
        <v>1</v>
      </c>
      <c r="D1603" s="2">
        <v>1</v>
      </c>
      <c r="E1603" s="11" t="s">
        <v>279</v>
      </c>
      <c r="F1603" t="s">
        <v>28</v>
      </c>
      <c r="G1603" s="2" t="s">
        <v>203</v>
      </c>
      <c r="H1603" s="1">
        <v>47.594000000000001</v>
      </c>
    </row>
    <row r="1604" spans="1:8" x14ac:dyDescent="0.3">
      <c r="A1604" s="2">
        <v>594</v>
      </c>
      <c r="B1604" t="s">
        <v>2436</v>
      </c>
      <c r="C1604" t="s">
        <v>0</v>
      </c>
      <c r="D1604" s="2">
        <v>1</v>
      </c>
      <c r="E1604" s="11" t="s">
        <v>2060</v>
      </c>
      <c r="F1604" t="s">
        <v>28</v>
      </c>
      <c r="G1604" s="2" t="s">
        <v>23</v>
      </c>
      <c r="H1604" s="1">
        <v>158.89400000000001</v>
      </c>
    </row>
    <row r="1605" spans="1:8" x14ac:dyDescent="0.3">
      <c r="A1605" s="2">
        <v>594</v>
      </c>
      <c r="B1605" t="s">
        <v>2625</v>
      </c>
      <c r="C1605" t="s">
        <v>3217</v>
      </c>
      <c r="D1605" s="2">
        <v>1</v>
      </c>
      <c r="E1605" s="11" t="s">
        <v>1948</v>
      </c>
      <c r="F1605" t="s">
        <v>114</v>
      </c>
      <c r="G1605" s="2" t="s">
        <v>4</v>
      </c>
      <c r="H1605" s="1">
        <v>63.494000000000007</v>
      </c>
    </row>
    <row r="1606" spans="1:8" x14ac:dyDescent="0.3">
      <c r="A1606" s="2">
        <v>594</v>
      </c>
      <c r="B1606" t="s">
        <v>2149</v>
      </c>
      <c r="C1606" t="s">
        <v>0</v>
      </c>
      <c r="D1606" s="2">
        <v>1</v>
      </c>
      <c r="E1606" s="11" t="s">
        <v>987</v>
      </c>
      <c r="F1606" t="s">
        <v>78</v>
      </c>
      <c r="G1606" s="2" t="s">
        <v>23</v>
      </c>
      <c r="H1606" s="1">
        <v>185.39400000000001</v>
      </c>
    </row>
    <row r="1607" spans="1:8" x14ac:dyDescent="0.3">
      <c r="A1607" s="2">
        <v>594</v>
      </c>
      <c r="B1607" t="s">
        <v>2714</v>
      </c>
      <c r="C1607" t="s">
        <v>1</v>
      </c>
      <c r="D1607" s="2">
        <v>1</v>
      </c>
      <c r="E1607" s="11" t="s">
        <v>2136</v>
      </c>
      <c r="F1607" t="s">
        <v>39</v>
      </c>
      <c r="G1607" s="2" t="s">
        <v>4</v>
      </c>
      <c r="H1607" s="1">
        <v>52.893999999999998</v>
      </c>
    </row>
    <row r="1608" spans="1:8" x14ac:dyDescent="0.3">
      <c r="A1608" s="2">
        <v>594</v>
      </c>
      <c r="B1608" t="s">
        <v>2291</v>
      </c>
      <c r="C1608" t="s">
        <v>0</v>
      </c>
      <c r="D1608" s="2">
        <v>1</v>
      </c>
      <c r="E1608" s="11" t="s">
        <v>2285</v>
      </c>
      <c r="F1608" t="s">
        <v>39</v>
      </c>
      <c r="G1608" s="2" t="s">
        <v>4</v>
      </c>
      <c r="H1608" s="1">
        <v>158.89400000000001</v>
      </c>
    </row>
    <row r="1609" spans="1:8" x14ac:dyDescent="0.3">
      <c r="A1609" s="2">
        <v>594</v>
      </c>
      <c r="B1609" t="s">
        <v>2605</v>
      </c>
      <c r="C1609" t="s">
        <v>0</v>
      </c>
      <c r="D1609" s="2">
        <v>1</v>
      </c>
      <c r="E1609" s="11" t="s">
        <v>2285</v>
      </c>
      <c r="F1609" t="s">
        <v>39</v>
      </c>
      <c r="G1609" s="2" t="s">
        <v>31</v>
      </c>
      <c r="H1609" s="1">
        <v>158.89400000000001</v>
      </c>
    </row>
    <row r="1610" spans="1:8" x14ac:dyDescent="0.3">
      <c r="A1610" s="2">
        <v>594</v>
      </c>
      <c r="B1610" t="s">
        <v>2713</v>
      </c>
      <c r="C1610" t="s">
        <v>0</v>
      </c>
      <c r="D1610" s="2">
        <v>1</v>
      </c>
      <c r="E1610" s="11" t="s">
        <v>2285</v>
      </c>
      <c r="F1610" t="s">
        <v>39</v>
      </c>
      <c r="G1610" s="2" t="s">
        <v>23</v>
      </c>
      <c r="H1610" s="1">
        <v>158.89400000000001</v>
      </c>
    </row>
    <row r="1611" spans="1:8" x14ac:dyDescent="0.3">
      <c r="A1611" s="2">
        <v>594</v>
      </c>
      <c r="B1611" t="s">
        <v>2712</v>
      </c>
      <c r="C1611" t="s">
        <v>0</v>
      </c>
      <c r="D1611" s="2">
        <v>1</v>
      </c>
      <c r="E1611" s="11" t="s">
        <v>1584</v>
      </c>
      <c r="F1611" t="s">
        <v>36</v>
      </c>
      <c r="G1611" s="2" t="s">
        <v>31</v>
      </c>
      <c r="H1611" s="1">
        <v>169.49400000000003</v>
      </c>
    </row>
    <row r="1612" spans="1:8" x14ac:dyDescent="0.3">
      <c r="A1612" s="2">
        <v>594</v>
      </c>
      <c r="B1612" t="s">
        <v>2704</v>
      </c>
      <c r="C1612" t="s">
        <v>3224</v>
      </c>
      <c r="D1612" s="2">
        <v>1</v>
      </c>
      <c r="E1612" s="11" t="s">
        <v>1248</v>
      </c>
      <c r="F1612" t="s">
        <v>28</v>
      </c>
      <c r="G1612" s="2" t="s">
        <v>31</v>
      </c>
      <c r="H1612" s="1">
        <v>95.294000000000011</v>
      </c>
    </row>
    <row r="1613" spans="1:8" x14ac:dyDescent="0.3">
      <c r="A1613" s="2">
        <v>594</v>
      </c>
      <c r="B1613" t="s">
        <v>2711</v>
      </c>
      <c r="C1613" t="s">
        <v>3224</v>
      </c>
      <c r="D1613" s="2">
        <v>1</v>
      </c>
      <c r="E1613" s="11" t="s">
        <v>1248</v>
      </c>
      <c r="F1613" t="s">
        <v>28</v>
      </c>
      <c r="G1613" s="2" t="s">
        <v>23</v>
      </c>
      <c r="H1613" s="1">
        <v>95.294000000000011</v>
      </c>
    </row>
    <row r="1614" spans="1:8" x14ac:dyDescent="0.3">
      <c r="A1614" s="2">
        <v>594</v>
      </c>
      <c r="B1614" t="s">
        <v>2703</v>
      </c>
      <c r="C1614" t="s">
        <v>3219</v>
      </c>
      <c r="D1614" s="2">
        <v>1</v>
      </c>
      <c r="E1614" s="11" t="s">
        <v>1561</v>
      </c>
      <c r="F1614" t="s">
        <v>28</v>
      </c>
      <c r="G1614" s="2" t="s">
        <v>31</v>
      </c>
      <c r="H1614" s="1">
        <v>148.29400000000001</v>
      </c>
    </row>
    <row r="1615" spans="1:8" x14ac:dyDescent="0.3">
      <c r="A1615" s="2">
        <v>594</v>
      </c>
      <c r="B1615" t="s">
        <v>2710</v>
      </c>
      <c r="C1615" t="s">
        <v>3219</v>
      </c>
      <c r="D1615" s="2">
        <v>1</v>
      </c>
      <c r="E1615" s="11" t="s">
        <v>1561</v>
      </c>
      <c r="F1615" t="s">
        <v>28</v>
      </c>
      <c r="G1615" s="2" t="s">
        <v>23</v>
      </c>
      <c r="H1615" s="1">
        <v>148.29400000000001</v>
      </c>
    </row>
    <row r="1616" spans="1:8" x14ac:dyDescent="0.3">
      <c r="A1616" s="2">
        <v>595</v>
      </c>
      <c r="B1616" t="s">
        <v>1682</v>
      </c>
      <c r="C1616" t="s">
        <v>3221</v>
      </c>
      <c r="D1616" s="2">
        <v>1</v>
      </c>
      <c r="E1616" s="11" t="s">
        <v>1462</v>
      </c>
      <c r="F1616" t="s">
        <v>114</v>
      </c>
      <c r="G1616" s="2" t="s">
        <v>23</v>
      </c>
      <c r="H1616" s="1">
        <v>116.49400000000001</v>
      </c>
    </row>
    <row r="1617" spans="1:8" x14ac:dyDescent="0.3">
      <c r="A1617" s="2">
        <v>595</v>
      </c>
      <c r="B1617" t="s">
        <v>1449</v>
      </c>
      <c r="C1617" t="s">
        <v>3224</v>
      </c>
      <c r="D1617" s="2">
        <v>1</v>
      </c>
      <c r="E1617" s="11" t="s">
        <v>1248</v>
      </c>
      <c r="F1617" t="s">
        <v>47</v>
      </c>
      <c r="G1617" s="2" t="s">
        <v>4</v>
      </c>
      <c r="H1617" s="1">
        <v>95.294000000000011</v>
      </c>
    </row>
    <row r="1618" spans="1:8" x14ac:dyDescent="0.3">
      <c r="A1618" s="2">
        <v>595</v>
      </c>
      <c r="B1618" t="s">
        <v>2499</v>
      </c>
      <c r="C1618" t="s">
        <v>3219</v>
      </c>
      <c r="D1618" s="2">
        <v>1</v>
      </c>
      <c r="E1618" s="11" t="s">
        <v>1561</v>
      </c>
      <c r="F1618" t="s">
        <v>47</v>
      </c>
      <c r="G1618" s="2" t="s">
        <v>31</v>
      </c>
      <c r="H1618" s="1">
        <v>148.29400000000001</v>
      </c>
    </row>
    <row r="1619" spans="1:8" x14ac:dyDescent="0.3">
      <c r="A1619" s="2">
        <v>595</v>
      </c>
      <c r="B1619" t="s">
        <v>2705</v>
      </c>
      <c r="C1619" t="s">
        <v>3224</v>
      </c>
      <c r="D1619" s="2">
        <v>1</v>
      </c>
      <c r="E1619" s="11" t="s">
        <v>1248</v>
      </c>
      <c r="F1619" t="s">
        <v>28</v>
      </c>
      <c r="G1619" s="2" t="s">
        <v>4</v>
      </c>
      <c r="H1619" s="1">
        <v>95.294000000000011</v>
      </c>
    </row>
    <row r="1620" spans="1:8" x14ac:dyDescent="0.3">
      <c r="A1620" s="2">
        <v>595</v>
      </c>
      <c r="B1620" t="s">
        <v>2704</v>
      </c>
      <c r="C1620" t="s">
        <v>3224</v>
      </c>
      <c r="D1620" s="2">
        <v>1</v>
      </c>
      <c r="E1620" s="11" t="s">
        <v>1248</v>
      </c>
      <c r="F1620" t="s">
        <v>28</v>
      </c>
      <c r="G1620" s="2" t="s">
        <v>31</v>
      </c>
      <c r="H1620" s="1">
        <v>95.294000000000011</v>
      </c>
    </row>
    <row r="1621" spans="1:8" x14ac:dyDescent="0.3">
      <c r="A1621" s="2">
        <v>595</v>
      </c>
      <c r="B1621" t="s">
        <v>2711</v>
      </c>
      <c r="C1621" t="s">
        <v>3224</v>
      </c>
      <c r="D1621" s="2">
        <v>3</v>
      </c>
      <c r="E1621" s="11" t="s">
        <v>1248</v>
      </c>
      <c r="F1621" t="s">
        <v>28</v>
      </c>
      <c r="G1621" s="2" t="s">
        <v>23</v>
      </c>
      <c r="H1621" s="1">
        <v>95.294000000000011</v>
      </c>
    </row>
    <row r="1622" spans="1:8" x14ac:dyDescent="0.3">
      <c r="A1622" s="2">
        <v>595</v>
      </c>
      <c r="B1622" t="s">
        <v>1989</v>
      </c>
      <c r="C1622" t="s">
        <v>3219</v>
      </c>
      <c r="D1622" s="2">
        <v>1</v>
      </c>
      <c r="E1622" s="11" t="s">
        <v>1561</v>
      </c>
      <c r="F1622" t="s">
        <v>28</v>
      </c>
      <c r="G1622" s="2" t="s">
        <v>4</v>
      </c>
      <c r="H1622" s="1">
        <v>148.29400000000001</v>
      </c>
    </row>
    <row r="1623" spans="1:8" x14ac:dyDescent="0.3">
      <c r="A1623" s="2">
        <v>595</v>
      </c>
      <c r="B1623" t="s">
        <v>2703</v>
      </c>
      <c r="C1623" t="s">
        <v>3219</v>
      </c>
      <c r="D1623" s="2">
        <v>2</v>
      </c>
      <c r="E1623" s="11" t="s">
        <v>1561</v>
      </c>
      <c r="F1623" t="s">
        <v>28</v>
      </c>
      <c r="G1623" s="2" t="s">
        <v>31</v>
      </c>
      <c r="H1623" s="1">
        <v>148.29400000000001</v>
      </c>
    </row>
    <row r="1624" spans="1:8" x14ac:dyDescent="0.3">
      <c r="A1624" s="2">
        <v>595</v>
      </c>
      <c r="B1624" t="s">
        <v>2710</v>
      </c>
      <c r="C1624" t="s">
        <v>3219</v>
      </c>
      <c r="D1624" s="2">
        <v>2</v>
      </c>
      <c r="E1624" s="11" t="s">
        <v>1561</v>
      </c>
      <c r="F1624" t="s">
        <v>28</v>
      </c>
      <c r="G1624" s="2" t="s">
        <v>23</v>
      </c>
      <c r="H1624" s="1">
        <v>148.29400000000001</v>
      </c>
    </row>
    <row r="1625" spans="1:8" x14ac:dyDescent="0.3">
      <c r="A1625" s="2">
        <v>596</v>
      </c>
      <c r="B1625" t="s">
        <v>2589</v>
      </c>
      <c r="C1625" t="s">
        <v>3225</v>
      </c>
      <c r="D1625" s="2">
        <v>1</v>
      </c>
      <c r="E1625" s="11" t="s">
        <v>831</v>
      </c>
      <c r="F1625" t="s">
        <v>78</v>
      </c>
      <c r="G1625" s="2" t="s">
        <v>4</v>
      </c>
      <c r="H1625" s="1">
        <v>190.69400000000002</v>
      </c>
    </row>
    <row r="1626" spans="1:8" x14ac:dyDescent="0.3">
      <c r="A1626" s="2">
        <v>596</v>
      </c>
      <c r="B1626" t="s">
        <v>2706</v>
      </c>
      <c r="C1626" t="s">
        <v>3225</v>
      </c>
      <c r="D1626" s="2">
        <v>1</v>
      </c>
      <c r="E1626" s="11" t="s">
        <v>831</v>
      </c>
      <c r="F1626" t="s">
        <v>78</v>
      </c>
      <c r="G1626" s="2" t="s">
        <v>23</v>
      </c>
      <c r="H1626" s="1">
        <v>190.69400000000002</v>
      </c>
    </row>
    <row r="1627" spans="1:8" x14ac:dyDescent="0.3">
      <c r="A1627" s="2">
        <v>597</v>
      </c>
      <c r="B1627" t="s">
        <v>2102</v>
      </c>
      <c r="C1627" t="s">
        <v>2</v>
      </c>
      <c r="D1627" s="2">
        <v>1</v>
      </c>
      <c r="E1627" s="11" t="s">
        <v>2081</v>
      </c>
      <c r="F1627" t="s">
        <v>28</v>
      </c>
      <c r="G1627" s="2" t="s">
        <v>4</v>
      </c>
      <c r="H1627" s="1">
        <v>74.094000000000008</v>
      </c>
    </row>
    <row r="1628" spans="1:8" x14ac:dyDescent="0.3">
      <c r="A1628" s="2">
        <v>597</v>
      </c>
      <c r="B1628" t="s">
        <v>2664</v>
      </c>
      <c r="C1628" t="s">
        <v>2</v>
      </c>
      <c r="D1628" s="2">
        <v>1</v>
      </c>
      <c r="E1628" s="11" t="s">
        <v>2081</v>
      </c>
      <c r="F1628" t="s">
        <v>28</v>
      </c>
      <c r="G1628" s="2" t="s">
        <v>31</v>
      </c>
      <c r="H1628" s="1">
        <v>74.094000000000008</v>
      </c>
    </row>
    <row r="1629" spans="1:8" x14ac:dyDescent="0.3">
      <c r="A1629" s="2">
        <v>597</v>
      </c>
      <c r="B1629" t="s">
        <v>2709</v>
      </c>
      <c r="C1629" t="s">
        <v>2</v>
      </c>
      <c r="D1629" s="2">
        <v>1</v>
      </c>
      <c r="E1629" s="11" t="s">
        <v>2081</v>
      </c>
      <c r="F1629" t="s">
        <v>28</v>
      </c>
      <c r="G1629" s="2" t="s">
        <v>23</v>
      </c>
      <c r="H1629" s="1">
        <v>74.094000000000008</v>
      </c>
    </row>
    <row r="1630" spans="1:8" x14ac:dyDescent="0.3">
      <c r="A1630" s="2">
        <v>597</v>
      </c>
      <c r="B1630" t="s">
        <v>1431</v>
      </c>
      <c r="C1630" t="s">
        <v>1</v>
      </c>
      <c r="D1630" s="2">
        <v>2</v>
      </c>
      <c r="E1630" s="11" t="s">
        <v>285</v>
      </c>
      <c r="F1630" t="s">
        <v>28</v>
      </c>
      <c r="G1630" s="2" t="s">
        <v>4</v>
      </c>
      <c r="H1630" s="1">
        <v>68.794000000000011</v>
      </c>
    </row>
    <row r="1631" spans="1:8" x14ac:dyDescent="0.3">
      <c r="A1631" s="2">
        <v>597</v>
      </c>
      <c r="B1631" t="s">
        <v>1152</v>
      </c>
      <c r="C1631" t="s">
        <v>1</v>
      </c>
      <c r="D1631" s="2">
        <v>2</v>
      </c>
      <c r="E1631" s="11" t="s">
        <v>285</v>
      </c>
      <c r="F1631" t="s">
        <v>28</v>
      </c>
      <c r="G1631" s="2" t="s">
        <v>31</v>
      </c>
      <c r="H1631" s="1">
        <v>68.794000000000011</v>
      </c>
    </row>
    <row r="1632" spans="1:8" x14ac:dyDescent="0.3">
      <c r="A1632" s="2">
        <v>597</v>
      </c>
      <c r="B1632" t="s">
        <v>1435</v>
      </c>
      <c r="C1632" t="s">
        <v>1</v>
      </c>
      <c r="D1632" s="2">
        <v>2</v>
      </c>
      <c r="E1632" s="11" t="s">
        <v>285</v>
      </c>
      <c r="F1632" t="s">
        <v>28</v>
      </c>
      <c r="G1632" s="2" t="s">
        <v>23</v>
      </c>
      <c r="H1632" s="1">
        <v>68.794000000000011</v>
      </c>
    </row>
    <row r="1633" spans="1:8" x14ac:dyDescent="0.3">
      <c r="A1633" s="2">
        <v>597</v>
      </c>
      <c r="B1633" t="s">
        <v>2708</v>
      </c>
      <c r="C1633" t="s">
        <v>3224</v>
      </c>
      <c r="D1633" s="2">
        <v>1</v>
      </c>
      <c r="E1633" s="11" t="s">
        <v>2150</v>
      </c>
      <c r="F1633" t="s">
        <v>78</v>
      </c>
      <c r="G1633" s="2" t="s">
        <v>4</v>
      </c>
      <c r="H1633" s="1">
        <v>74.094000000000008</v>
      </c>
    </row>
    <row r="1634" spans="1:8" x14ac:dyDescent="0.3">
      <c r="A1634" s="2">
        <v>597</v>
      </c>
      <c r="B1634" t="s">
        <v>2707</v>
      </c>
      <c r="C1634" t="s">
        <v>3224</v>
      </c>
      <c r="D1634" s="2">
        <v>1</v>
      </c>
      <c r="E1634" s="11" t="s">
        <v>2150</v>
      </c>
      <c r="F1634" t="s">
        <v>78</v>
      </c>
      <c r="G1634" s="2" t="s">
        <v>23</v>
      </c>
      <c r="H1634" s="1">
        <v>74.094000000000008</v>
      </c>
    </row>
    <row r="1635" spans="1:8" x14ac:dyDescent="0.3">
      <c r="A1635" s="2">
        <v>597</v>
      </c>
      <c r="B1635" t="s">
        <v>2589</v>
      </c>
      <c r="C1635" t="s">
        <v>3225</v>
      </c>
      <c r="D1635" s="2">
        <v>1</v>
      </c>
      <c r="E1635" s="11" t="s">
        <v>831</v>
      </c>
      <c r="F1635" t="s">
        <v>78</v>
      </c>
      <c r="G1635" s="2" t="s">
        <v>4</v>
      </c>
      <c r="H1635" s="1">
        <v>190.69400000000002</v>
      </c>
    </row>
    <row r="1636" spans="1:8" x14ac:dyDescent="0.3">
      <c r="A1636" s="2">
        <v>597</v>
      </c>
      <c r="B1636" t="s">
        <v>2706</v>
      </c>
      <c r="C1636" t="s">
        <v>3225</v>
      </c>
      <c r="D1636" s="2">
        <v>1</v>
      </c>
      <c r="E1636" s="11" t="s">
        <v>831</v>
      </c>
      <c r="F1636" t="s">
        <v>78</v>
      </c>
      <c r="G1636" s="2" t="s">
        <v>23</v>
      </c>
      <c r="H1636" s="1">
        <v>190.69400000000002</v>
      </c>
    </row>
    <row r="1637" spans="1:8" x14ac:dyDescent="0.3">
      <c r="A1637" s="2">
        <v>597</v>
      </c>
      <c r="B1637" t="s">
        <v>2528</v>
      </c>
      <c r="C1637" t="s">
        <v>3224</v>
      </c>
      <c r="D1637" s="2">
        <v>1</v>
      </c>
      <c r="E1637" s="11" t="s">
        <v>1248</v>
      </c>
      <c r="F1637" t="s">
        <v>39</v>
      </c>
      <c r="G1637" s="2" t="s">
        <v>23</v>
      </c>
      <c r="H1637" s="1">
        <v>95.294000000000011</v>
      </c>
    </row>
    <row r="1638" spans="1:8" x14ac:dyDescent="0.3">
      <c r="A1638" s="2">
        <v>597</v>
      </c>
      <c r="B1638" t="s">
        <v>2671</v>
      </c>
      <c r="C1638" t="s">
        <v>3219</v>
      </c>
      <c r="D1638" s="2">
        <v>1</v>
      </c>
      <c r="E1638" s="11" t="s">
        <v>1561</v>
      </c>
      <c r="F1638" t="s">
        <v>39</v>
      </c>
      <c r="G1638" s="2" t="s">
        <v>23</v>
      </c>
      <c r="H1638" s="1">
        <v>148.29400000000001</v>
      </c>
    </row>
    <row r="1639" spans="1:8" x14ac:dyDescent="0.3">
      <c r="A1639" s="2">
        <v>597</v>
      </c>
      <c r="B1639" t="s">
        <v>2705</v>
      </c>
      <c r="C1639" t="s">
        <v>3224</v>
      </c>
      <c r="D1639" s="2">
        <v>1</v>
      </c>
      <c r="E1639" s="11" t="s">
        <v>1248</v>
      </c>
      <c r="F1639" t="s">
        <v>28</v>
      </c>
      <c r="G1639" s="2" t="s">
        <v>4</v>
      </c>
      <c r="H1639" s="1">
        <v>95.294000000000011</v>
      </c>
    </row>
    <row r="1640" spans="1:8" x14ac:dyDescent="0.3">
      <c r="A1640" s="2">
        <v>597</v>
      </c>
      <c r="B1640" t="s">
        <v>2704</v>
      </c>
      <c r="C1640" t="s">
        <v>3224</v>
      </c>
      <c r="D1640" s="2">
        <v>1</v>
      </c>
      <c r="E1640" s="11" t="s">
        <v>1248</v>
      </c>
      <c r="F1640" t="s">
        <v>28</v>
      </c>
      <c r="G1640" s="2" t="s">
        <v>31</v>
      </c>
      <c r="H1640" s="1">
        <v>95.294000000000011</v>
      </c>
    </row>
    <row r="1641" spans="1:8" x14ac:dyDescent="0.3">
      <c r="A1641" s="2">
        <v>597</v>
      </c>
      <c r="B1641" t="s">
        <v>1989</v>
      </c>
      <c r="C1641" t="s">
        <v>3219</v>
      </c>
      <c r="D1641" s="2">
        <v>1</v>
      </c>
      <c r="E1641" s="11" t="s">
        <v>1561</v>
      </c>
      <c r="F1641" t="s">
        <v>28</v>
      </c>
      <c r="G1641" s="2" t="s">
        <v>4</v>
      </c>
      <c r="H1641" s="1">
        <v>148.29400000000001</v>
      </c>
    </row>
    <row r="1642" spans="1:8" x14ac:dyDescent="0.3">
      <c r="A1642" s="2">
        <v>597</v>
      </c>
      <c r="B1642" t="s">
        <v>2703</v>
      </c>
      <c r="C1642" t="s">
        <v>3219</v>
      </c>
      <c r="D1642" s="2">
        <v>1</v>
      </c>
      <c r="E1642" s="11" t="s">
        <v>1561</v>
      </c>
      <c r="F1642" t="s">
        <v>28</v>
      </c>
      <c r="G1642" s="2" t="s">
        <v>31</v>
      </c>
      <c r="H1642" s="1">
        <v>148.29400000000001</v>
      </c>
    </row>
    <row r="1643" spans="1:8" x14ac:dyDescent="0.3">
      <c r="A1643" s="2">
        <v>598</v>
      </c>
      <c r="B1643" t="s">
        <v>2452</v>
      </c>
      <c r="C1643" t="s">
        <v>0</v>
      </c>
      <c r="D1643" s="2">
        <v>1</v>
      </c>
      <c r="E1643" s="11" t="s">
        <v>2442</v>
      </c>
      <c r="F1643" t="s">
        <v>65</v>
      </c>
      <c r="G1643" s="2" t="s">
        <v>4</v>
      </c>
      <c r="H1643" s="1">
        <v>180.09400000000002</v>
      </c>
    </row>
    <row r="1644" spans="1:8" x14ac:dyDescent="0.3">
      <c r="A1644" s="2">
        <v>598</v>
      </c>
      <c r="B1644" t="s">
        <v>2702</v>
      </c>
      <c r="C1644" t="s">
        <v>0</v>
      </c>
      <c r="D1644" s="2">
        <v>1</v>
      </c>
      <c r="E1644" s="11" t="s">
        <v>2442</v>
      </c>
      <c r="F1644" t="s">
        <v>65</v>
      </c>
      <c r="G1644" s="2" t="s">
        <v>31</v>
      </c>
      <c r="H1644" s="1">
        <v>180.09400000000002</v>
      </c>
    </row>
    <row r="1645" spans="1:8" x14ac:dyDescent="0.3">
      <c r="A1645" s="2">
        <v>598</v>
      </c>
      <c r="B1645" t="s">
        <v>2451</v>
      </c>
      <c r="C1645" t="s">
        <v>0</v>
      </c>
      <c r="D1645" s="2">
        <v>1</v>
      </c>
      <c r="E1645" s="11" t="s">
        <v>2442</v>
      </c>
      <c r="F1645" t="s">
        <v>65</v>
      </c>
      <c r="G1645" s="2" t="s">
        <v>23</v>
      </c>
      <c r="H1645" s="1">
        <v>180.09400000000002</v>
      </c>
    </row>
    <row r="1646" spans="1:8" x14ac:dyDescent="0.3">
      <c r="A1646" s="2">
        <v>598</v>
      </c>
      <c r="B1646" t="s">
        <v>2506</v>
      </c>
      <c r="C1646" t="s">
        <v>3224</v>
      </c>
      <c r="D1646" s="2">
        <v>1</v>
      </c>
      <c r="E1646" s="11" t="s">
        <v>2180</v>
      </c>
      <c r="F1646" t="s">
        <v>114</v>
      </c>
      <c r="G1646" s="2" t="s">
        <v>31</v>
      </c>
      <c r="H1646" s="1">
        <v>84.694000000000017</v>
      </c>
    </row>
    <row r="1647" spans="1:8" x14ac:dyDescent="0.3">
      <c r="A1647" s="2">
        <v>598</v>
      </c>
      <c r="B1647" t="s">
        <v>2679</v>
      </c>
      <c r="C1647" t="s">
        <v>3224</v>
      </c>
      <c r="D1647" s="2">
        <v>2</v>
      </c>
      <c r="E1647" s="11" t="s">
        <v>2180</v>
      </c>
      <c r="F1647" t="s">
        <v>114</v>
      </c>
      <c r="G1647" s="2" t="s">
        <v>23</v>
      </c>
      <c r="H1647" s="1">
        <v>84.694000000000017</v>
      </c>
    </row>
    <row r="1648" spans="1:8" x14ac:dyDescent="0.3">
      <c r="A1648" s="2">
        <v>598</v>
      </c>
      <c r="B1648" t="s">
        <v>1938</v>
      </c>
      <c r="C1648" t="s">
        <v>3221</v>
      </c>
      <c r="D1648" s="2">
        <v>1</v>
      </c>
      <c r="E1648" s="11" t="s">
        <v>383</v>
      </c>
      <c r="F1648" t="s">
        <v>114</v>
      </c>
      <c r="G1648" s="2" t="s">
        <v>31</v>
      </c>
      <c r="H1648" s="1">
        <v>164.19400000000002</v>
      </c>
    </row>
    <row r="1649" spans="1:8" x14ac:dyDescent="0.3">
      <c r="A1649" s="2">
        <v>598</v>
      </c>
      <c r="B1649" t="s">
        <v>2701</v>
      </c>
      <c r="C1649" t="s">
        <v>3221</v>
      </c>
      <c r="D1649" s="2">
        <v>1</v>
      </c>
      <c r="E1649" s="11" t="s">
        <v>383</v>
      </c>
      <c r="F1649" t="s">
        <v>114</v>
      </c>
      <c r="G1649" s="2" t="s">
        <v>23</v>
      </c>
      <c r="H1649" s="1">
        <v>164.19400000000002</v>
      </c>
    </row>
    <row r="1650" spans="1:8" x14ac:dyDescent="0.3">
      <c r="A1650" s="2">
        <v>598</v>
      </c>
      <c r="B1650" t="s">
        <v>2700</v>
      </c>
      <c r="C1650" t="s">
        <v>1</v>
      </c>
      <c r="D1650" s="2">
        <v>1</v>
      </c>
      <c r="E1650" s="11" t="s">
        <v>76</v>
      </c>
      <c r="F1650" t="s">
        <v>114</v>
      </c>
      <c r="G1650" s="2" t="s">
        <v>31</v>
      </c>
      <c r="H1650" s="1">
        <v>63.494</v>
      </c>
    </row>
    <row r="1651" spans="1:8" x14ac:dyDescent="0.3">
      <c r="A1651" s="2">
        <v>598</v>
      </c>
      <c r="B1651" t="s">
        <v>686</v>
      </c>
      <c r="C1651" t="s">
        <v>1</v>
      </c>
      <c r="D1651" s="2">
        <v>2</v>
      </c>
      <c r="E1651" s="11" t="s">
        <v>76</v>
      </c>
      <c r="F1651" t="s">
        <v>114</v>
      </c>
      <c r="G1651" s="2" t="s">
        <v>23</v>
      </c>
      <c r="H1651" s="1">
        <v>63.494</v>
      </c>
    </row>
    <row r="1652" spans="1:8" x14ac:dyDescent="0.3">
      <c r="A1652" s="2">
        <v>598</v>
      </c>
      <c r="B1652" t="s">
        <v>2699</v>
      </c>
      <c r="C1652" t="s">
        <v>3224</v>
      </c>
      <c r="D1652" s="2">
        <v>1</v>
      </c>
      <c r="E1652" s="11" t="s">
        <v>2180</v>
      </c>
      <c r="F1652" t="s">
        <v>28</v>
      </c>
      <c r="G1652" s="2" t="s">
        <v>31</v>
      </c>
      <c r="H1652" s="1">
        <v>84.694000000000017</v>
      </c>
    </row>
    <row r="1653" spans="1:8" x14ac:dyDescent="0.3">
      <c r="A1653" s="2">
        <v>598</v>
      </c>
      <c r="B1653" t="s">
        <v>2698</v>
      </c>
      <c r="C1653" t="s">
        <v>3</v>
      </c>
      <c r="D1653" s="2">
        <v>1</v>
      </c>
      <c r="E1653" s="11" t="s">
        <v>2308</v>
      </c>
      <c r="F1653" t="s">
        <v>78</v>
      </c>
      <c r="G1653" s="2" t="s">
        <v>4</v>
      </c>
      <c r="H1653" s="1">
        <v>74.094000000000008</v>
      </c>
    </row>
    <row r="1654" spans="1:8" x14ac:dyDescent="0.3">
      <c r="A1654" s="2">
        <v>598</v>
      </c>
      <c r="B1654" t="s">
        <v>2697</v>
      </c>
      <c r="C1654" t="s">
        <v>3</v>
      </c>
      <c r="D1654" s="2">
        <v>1</v>
      </c>
      <c r="E1654" s="11" t="s">
        <v>2308</v>
      </c>
      <c r="F1654" t="s">
        <v>78</v>
      </c>
      <c r="G1654" s="2" t="s">
        <v>31</v>
      </c>
      <c r="H1654" s="1">
        <v>74.094000000000008</v>
      </c>
    </row>
    <row r="1655" spans="1:8" x14ac:dyDescent="0.3">
      <c r="A1655" s="2">
        <v>598</v>
      </c>
      <c r="B1655" t="s">
        <v>2696</v>
      </c>
      <c r="C1655" t="s">
        <v>3</v>
      </c>
      <c r="D1655" s="2">
        <v>1</v>
      </c>
      <c r="E1655" s="11" t="s">
        <v>2308</v>
      </c>
      <c r="F1655" t="s">
        <v>78</v>
      </c>
      <c r="G1655" s="2" t="s">
        <v>23</v>
      </c>
      <c r="H1655" s="1">
        <v>74.094000000000008</v>
      </c>
    </row>
    <row r="1656" spans="1:8" x14ac:dyDescent="0.3">
      <c r="A1656" s="2">
        <v>598</v>
      </c>
      <c r="B1656" t="s">
        <v>1284</v>
      </c>
      <c r="C1656" t="s">
        <v>1</v>
      </c>
      <c r="D1656" s="2">
        <v>2</v>
      </c>
      <c r="E1656" s="11" t="s">
        <v>76</v>
      </c>
      <c r="F1656" t="s">
        <v>78</v>
      </c>
      <c r="G1656" s="2" t="s">
        <v>4</v>
      </c>
      <c r="H1656" s="1">
        <v>63.494</v>
      </c>
    </row>
    <row r="1657" spans="1:8" x14ac:dyDescent="0.3">
      <c r="A1657" s="2">
        <v>598</v>
      </c>
      <c r="B1657" t="s">
        <v>79</v>
      </c>
      <c r="C1657" t="s">
        <v>1</v>
      </c>
      <c r="D1657" s="2">
        <v>1</v>
      </c>
      <c r="E1657" s="11" t="s">
        <v>76</v>
      </c>
      <c r="F1657" t="s">
        <v>78</v>
      </c>
      <c r="G1657" s="2" t="s">
        <v>31</v>
      </c>
      <c r="H1657" s="1">
        <v>63.494</v>
      </c>
    </row>
    <row r="1658" spans="1:8" x14ac:dyDescent="0.3">
      <c r="A1658" s="2">
        <v>598</v>
      </c>
      <c r="B1658" t="s">
        <v>2095</v>
      </c>
      <c r="C1658" t="s">
        <v>1</v>
      </c>
      <c r="D1658" s="2">
        <v>2</v>
      </c>
      <c r="E1658" s="11" t="s">
        <v>76</v>
      </c>
      <c r="F1658" t="s">
        <v>78</v>
      </c>
      <c r="G1658" s="2" t="s">
        <v>23</v>
      </c>
      <c r="H1658" s="1">
        <v>63.494</v>
      </c>
    </row>
    <row r="1659" spans="1:8" x14ac:dyDescent="0.3">
      <c r="A1659" s="2">
        <v>598</v>
      </c>
      <c r="B1659" t="s">
        <v>1448</v>
      </c>
      <c r="C1659" t="s">
        <v>3224</v>
      </c>
      <c r="D1659" s="2">
        <v>1</v>
      </c>
      <c r="E1659" s="11" t="s">
        <v>1248</v>
      </c>
      <c r="F1659" t="s">
        <v>47</v>
      </c>
      <c r="G1659" s="2" t="s">
        <v>31</v>
      </c>
      <c r="H1659" s="1">
        <v>95.294000000000011</v>
      </c>
    </row>
    <row r="1660" spans="1:8" x14ac:dyDescent="0.3">
      <c r="A1660" s="2">
        <v>598</v>
      </c>
      <c r="B1660" t="s">
        <v>1419</v>
      </c>
      <c r="C1660" t="s">
        <v>3224</v>
      </c>
      <c r="D1660" s="2">
        <v>1</v>
      </c>
      <c r="E1660" s="11" t="s">
        <v>1248</v>
      </c>
      <c r="F1660" t="s">
        <v>47</v>
      </c>
      <c r="G1660" s="2" t="s">
        <v>23</v>
      </c>
      <c r="H1660" s="1">
        <v>95.294000000000011</v>
      </c>
    </row>
    <row r="1661" spans="1:8" x14ac:dyDescent="0.3">
      <c r="A1661" s="2">
        <v>598</v>
      </c>
      <c r="B1661" t="s">
        <v>1915</v>
      </c>
      <c r="C1661" t="s">
        <v>3219</v>
      </c>
      <c r="D1661" s="2">
        <v>2</v>
      </c>
      <c r="E1661" s="11" t="s">
        <v>1561</v>
      </c>
      <c r="F1661" t="s">
        <v>47</v>
      </c>
      <c r="G1661" s="2" t="s">
        <v>4</v>
      </c>
      <c r="H1661" s="1">
        <v>148.29400000000001</v>
      </c>
    </row>
    <row r="1662" spans="1:8" x14ac:dyDescent="0.3">
      <c r="A1662" s="2">
        <v>598</v>
      </c>
      <c r="B1662" t="s">
        <v>2499</v>
      </c>
      <c r="C1662" t="s">
        <v>3219</v>
      </c>
      <c r="D1662" s="2">
        <v>1</v>
      </c>
      <c r="E1662" s="11" t="s">
        <v>1561</v>
      </c>
      <c r="F1662" t="s">
        <v>47</v>
      </c>
      <c r="G1662" s="2" t="s">
        <v>31</v>
      </c>
      <c r="H1662" s="1">
        <v>148.29400000000001</v>
      </c>
    </row>
    <row r="1663" spans="1:8" x14ac:dyDescent="0.3">
      <c r="A1663" s="2">
        <v>598</v>
      </c>
      <c r="B1663" t="s">
        <v>2280</v>
      </c>
      <c r="C1663" t="s">
        <v>3219</v>
      </c>
      <c r="D1663" s="2">
        <v>2</v>
      </c>
      <c r="E1663" s="11" t="s">
        <v>1561</v>
      </c>
      <c r="F1663" t="s">
        <v>47</v>
      </c>
      <c r="G1663" s="2" t="s">
        <v>23</v>
      </c>
      <c r="H1663" s="1">
        <v>148.29400000000001</v>
      </c>
    </row>
    <row r="1664" spans="1:8" x14ac:dyDescent="0.3">
      <c r="A1664" s="2">
        <v>598</v>
      </c>
      <c r="B1664" t="s">
        <v>2689</v>
      </c>
      <c r="C1664" t="s">
        <v>0</v>
      </c>
      <c r="D1664" s="2">
        <v>1</v>
      </c>
      <c r="E1664" s="11" t="s">
        <v>1584</v>
      </c>
      <c r="F1664" t="s">
        <v>39</v>
      </c>
      <c r="G1664" s="2" t="s">
        <v>4</v>
      </c>
      <c r="H1664" s="1">
        <v>169.49400000000003</v>
      </c>
    </row>
    <row r="1665" spans="1:8" x14ac:dyDescent="0.3">
      <c r="A1665" s="2">
        <v>598</v>
      </c>
      <c r="B1665" t="s">
        <v>1585</v>
      </c>
      <c r="C1665" t="s">
        <v>0</v>
      </c>
      <c r="D1665" s="2">
        <v>1</v>
      </c>
      <c r="E1665" s="11" t="s">
        <v>1584</v>
      </c>
      <c r="F1665" t="s">
        <v>39</v>
      </c>
      <c r="G1665" s="2" t="s">
        <v>31</v>
      </c>
      <c r="H1665" s="1">
        <v>169.49400000000003</v>
      </c>
    </row>
    <row r="1666" spans="1:8" x14ac:dyDescent="0.3">
      <c r="A1666" s="2">
        <v>598</v>
      </c>
      <c r="B1666" t="s">
        <v>1667</v>
      </c>
      <c r="C1666" t="s">
        <v>0</v>
      </c>
      <c r="D1666" s="2">
        <v>1</v>
      </c>
      <c r="E1666" s="11" t="s">
        <v>1584</v>
      </c>
      <c r="F1666" t="s">
        <v>39</v>
      </c>
      <c r="G1666" s="2" t="s">
        <v>23</v>
      </c>
      <c r="H1666" s="1">
        <v>169.49400000000003</v>
      </c>
    </row>
    <row r="1667" spans="1:8" x14ac:dyDescent="0.3">
      <c r="A1667" s="2">
        <v>598</v>
      </c>
      <c r="B1667" t="s">
        <v>2528</v>
      </c>
      <c r="C1667" t="s">
        <v>3224</v>
      </c>
      <c r="D1667" s="2">
        <v>1</v>
      </c>
      <c r="E1667" s="11" t="s">
        <v>1248</v>
      </c>
      <c r="F1667" t="s">
        <v>39</v>
      </c>
      <c r="G1667" s="2" t="s">
        <v>23</v>
      </c>
      <c r="H1667" s="1">
        <v>95.294000000000011</v>
      </c>
    </row>
    <row r="1668" spans="1:8" x14ac:dyDescent="0.3">
      <c r="A1668" s="2">
        <v>598</v>
      </c>
      <c r="B1668" t="s">
        <v>2195</v>
      </c>
      <c r="C1668" t="s">
        <v>3219</v>
      </c>
      <c r="D1668" s="2">
        <v>1</v>
      </c>
      <c r="E1668" s="11" t="s">
        <v>1561</v>
      </c>
      <c r="F1668" t="s">
        <v>39</v>
      </c>
      <c r="G1668" s="2" t="s">
        <v>31</v>
      </c>
      <c r="H1668" s="1">
        <v>148.29400000000001</v>
      </c>
    </row>
    <row r="1669" spans="1:8" x14ac:dyDescent="0.3">
      <c r="A1669" s="2">
        <v>598</v>
      </c>
      <c r="B1669" t="s">
        <v>2671</v>
      </c>
      <c r="C1669" t="s">
        <v>3219</v>
      </c>
      <c r="D1669" s="2">
        <v>1</v>
      </c>
      <c r="E1669" s="11" t="s">
        <v>1561</v>
      </c>
      <c r="F1669" t="s">
        <v>39</v>
      </c>
      <c r="G1669" s="2" t="s">
        <v>23</v>
      </c>
      <c r="H1669" s="1">
        <v>148.29400000000001</v>
      </c>
    </row>
    <row r="1670" spans="1:8" x14ac:dyDescent="0.3">
      <c r="A1670" s="2">
        <v>599</v>
      </c>
      <c r="B1670" t="s">
        <v>1026</v>
      </c>
      <c r="C1670" t="s">
        <v>3220</v>
      </c>
      <c r="D1670" s="2">
        <v>1</v>
      </c>
      <c r="E1670" s="11" t="s">
        <v>204</v>
      </c>
      <c r="F1670" t="s">
        <v>55</v>
      </c>
      <c r="G1670" s="2" t="s">
        <v>203</v>
      </c>
      <c r="H1670" s="1">
        <v>42.294000000000004</v>
      </c>
    </row>
    <row r="1671" spans="1:8" x14ac:dyDescent="0.3">
      <c r="A1671" s="2">
        <v>599</v>
      </c>
      <c r="B1671" t="s">
        <v>693</v>
      </c>
      <c r="C1671" t="s">
        <v>3220</v>
      </c>
      <c r="D1671" s="2">
        <v>1</v>
      </c>
      <c r="E1671" s="11" t="s">
        <v>204</v>
      </c>
      <c r="F1671" t="s">
        <v>55</v>
      </c>
      <c r="G1671" s="2" t="s">
        <v>23</v>
      </c>
      <c r="H1671" s="1">
        <v>42.294000000000004</v>
      </c>
    </row>
    <row r="1672" spans="1:8" x14ac:dyDescent="0.3">
      <c r="A1672" s="2">
        <v>599</v>
      </c>
      <c r="B1672" t="s">
        <v>727</v>
      </c>
      <c r="C1672" t="s">
        <v>3220</v>
      </c>
      <c r="D1672" s="2">
        <v>1</v>
      </c>
      <c r="E1672" s="11" t="s">
        <v>204</v>
      </c>
      <c r="F1672" t="s">
        <v>65</v>
      </c>
      <c r="G1672" s="2" t="s">
        <v>23</v>
      </c>
      <c r="H1672" s="1">
        <v>42.294000000000004</v>
      </c>
    </row>
    <row r="1673" spans="1:8" x14ac:dyDescent="0.3">
      <c r="A1673" s="2">
        <v>599</v>
      </c>
      <c r="B1673" t="s">
        <v>2679</v>
      </c>
      <c r="C1673" t="s">
        <v>3224</v>
      </c>
      <c r="D1673" s="2">
        <v>1</v>
      </c>
      <c r="E1673" s="11" t="s">
        <v>2180</v>
      </c>
      <c r="F1673" t="s">
        <v>114</v>
      </c>
      <c r="G1673" s="2" t="s">
        <v>23</v>
      </c>
      <c r="H1673" s="1">
        <v>84.694000000000017</v>
      </c>
    </row>
    <row r="1674" spans="1:8" x14ac:dyDescent="0.3">
      <c r="A1674" s="2">
        <v>599</v>
      </c>
      <c r="B1674" t="s">
        <v>2695</v>
      </c>
      <c r="C1674" t="s">
        <v>3</v>
      </c>
      <c r="D1674" s="2">
        <v>1</v>
      </c>
      <c r="E1674" s="11" t="s">
        <v>2178</v>
      </c>
      <c r="F1674" t="s">
        <v>114</v>
      </c>
      <c r="G1674" s="2" t="s">
        <v>23</v>
      </c>
      <c r="H1674" s="1">
        <v>111.19400000000002</v>
      </c>
    </row>
    <row r="1675" spans="1:8" x14ac:dyDescent="0.3">
      <c r="A1675" s="2">
        <v>599</v>
      </c>
      <c r="B1675" t="s">
        <v>1692</v>
      </c>
      <c r="C1675" t="s">
        <v>0</v>
      </c>
      <c r="D1675" s="2">
        <v>1</v>
      </c>
      <c r="E1675" s="11" t="s">
        <v>1584</v>
      </c>
      <c r="F1675" t="s">
        <v>126</v>
      </c>
      <c r="G1675" s="2" t="s">
        <v>4</v>
      </c>
      <c r="H1675" s="1">
        <v>169.49400000000003</v>
      </c>
    </row>
    <row r="1676" spans="1:8" x14ac:dyDescent="0.3">
      <c r="A1676" s="2">
        <v>599</v>
      </c>
      <c r="B1676" t="s">
        <v>1590</v>
      </c>
      <c r="C1676" t="s">
        <v>0</v>
      </c>
      <c r="D1676" s="2">
        <v>1</v>
      </c>
      <c r="E1676" s="11" t="s">
        <v>1584</v>
      </c>
      <c r="F1676" t="s">
        <v>126</v>
      </c>
      <c r="G1676" s="2" t="s">
        <v>31</v>
      </c>
      <c r="H1676" s="1">
        <v>169.49400000000003</v>
      </c>
    </row>
    <row r="1677" spans="1:8" x14ac:dyDescent="0.3">
      <c r="A1677" s="2">
        <v>599</v>
      </c>
      <c r="B1677" t="s">
        <v>1025</v>
      </c>
      <c r="C1677" t="s">
        <v>3220</v>
      </c>
      <c r="D1677" s="2">
        <v>1</v>
      </c>
      <c r="E1677" s="11" t="s">
        <v>204</v>
      </c>
      <c r="F1677" t="s">
        <v>81</v>
      </c>
      <c r="G1677" s="2" t="s">
        <v>4</v>
      </c>
      <c r="H1677" s="1">
        <v>42.294000000000004</v>
      </c>
    </row>
    <row r="1678" spans="1:8" x14ac:dyDescent="0.3">
      <c r="A1678" s="2">
        <v>599</v>
      </c>
      <c r="B1678" t="s">
        <v>1483</v>
      </c>
      <c r="C1678" t="s">
        <v>3225</v>
      </c>
      <c r="D1678" s="2">
        <v>1</v>
      </c>
      <c r="E1678" s="11" t="s">
        <v>831</v>
      </c>
      <c r="F1678" t="s">
        <v>81</v>
      </c>
      <c r="G1678" s="2" t="s">
        <v>31</v>
      </c>
      <c r="H1678" s="1">
        <v>190.69400000000002</v>
      </c>
    </row>
    <row r="1679" spans="1:8" x14ac:dyDescent="0.3">
      <c r="A1679" s="2">
        <v>599</v>
      </c>
      <c r="B1679" t="s">
        <v>1025</v>
      </c>
      <c r="C1679" t="s">
        <v>3220</v>
      </c>
      <c r="D1679" s="2">
        <v>1</v>
      </c>
      <c r="E1679" s="11" t="s">
        <v>204</v>
      </c>
      <c r="F1679" t="s">
        <v>81</v>
      </c>
      <c r="G1679" s="2" t="s">
        <v>4</v>
      </c>
      <c r="H1679" s="1">
        <v>42.294000000000004</v>
      </c>
    </row>
    <row r="1680" spans="1:8" x14ac:dyDescent="0.3">
      <c r="A1680" s="2">
        <v>599</v>
      </c>
      <c r="B1680" t="s">
        <v>2389</v>
      </c>
      <c r="C1680" t="s">
        <v>3220</v>
      </c>
      <c r="D1680" s="2">
        <v>1</v>
      </c>
      <c r="E1680" s="11" t="s">
        <v>204</v>
      </c>
      <c r="F1680" t="s">
        <v>62</v>
      </c>
      <c r="G1680" s="2" t="s">
        <v>23</v>
      </c>
      <c r="H1680" s="1">
        <v>42.294000000000004</v>
      </c>
    </row>
    <row r="1681" spans="1:8" x14ac:dyDescent="0.3">
      <c r="A1681" s="2">
        <v>599</v>
      </c>
      <c r="B1681" t="s">
        <v>1003</v>
      </c>
      <c r="C1681" t="s">
        <v>3220</v>
      </c>
      <c r="D1681" s="2">
        <v>1</v>
      </c>
      <c r="E1681" s="11" t="s">
        <v>204</v>
      </c>
      <c r="F1681" t="s">
        <v>28</v>
      </c>
      <c r="G1681" s="2" t="s">
        <v>203</v>
      </c>
      <c r="H1681" s="1">
        <v>42.294000000000004</v>
      </c>
    </row>
    <row r="1682" spans="1:8" x14ac:dyDescent="0.3">
      <c r="A1682" s="2">
        <v>599</v>
      </c>
      <c r="B1682" t="s">
        <v>2181</v>
      </c>
      <c r="C1682" t="s">
        <v>3224</v>
      </c>
      <c r="D1682" s="2">
        <v>1</v>
      </c>
      <c r="E1682" s="11" t="s">
        <v>2180</v>
      </c>
      <c r="F1682" t="s">
        <v>36</v>
      </c>
      <c r="G1682" s="2" t="s">
        <v>31</v>
      </c>
      <c r="H1682" s="1">
        <v>84.694000000000017</v>
      </c>
    </row>
    <row r="1683" spans="1:8" x14ac:dyDescent="0.3">
      <c r="A1683" s="2">
        <v>599</v>
      </c>
      <c r="B1683" t="s">
        <v>2179</v>
      </c>
      <c r="C1683" t="s">
        <v>3</v>
      </c>
      <c r="D1683" s="2">
        <v>1</v>
      </c>
      <c r="E1683" s="11" t="s">
        <v>2178</v>
      </c>
      <c r="F1683" t="s">
        <v>36</v>
      </c>
      <c r="G1683" s="2" t="s">
        <v>31</v>
      </c>
      <c r="H1683" s="1">
        <v>111.19400000000002</v>
      </c>
    </row>
    <row r="1684" spans="1:8" x14ac:dyDescent="0.3">
      <c r="A1684" s="2">
        <v>599</v>
      </c>
      <c r="B1684" t="s">
        <v>2589</v>
      </c>
      <c r="C1684" t="s">
        <v>3225</v>
      </c>
      <c r="D1684" s="2">
        <v>1</v>
      </c>
      <c r="E1684" s="11" t="s">
        <v>831</v>
      </c>
      <c r="F1684" t="s">
        <v>78</v>
      </c>
      <c r="G1684" s="2" t="s">
        <v>4</v>
      </c>
      <c r="H1684" s="1">
        <v>190.69400000000002</v>
      </c>
    </row>
    <row r="1685" spans="1:8" x14ac:dyDescent="0.3">
      <c r="A1685" s="2">
        <v>599</v>
      </c>
      <c r="B1685" t="s">
        <v>714</v>
      </c>
      <c r="C1685" t="s">
        <v>3220</v>
      </c>
      <c r="D1685" s="2">
        <v>1</v>
      </c>
      <c r="E1685" s="11" t="s">
        <v>204</v>
      </c>
      <c r="F1685" t="s">
        <v>276</v>
      </c>
      <c r="G1685" s="2" t="s">
        <v>31</v>
      </c>
      <c r="H1685" s="1">
        <v>42.294000000000004</v>
      </c>
    </row>
    <row r="1686" spans="1:8" x14ac:dyDescent="0.3">
      <c r="A1686" s="2">
        <v>599</v>
      </c>
      <c r="B1686" t="s">
        <v>1448</v>
      </c>
      <c r="C1686" t="s">
        <v>3224</v>
      </c>
      <c r="D1686" s="2">
        <v>1</v>
      </c>
      <c r="E1686" s="11" t="s">
        <v>1248</v>
      </c>
      <c r="F1686" t="s">
        <v>47</v>
      </c>
      <c r="G1686" s="2" t="s">
        <v>31</v>
      </c>
      <c r="H1686" s="1">
        <v>95.294000000000011</v>
      </c>
    </row>
    <row r="1687" spans="1:8" x14ac:dyDescent="0.3">
      <c r="A1687" s="2">
        <v>599</v>
      </c>
      <c r="B1687" t="s">
        <v>2499</v>
      </c>
      <c r="C1687" t="s">
        <v>3219</v>
      </c>
      <c r="D1687" s="2">
        <v>2</v>
      </c>
      <c r="E1687" s="11" t="s">
        <v>1561</v>
      </c>
      <c r="F1687" t="s">
        <v>47</v>
      </c>
      <c r="G1687" s="2" t="s">
        <v>31</v>
      </c>
      <c r="H1687" s="1">
        <v>148.29400000000001</v>
      </c>
    </row>
    <row r="1688" spans="1:8" x14ac:dyDescent="0.3">
      <c r="A1688" s="2">
        <v>599</v>
      </c>
      <c r="B1688" t="s">
        <v>2291</v>
      </c>
      <c r="C1688" t="s">
        <v>0</v>
      </c>
      <c r="D1688" s="2">
        <v>1</v>
      </c>
      <c r="E1688" s="11" t="s">
        <v>2285</v>
      </c>
      <c r="F1688" t="s">
        <v>39</v>
      </c>
      <c r="G1688" s="2" t="s">
        <v>4</v>
      </c>
      <c r="H1688" s="1">
        <v>158.89400000000001</v>
      </c>
    </row>
    <row r="1689" spans="1:8" x14ac:dyDescent="0.3">
      <c r="A1689" s="2">
        <v>599</v>
      </c>
      <c r="B1689" t="s">
        <v>2689</v>
      </c>
      <c r="C1689" t="s">
        <v>0</v>
      </c>
      <c r="D1689" s="2">
        <v>1</v>
      </c>
      <c r="E1689" s="11" t="s">
        <v>1584</v>
      </c>
      <c r="F1689" t="s">
        <v>39</v>
      </c>
      <c r="G1689" s="2" t="s">
        <v>4</v>
      </c>
      <c r="H1689" s="1">
        <v>169.49400000000003</v>
      </c>
    </row>
    <row r="1690" spans="1:8" x14ac:dyDescent="0.3">
      <c r="A1690" s="2">
        <v>599</v>
      </c>
      <c r="B1690" t="s">
        <v>2528</v>
      </c>
      <c r="C1690" t="s">
        <v>3224</v>
      </c>
      <c r="D1690" s="2">
        <v>1</v>
      </c>
      <c r="E1690" s="11" t="s">
        <v>1248</v>
      </c>
      <c r="F1690" t="s">
        <v>39</v>
      </c>
      <c r="G1690" s="2" t="s">
        <v>23</v>
      </c>
      <c r="H1690" s="1">
        <v>95.294000000000011</v>
      </c>
    </row>
    <row r="1691" spans="1:8" x14ac:dyDescent="0.3">
      <c r="A1691" s="2">
        <v>599</v>
      </c>
      <c r="B1691" t="s">
        <v>2671</v>
      </c>
      <c r="C1691" t="s">
        <v>3219</v>
      </c>
      <c r="D1691" s="2">
        <v>2</v>
      </c>
      <c r="E1691" s="11" t="s">
        <v>1561</v>
      </c>
      <c r="F1691" t="s">
        <v>39</v>
      </c>
      <c r="G1691" s="2" t="s">
        <v>23</v>
      </c>
      <c r="H1691" s="1">
        <v>148.29400000000001</v>
      </c>
    </row>
    <row r="1692" spans="1:8" x14ac:dyDescent="0.3">
      <c r="A1692" s="2">
        <v>599</v>
      </c>
      <c r="B1692" t="s">
        <v>1264</v>
      </c>
      <c r="C1692" t="s">
        <v>3220</v>
      </c>
      <c r="D1692" s="2">
        <v>1</v>
      </c>
      <c r="E1692" s="11" t="s">
        <v>204</v>
      </c>
      <c r="F1692" t="s">
        <v>39</v>
      </c>
      <c r="G1692" s="2" t="s">
        <v>4</v>
      </c>
      <c r="H1692" s="1">
        <v>42.294000000000004</v>
      </c>
    </row>
    <row r="1693" spans="1:8" x14ac:dyDescent="0.3">
      <c r="A1693" s="2">
        <v>599</v>
      </c>
      <c r="B1693" t="s">
        <v>1121</v>
      </c>
      <c r="C1693" t="s">
        <v>3220</v>
      </c>
      <c r="D1693" s="2">
        <v>1</v>
      </c>
      <c r="E1693" s="11" t="s">
        <v>204</v>
      </c>
      <c r="F1693" t="s">
        <v>39</v>
      </c>
      <c r="G1693" s="2" t="s">
        <v>31</v>
      </c>
      <c r="H1693" s="1">
        <v>42.294000000000004</v>
      </c>
    </row>
    <row r="1694" spans="1:8" x14ac:dyDescent="0.3">
      <c r="A1694" s="2">
        <v>599</v>
      </c>
      <c r="B1694" t="s">
        <v>1011</v>
      </c>
      <c r="C1694" t="s">
        <v>3220</v>
      </c>
      <c r="D1694" s="2">
        <v>1</v>
      </c>
      <c r="E1694" s="11" t="s">
        <v>204</v>
      </c>
      <c r="F1694" t="s">
        <v>276</v>
      </c>
      <c r="G1694" s="2" t="s">
        <v>203</v>
      </c>
      <c r="H1694" s="1">
        <v>42.294000000000004</v>
      </c>
    </row>
    <row r="1695" spans="1:8" x14ac:dyDescent="0.3">
      <c r="A1695" s="2">
        <v>599</v>
      </c>
      <c r="B1695" t="s">
        <v>1989</v>
      </c>
      <c r="C1695" t="s">
        <v>3219</v>
      </c>
      <c r="D1695" s="2">
        <v>1</v>
      </c>
      <c r="E1695" s="11" t="s">
        <v>1561</v>
      </c>
      <c r="F1695" t="s">
        <v>28</v>
      </c>
      <c r="G1695" s="2" t="s">
        <v>4</v>
      </c>
      <c r="H1695" s="1">
        <v>148.29400000000001</v>
      </c>
    </row>
    <row r="1696" spans="1:8" x14ac:dyDescent="0.3">
      <c r="A1696" s="2">
        <v>599</v>
      </c>
      <c r="B1696" t="s">
        <v>717</v>
      </c>
      <c r="C1696" t="s">
        <v>3220</v>
      </c>
      <c r="D1696" s="2">
        <v>1</v>
      </c>
      <c r="E1696" s="11" t="s">
        <v>204</v>
      </c>
      <c r="F1696" t="s">
        <v>28</v>
      </c>
      <c r="G1696" s="2" t="s">
        <v>31</v>
      </c>
      <c r="H1696" s="1">
        <v>42.294000000000004</v>
      </c>
    </row>
    <row r="1697" spans="1:8" x14ac:dyDescent="0.3">
      <c r="A1697" s="2">
        <v>600</v>
      </c>
      <c r="B1697" t="s">
        <v>2312</v>
      </c>
      <c r="C1697" t="s">
        <v>0</v>
      </c>
      <c r="D1697" s="2">
        <v>1</v>
      </c>
      <c r="E1697" s="11" t="s">
        <v>2079</v>
      </c>
      <c r="F1697" t="s">
        <v>55</v>
      </c>
      <c r="G1697" s="2" t="s">
        <v>31</v>
      </c>
      <c r="H1697" s="1">
        <v>132.39400000000001</v>
      </c>
    </row>
    <row r="1698" spans="1:8" x14ac:dyDescent="0.3">
      <c r="A1698" s="2">
        <v>600</v>
      </c>
      <c r="B1698" t="s">
        <v>2694</v>
      </c>
      <c r="C1698" t="s">
        <v>0</v>
      </c>
      <c r="D1698" s="2">
        <v>1</v>
      </c>
      <c r="E1698" s="11" t="s">
        <v>2079</v>
      </c>
      <c r="F1698" t="s">
        <v>114</v>
      </c>
      <c r="G1698" s="2" t="s">
        <v>23</v>
      </c>
      <c r="H1698" s="1">
        <v>132.39400000000001</v>
      </c>
    </row>
    <row r="1699" spans="1:8" x14ac:dyDescent="0.3">
      <c r="A1699" s="2">
        <v>600</v>
      </c>
      <c r="B1699" t="s">
        <v>1483</v>
      </c>
      <c r="C1699" t="s">
        <v>3225</v>
      </c>
      <c r="D1699" s="2">
        <v>1</v>
      </c>
      <c r="E1699" s="11" t="s">
        <v>831</v>
      </c>
      <c r="F1699" t="s">
        <v>81</v>
      </c>
      <c r="G1699" s="2" t="s">
        <v>31</v>
      </c>
      <c r="H1699" s="1">
        <v>190.69400000000002</v>
      </c>
    </row>
    <row r="1700" spans="1:8" x14ac:dyDescent="0.3">
      <c r="A1700" s="2">
        <v>600</v>
      </c>
      <c r="B1700" t="s">
        <v>2362</v>
      </c>
      <c r="C1700" t="s">
        <v>1</v>
      </c>
      <c r="D1700" s="2">
        <v>1</v>
      </c>
      <c r="E1700" s="11" t="s">
        <v>222</v>
      </c>
      <c r="F1700" t="s">
        <v>28</v>
      </c>
      <c r="G1700" s="2" t="s">
        <v>203</v>
      </c>
      <c r="H1700" s="1">
        <v>52.893999999999998</v>
      </c>
    </row>
    <row r="1701" spans="1:8" x14ac:dyDescent="0.3">
      <c r="A1701" s="2">
        <v>600</v>
      </c>
      <c r="B1701" t="s">
        <v>2693</v>
      </c>
      <c r="C1701" t="s">
        <v>0</v>
      </c>
      <c r="D1701" s="2">
        <v>1</v>
      </c>
      <c r="E1701" s="11" t="s">
        <v>2692</v>
      </c>
      <c r="F1701" t="s">
        <v>62</v>
      </c>
      <c r="G1701" s="2" t="s">
        <v>4</v>
      </c>
      <c r="H1701" s="1">
        <v>158.89400000000001</v>
      </c>
    </row>
    <row r="1702" spans="1:8" x14ac:dyDescent="0.3">
      <c r="A1702" s="2">
        <v>600</v>
      </c>
      <c r="B1702" t="s">
        <v>2100</v>
      </c>
      <c r="C1702" t="s">
        <v>1</v>
      </c>
      <c r="D1702" s="2">
        <v>1</v>
      </c>
      <c r="E1702" s="11" t="s">
        <v>76</v>
      </c>
      <c r="F1702" t="s">
        <v>62</v>
      </c>
      <c r="G1702" s="2" t="s">
        <v>31</v>
      </c>
      <c r="H1702" s="1">
        <v>63.494</v>
      </c>
    </row>
    <row r="1703" spans="1:8" x14ac:dyDescent="0.3">
      <c r="A1703" s="2">
        <v>600</v>
      </c>
      <c r="B1703" t="s">
        <v>2691</v>
      </c>
      <c r="C1703" t="s">
        <v>0</v>
      </c>
      <c r="D1703" s="2">
        <v>1</v>
      </c>
      <c r="E1703" s="11" t="s">
        <v>987</v>
      </c>
      <c r="F1703" t="s">
        <v>62</v>
      </c>
      <c r="G1703" s="2" t="s">
        <v>31</v>
      </c>
      <c r="H1703" s="1">
        <v>185.39400000000001</v>
      </c>
    </row>
    <row r="1704" spans="1:8" x14ac:dyDescent="0.3">
      <c r="A1704" s="2">
        <v>600</v>
      </c>
      <c r="B1704" t="s">
        <v>2690</v>
      </c>
      <c r="C1704" t="s">
        <v>3224</v>
      </c>
      <c r="D1704" s="2">
        <v>1</v>
      </c>
      <c r="E1704" s="11" t="s">
        <v>2212</v>
      </c>
      <c r="F1704" t="s">
        <v>55</v>
      </c>
      <c r="G1704" s="2" t="s">
        <v>31</v>
      </c>
      <c r="H1704" s="1">
        <v>79.394000000000005</v>
      </c>
    </row>
    <row r="1705" spans="1:8" x14ac:dyDescent="0.3">
      <c r="A1705" s="2">
        <v>600</v>
      </c>
      <c r="B1705" t="s">
        <v>2605</v>
      </c>
      <c r="C1705" t="s">
        <v>0</v>
      </c>
      <c r="D1705" s="2">
        <v>1</v>
      </c>
      <c r="E1705" s="11" t="s">
        <v>2285</v>
      </c>
      <c r="F1705" t="s">
        <v>39</v>
      </c>
      <c r="G1705" s="2" t="s">
        <v>31</v>
      </c>
      <c r="H1705" s="1">
        <v>158.89400000000001</v>
      </c>
    </row>
    <row r="1706" spans="1:8" x14ac:dyDescent="0.3">
      <c r="A1706" s="2">
        <v>600</v>
      </c>
      <c r="B1706" t="s">
        <v>2689</v>
      </c>
      <c r="C1706" t="s">
        <v>0</v>
      </c>
      <c r="D1706" s="2">
        <v>1</v>
      </c>
      <c r="E1706" s="11" t="s">
        <v>1584</v>
      </c>
      <c r="F1706" t="s">
        <v>39</v>
      </c>
      <c r="G1706" s="2" t="s">
        <v>4</v>
      </c>
      <c r="H1706" s="1">
        <v>169.49400000000003</v>
      </c>
    </row>
    <row r="1707" spans="1:8" x14ac:dyDescent="0.3">
      <c r="A1707" s="2">
        <v>600</v>
      </c>
      <c r="B1707" t="s">
        <v>2688</v>
      </c>
      <c r="C1707" t="s">
        <v>0</v>
      </c>
      <c r="D1707" s="2">
        <v>1</v>
      </c>
      <c r="E1707" s="11" t="s">
        <v>1584</v>
      </c>
      <c r="F1707" t="s">
        <v>36</v>
      </c>
      <c r="G1707" s="2" t="s">
        <v>23</v>
      </c>
      <c r="H1707" s="1">
        <v>169.49400000000003</v>
      </c>
    </row>
    <row r="1708" spans="1:8" x14ac:dyDescent="0.3">
      <c r="A1708" s="2">
        <v>600</v>
      </c>
      <c r="B1708" t="s">
        <v>2687</v>
      </c>
      <c r="C1708" t="s">
        <v>0</v>
      </c>
      <c r="D1708" s="2">
        <v>1</v>
      </c>
      <c r="E1708" s="11" t="s">
        <v>2611</v>
      </c>
      <c r="F1708" t="s">
        <v>28</v>
      </c>
      <c r="G1708" s="2" t="s">
        <v>4</v>
      </c>
      <c r="H1708" s="1">
        <v>169.49400000000003</v>
      </c>
    </row>
    <row r="1709" spans="1:8" x14ac:dyDescent="0.3">
      <c r="A1709" s="2">
        <v>600</v>
      </c>
      <c r="B1709" t="s">
        <v>2686</v>
      </c>
      <c r="C1709" t="s">
        <v>0</v>
      </c>
      <c r="D1709" s="2">
        <v>1</v>
      </c>
      <c r="E1709" s="11" t="s">
        <v>2479</v>
      </c>
      <c r="F1709" t="s">
        <v>28</v>
      </c>
      <c r="G1709" s="2" t="s">
        <v>23</v>
      </c>
      <c r="H1709" s="1">
        <v>132.39400000000001</v>
      </c>
    </row>
    <row r="1710" spans="1:8" x14ac:dyDescent="0.3">
      <c r="A1710" s="2">
        <v>600</v>
      </c>
      <c r="B1710" t="s">
        <v>1654</v>
      </c>
      <c r="C1710" t="s">
        <v>1</v>
      </c>
      <c r="D1710" s="2">
        <v>1</v>
      </c>
      <c r="E1710" s="11" t="s">
        <v>1653</v>
      </c>
      <c r="F1710" t="s">
        <v>28</v>
      </c>
      <c r="G1710" s="2" t="s">
        <v>4</v>
      </c>
      <c r="H1710" s="1">
        <v>79.394000000000005</v>
      </c>
    </row>
    <row r="1711" spans="1:8" x14ac:dyDescent="0.3">
      <c r="A1711" s="2">
        <v>601</v>
      </c>
      <c r="B1711" t="s">
        <v>2685</v>
      </c>
      <c r="C1711" t="s">
        <v>3219</v>
      </c>
      <c r="D1711" s="2">
        <v>1</v>
      </c>
      <c r="E1711" s="11" t="s">
        <v>2133</v>
      </c>
      <c r="F1711" t="s">
        <v>114</v>
      </c>
      <c r="G1711" s="2" t="s">
        <v>23</v>
      </c>
      <c r="H1711" s="1">
        <v>132.39400000000001</v>
      </c>
    </row>
    <row r="1712" spans="1:8" x14ac:dyDescent="0.3">
      <c r="A1712" s="2">
        <v>601</v>
      </c>
      <c r="B1712" t="s">
        <v>2561</v>
      </c>
      <c r="C1712" t="s">
        <v>3220</v>
      </c>
      <c r="D1712" s="2">
        <v>1</v>
      </c>
      <c r="E1712" s="11" t="s">
        <v>2318</v>
      </c>
      <c r="F1712" t="s">
        <v>28</v>
      </c>
      <c r="G1712" s="2" t="s">
        <v>23</v>
      </c>
      <c r="H1712" s="1">
        <v>42.294000000000004</v>
      </c>
    </row>
    <row r="1713" spans="1:8" x14ac:dyDescent="0.3">
      <c r="A1713" s="2">
        <v>601</v>
      </c>
      <c r="B1713" t="s">
        <v>2684</v>
      </c>
      <c r="C1713" t="s">
        <v>3219</v>
      </c>
      <c r="D1713" s="2">
        <v>1</v>
      </c>
      <c r="E1713" s="11" t="s">
        <v>2683</v>
      </c>
      <c r="F1713" t="s">
        <v>62</v>
      </c>
      <c r="G1713" s="2" t="s">
        <v>31</v>
      </c>
      <c r="H1713" s="1">
        <v>148.29400000000001</v>
      </c>
    </row>
    <row r="1714" spans="1:8" x14ac:dyDescent="0.3">
      <c r="A1714" s="2">
        <v>601</v>
      </c>
      <c r="B1714" t="s">
        <v>2467</v>
      </c>
      <c r="C1714" t="s">
        <v>3224</v>
      </c>
      <c r="D1714" s="2">
        <v>1</v>
      </c>
      <c r="E1714" s="11" t="s">
        <v>2407</v>
      </c>
      <c r="F1714" t="s">
        <v>36</v>
      </c>
      <c r="G1714" s="2" t="s">
        <v>23</v>
      </c>
      <c r="H1714" s="1">
        <v>84.694000000000017</v>
      </c>
    </row>
    <row r="1715" spans="1:8" x14ac:dyDescent="0.3">
      <c r="A1715" s="2">
        <v>601</v>
      </c>
      <c r="B1715" t="s">
        <v>2319</v>
      </c>
      <c r="C1715" t="s">
        <v>3220</v>
      </c>
      <c r="D1715" s="2">
        <v>1</v>
      </c>
      <c r="E1715" s="11" t="s">
        <v>2318</v>
      </c>
      <c r="F1715" t="s">
        <v>36</v>
      </c>
      <c r="G1715" s="2" t="s">
        <v>23</v>
      </c>
      <c r="H1715" s="1">
        <v>42.294000000000004</v>
      </c>
    </row>
    <row r="1716" spans="1:8" x14ac:dyDescent="0.3">
      <c r="A1716" s="2">
        <v>601</v>
      </c>
      <c r="B1716" t="s">
        <v>2317</v>
      </c>
      <c r="C1716" t="s">
        <v>3219</v>
      </c>
      <c r="D1716" s="2">
        <v>1</v>
      </c>
      <c r="E1716" s="11" t="s">
        <v>2316</v>
      </c>
      <c r="F1716" t="s">
        <v>36</v>
      </c>
      <c r="G1716" s="2" t="s">
        <v>23</v>
      </c>
      <c r="H1716" s="1">
        <v>164.19400000000002</v>
      </c>
    </row>
    <row r="1717" spans="1:8" x14ac:dyDescent="0.3">
      <c r="A1717" s="2">
        <v>602</v>
      </c>
      <c r="B1717" t="s">
        <v>2682</v>
      </c>
      <c r="C1717" t="s">
        <v>0</v>
      </c>
      <c r="D1717" s="2">
        <v>1</v>
      </c>
      <c r="E1717" s="11" t="s">
        <v>2681</v>
      </c>
      <c r="F1717" t="s">
        <v>65</v>
      </c>
      <c r="G1717" s="2" t="s">
        <v>4</v>
      </c>
      <c r="H1717" s="1">
        <v>142.994</v>
      </c>
    </row>
    <row r="1718" spans="1:8" x14ac:dyDescent="0.3">
      <c r="A1718" s="2">
        <v>602</v>
      </c>
      <c r="B1718" t="s">
        <v>2300</v>
      </c>
      <c r="C1718" t="s">
        <v>0</v>
      </c>
      <c r="D1718" s="2">
        <v>1</v>
      </c>
      <c r="E1718" s="11" t="s">
        <v>2060</v>
      </c>
      <c r="F1718" t="s">
        <v>65</v>
      </c>
      <c r="G1718" s="2" t="s">
        <v>23</v>
      </c>
      <c r="H1718" s="1">
        <v>158.89400000000001</v>
      </c>
    </row>
    <row r="1719" spans="1:8" x14ac:dyDescent="0.3">
      <c r="A1719" s="2">
        <v>602</v>
      </c>
      <c r="B1719" t="s">
        <v>2680</v>
      </c>
      <c r="C1719" t="s">
        <v>3224</v>
      </c>
      <c r="D1719" s="2">
        <v>1</v>
      </c>
      <c r="E1719" s="11" t="s">
        <v>2001</v>
      </c>
      <c r="F1719" t="s">
        <v>65</v>
      </c>
      <c r="G1719" s="2" t="s">
        <v>23</v>
      </c>
      <c r="H1719" s="1">
        <v>95.294000000000011</v>
      </c>
    </row>
    <row r="1720" spans="1:8" x14ac:dyDescent="0.3">
      <c r="A1720" s="2">
        <v>602</v>
      </c>
      <c r="B1720" t="s">
        <v>2679</v>
      </c>
      <c r="C1720" t="s">
        <v>3224</v>
      </c>
      <c r="D1720" s="2">
        <v>1</v>
      </c>
      <c r="E1720" s="11" t="s">
        <v>2180</v>
      </c>
      <c r="F1720" t="s">
        <v>114</v>
      </c>
      <c r="G1720" s="2" t="s">
        <v>23</v>
      </c>
      <c r="H1720" s="1">
        <v>84.694000000000017</v>
      </c>
    </row>
    <row r="1721" spans="1:8" x14ac:dyDescent="0.3">
      <c r="A1721" s="2">
        <v>602</v>
      </c>
      <c r="B1721" t="s">
        <v>2503</v>
      </c>
      <c r="C1721" t="s">
        <v>3224</v>
      </c>
      <c r="D1721" s="2">
        <v>1</v>
      </c>
      <c r="E1721" s="11" t="s">
        <v>2001</v>
      </c>
      <c r="F1721" t="s">
        <v>62</v>
      </c>
      <c r="G1721" s="2" t="s">
        <v>23</v>
      </c>
      <c r="H1721" s="1">
        <v>95.294000000000011</v>
      </c>
    </row>
    <row r="1722" spans="1:8" x14ac:dyDescent="0.3">
      <c r="A1722" s="2">
        <v>602</v>
      </c>
      <c r="B1722" t="s">
        <v>2297</v>
      </c>
      <c r="C1722" t="s">
        <v>0</v>
      </c>
      <c r="D1722" s="2">
        <v>1</v>
      </c>
      <c r="E1722" s="11" t="s">
        <v>2060</v>
      </c>
      <c r="F1722" t="s">
        <v>55</v>
      </c>
      <c r="G1722" s="2" t="s">
        <v>23</v>
      </c>
      <c r="H1722" s="1">
        <v>158.89400000000001</v>
      </c>
    </row>
    <row r="1723" spans="1:8" x14ac:dyDescent="0.3">
      <c r="A1723" s="2">
        <v>602</v>
      </c>
      <c r="B1723" t="s">
        <v>2678</v>
      </c>
      <c r="C1723" t="s">
        <v>3224</v>
      </c>
      <c r="D1723" s="2">
        <v>1</v>
      </c>
      <c r="E1723" s="11" t="s">
        <v>2001</v>
      </c>
      <c r="F1723" t="s">
        <v>114</v>
      </c>
      <c r="G1723" s="2" t="s">
        <v>31</v>
      </c>
      <c r="H1723" s="1">
        <v>95.294000000000011</v>
      </c>
    </row>
    <row r="1724" spans="1:8" x14ac:dyDescent="0.3">
      <c r="A1724" s="2">
        <v>602</v>
      </c>
      <c r="B1724" t="s">
        <v>2002</v>
      </c>
      <c r="C1724" t="s">
        <v>3224</v>
      </c>
      <c r="D1724" s="2">
        <v>2</v>
      </c>
      <c r="E1724" s="11" t="s">
        <v>2001</v>
      </c>
      <c r="F1724" t="s">
        <v>114</v>
      </c>
      <c r="G1724" s="2" t="s">
        <v>23</v>
      </c>
      <c r="H1724" s="1">
        <v>95.294000000000011</v>
      </c>
    </row>
    <row r="1725" spans="1:8" x14ac:dyDescent="0.3">
      <c r="A1725" s="2">
        <v>602</v>
      </c>
      <c r="B1725" t="s">
        <v>1622</v>
      </c>
      <c r="C1725" t="s">
        <v>3224</v>
      </c>
      <c r="D1725" s="2">
        <v>1</v>
      </c>
      <c r="E1725" s="11" t="s">
        <v>1478</v>
      </c>
      <c r="F1725" t="s">
        <v>114</v>
      </c>
      <c r="G1725" s="2" t="s">
        <v>23</v>
      </c>
      <c r="H1725" s="1">
        <v>116.49400000000001</v>
      </c>
    </row>
    <row r="1726" spans="1:8" x14ac:dyDescent="0.3">
      <c r="A1726" s="2">
        <v>602</v>
      </c>
      <c r="B1726" t="s">
        <v>2677</v>
      </c>
      <c r="C1726" t="s">
        <v>0</v>
      </c>
      <c r="D1726" s="2">
        <v>1</v>
      </c>
      <c r="E1726" s="11" t="s">
        <v>2079</v>
      </c>
      <c r="F1726" t="s">
        <v>683</v>
      </c>
      <c r="G1726" s="2" t="s">
        <v>23</v>
      </c>
      <c r="H1726" s="1">
        <v>132.39400000000001</v>
      </c>
    </row>
    <row r="1727" spans="1:8" x14ac:dyDescent="0.3">
      <c r="A1727" s="2">
        <v>602</v>
      </c>
      <c r="B1727" t="s">
        <v>2181</v>
      </c>
      <c r="C1727" t="s">
        <v>3224</v>
      </c>
      <c r="D1727" s="2">
        <v>1</v>
      </c>
      <c r="E1727" s="11" t="s">
        <v>2180</v>
      </c>
      <c r="F1727" t="s">
        <v>36</v>
      </c>
      <c r="G1727" s="2" t="s">
        <v>31</v>
      </c>
      <c r="H1727" s="1">
        <v>84.694000000000017</v>
      </c>
    </row>
    <row r="1728" spans="1:8" x14ac:dyDescent="0.3">
      <c r="A1728" s="2">
        <v>602</v>
      </c>
      <c r="B1728" t="s">
        <v>1922</v>
      </c>
      <c r="C1728" t="s">
        <v>3224</v>
      </c>
      <c r="D1728" s="2">
        <v>1</v>
      </c>
      <c r="E1728" s="11" t="s">
        <v>1478</v>
      </c>
      <c r="F1728" t="s">
        <v>47</v>
      </c>
      <c r="G1728" s="2" t="s">
        <v>23</v>
      </c>
      <c r="H1728" s="1">
        <v>116.49400000000001</v>
      </c>
    </row>
    <row r="1729" spans="1:8" x14ac:dyDescent="0.3">
      <c r="A1729" s="2">
        <v>602</v>
      </c>
      <c r="B1729" t="s">
        <v>2606</v>
      </c>
      <c r="C1729" t="s">
        <v>0</v>
      </c>
      <c r="D1729" s="2">
        <v>1</v>
      </c>
      <c r="E1729" s="11" t="s">
        <v>2079</v>
      </c>
      <c r="F1729" t="s">
        <v>47</v>
      </c>
      <c r="G1729" s="2" t="s">
        <v>23</v>
      </c>
      <c r="H1729" s="1">
        <v>132.39400000000001</v>
      </c>
    </row>
    <row r="1730" spans="1:8" x14ac:dyDescent="0.3">
      <c r="A1730" s="2">
        <v>603</v>
      </c>
      <c r="B1730" t="s">
        <v>2525</v>
      </c>
      <c r="C1730" t="s">
        <v>3220</v>
      </c>
      <c r="D1730" s="2">
        <v>1</v>
      </c>
      <c r="E1730" s="11" t="s">
        <v>2517</v>
      </c>
      <c r="F1730" t="s">
        <v>65</v>
      </c>
      <c r="G1730" s="2" t="s">
        <v>23</v>
      </c>
      <c r="H1730" s="1">
        <v>89.994000000000014</v>
      </c>
    </row>
    <row r="1731" spans="1:8" x14ac:dyDescent="0.3">
      <c r="A1731" s="2">
        <v>603</v>
      </c>
      <c r="B1731" t="s">
        <v>1691</v>
      </c>
      <c r="C1731" t="s">
        <v>0</v>
      </c>
      <c r="D1731" s="2">
        <v>1</v>
      </c>
      <c r="E1731" s="11" t="s">
        <v>1584</v>
      </c>
      <c r="F1731" t="s">
        <v>126</v>
      </c>
      <c r="G1731" s="2" t="s">
        <v>23</v>
      </c>
      <c r="H1731" s="1">
        <v>169.49400000000003</v>
      </c>
    </row>
    <row r="1732" spans="1:8" x14ac:dyDescent="0.3">
      <c r="A1732" s="2">
        <v>603</v>
      </c>
      <c r="B1732" t="s">
        <v>2408</v>
      </c>
      <c r="C1732" t="s">
        <v>3224</v>
      </c>
      <c r="D1732" s="2">
        <v>1</v>
      </c>
      <c r="E1732" s="11" t="s">
        <v>2407</v>
      </c>
      <c r="F1732" t="s">
        <v>28</v>
      </c>
      <c r="G1732" s="2" t="s">
        <v>23</v>
      </c>
      <c r="H1732" s="1">
        <v>84.694000000000017</v>
      </c>
    </row>
    <row r="1733" spans="1:8" x14ac:dyDescent="0.3">
      <c r="A1733" s="2">
        <v>603</v>
      </c>
      <c r="B1733" t="s">
        <v>2676</v>
      </c>
      <c r="C1733" t="s">
        <v>3220</v>
      </c>
      <c r="D1733" s="2">
        <v>1</v>
      </c>
      <c r="E1733" s="11" t="s">
        <v>2592</v>
      </c>
      <c r="F1733" t="s">
        <v>28</v>
      </c>
      <c r="G1733" s="2" t="s">
        <v>4</v>
      </c>
      <c r="H1733" s="1">
        <v>21.094000000000001</v>
      </c>
    </row>
    <row r="1734" spans="1:8" x14ac:dyDescent="0.3">
      <c r="A1734" s="2">
        <v>603</v>
      </c>
      <c r="B1734" t="s">
        <v>2675</v>
      </c>
      <c r="C1734" t="s">
        <v>3220</v>
      </c>
      <c r="D1734" s="2">
        <v>1</v>
      </c>
      <c r="E1734" s="11" t="s">
        <v>2592</v>
      </c>
      <c r="F1734" t="s">
        <v>28</v>
      </c>
      <c r="G1734" s="2" t="s">
        <v>23</v>
      </c>
      <c r="H1734" s="1">
        <v>21.094000000000001</v>
      </c>
    </row>
    <row r="1735" spans="1:8" x14ac:dyDescent="0.3">
      <c r="A1735" s="2">
        <v>603</v>
      </c>
      <c r="B1735" t="s">
        <v>2674</v>
      </c>
      <c r="C1735" t="s">
        <v>3220</v>
      </c>
      <c r="D1735" s="2">
        <v>1</v>
      </c>
      <c r="E1735" s="11" t="s">
        <v>2517</v>
      </c>
      <c r="F1735" t="s">
        <v>28</v>
      </c>
      <c r="G1735" s="2" t="s">
        <v>31</v>
      </c>
      <c r="H1735" s="1">
        <v>89.994000000000014</v>
      </c>
    </row>
    <row r="1736" spans="1:8" x14ac:dyDescent="0.3">
      <c r="A1736" s="2">
        <v>603</v>
      </c>
      <c r="B1736" t="s">
        <v>2673</v>
      </c>
      <c r="C1736" t="s">
        <v>3224</v>
      </c>
      <c r="D1736" s="2">
        <v>1</v>
      </c>
      <c r="E1736" s="11" t="s">
        <v>2407</v>
      </c>
      <c r="F1736" t="s">
        <v>36</v>
      </c>
      <c r="G1736" s="2" t="s">
        <v>31</v>
      </c>
      <c r="H1736" s="1">
        <v>84.694000000000017</v>
      </c>
    </row>
    <row r="1737" spans="1:8" x14ac:dyDescent="0.3">
      <c r="A1737" s="2">
        <v>603</v>
      </c>
      <c r="B1737" t="s">
        <v>2181</v>
      </c>
      <c r="C1737" t="s">
        <v>3224</v>
      </c>
      <c r="D1737" s="2">
        <v>1</v>
      </c>
      <c r="E1737" s="11" t="s">
        <v>2180</v>
      </c>
      <c r="F1737" t="s">
        <v>36</v>
      </c>
      <c r="G1737" s="2" t="s">
        <v>31</v>
      </c>
      <c r="H1737" s="1">
        <v>84.694000000000017</v>
      </c>
    </row>
    <row r="1738" spans="1:8" x14ac:dyDescent="0.3">
      <c r="A1738" s="2">
        <v>603</v>
      </c>
      <c r="B1738" t="s">
        <v>2672</v>
      </c>
      <c r="C1738" t="s">
        <v>3220</v>
      </c>
      <c r="D1738" s="2">
        <v>1</v>
      </c>
      <c r="E1738" s="11" t="s">
        <v>2517</v>
      </c>
      <c r="F1738" t="s">
        <v>36</v>
      </c>
      <c r="G1738" s="2" t="s">
        <v>23</v>
      </c>
      <c r="H1738" s="1">
        <v>89.994000000000014</v>
      </c>
    </row>
    <row r="1739" spans="1:8" x14ac:dyDescent="0.3">
      <c r="A1739" s="2">
        <v>603</v>
      </c>
      <c r="B1739" t="s">
        <v>2149</v>
      </c>
      <c r="C1739" t="s">
        <v>0</v>
      </c>
      <c r="D1739" s="2">
        <v>1</v>
      </c>
      <c r="E1739" s="11" t="s">
        <v>987</v>
      </c>
      <c r="F1739" t="s">
        <v>78</v>
      </c>
      <c r="G1739" s="2" t="s">
        <v>23</v>
      </c>
      <c r="H1739" s="1">
        <v>185.39400000000001</v>
      </c>
    </row>
    <row r="1740" spans="1:8" x14ac:dyDescent="0.3">
      <c r="A1740" s="2">
        <v>603</v>
      </c>
      <c r="B1740" t="s">
        <v>2528</v>
      </c>
      <c r="C1740" t="s">
        <v>3224</v>
      </c>
      <c r="D1740" s="2">
        <v>1</v>
      </c>
      <c r="E1740" s="11" t="s">
        <v>1248</v>
      </c>
      <c r="F1740" t="s">
        <v>39</v>
      </c>
      <c r="G1740" s="2" t="s">
        <v>23</v>
      </c>
      <c r="H1740" s="1">
        <v>95.294000000000011</v>
      </c>
    </row>
    <row r="1741" spans="1:8" x14ac:dyDescent="0.3">
      <c r="A1741" s="2">
        <v>603</v>
      </c>
      <c r="B1741" t="s">
        <v>2671</v>
      </c>
      <c r="C1741" t="s">
        <v>3219</v>
      </c>
      <c r="D1741" s="2">
        <v>1</v>
      </c>
      <c r="E1741" s="11" t="s">
        <v>1561</v>
      </c>
      <c r="F1741" t="s">
        <v>39</v>
      </c>
      <c r="G1741" s="2" t="s">
        <v>23</v>
      </c>
      <c r="H1741" s="1">
        <v>148.29400000000001</v>
      </c>
    </row>
    <row r="1742" spans="1:8" x14ac:dyDescent="0.3">
      <c r="A1742" s="2">
        <v>604</v>
      </c>
      <c r="B1742" t="s">
        <v>2670</v>
      </c>
      <c r="C1742" t="s">
        <v>3224</v>
      </c>
      <c r="D1742" s="2">
        <v>1</v>
      </c>
      <c r="E1742" s="11" t="s">
        <v>2659</v>
      </c>
      <c r="F1742" t="s">
        <v>81</v>
      </c>
      <c r="G1742" s="2" t="s">
        <v>23</v>
      </c>
      <c r="H1742" s="1">
        <v>84.694000000000017</v>
      </c>
    </row>
    <row r="1743" spans="1:8" x14ac:dyDescent="0.3">
      <c r="A1743" s="2">
        <v>604</v>
      </c>
      <c r="B1743" t="s">
        <v>2669</v>
      </c>
      <c r="C1743" t="s">
        <v>3</v>
      </c>
      <c r="D1743" s="2">
        <v>1</v>
      </c>
      <c r="E1743" s="11" t="s">
        <v>2667</v>
      </c>
      <c r="F1743" t="s">
        <v>28</v>
      </c>
      <c r="G1743" s="2" t="s">
        <v>4</v>
      </c>
      <c r="H1743" s="1">
        <v>121.79400000000001</v>
      </c>
    </row>
    <row r="1744" spans="1:8" x14ac:dyDescent="0.3">
      <c r="A1744" s="2">
        <v>604</v>
      </c>
      <c r="B1744" t="s">
        <v>2668</v>
      </c>
      <c r="C1744" t="s">
        <v>3</v>
      </c>
      <c r="D1744" s="2">
        <v>1</v>
      </c>
      <c r="E1744" s="11" t="s">
        <v>2667</v>
      </c>
      <c r="F1744" t="s">
        <v>28</v>
      </c>
      <c r="G1744" s="2" t="s">
        <v>23</v>
      </c>
      <c r="H1744" s="1">
        <v>121.79400000000001</v>
      </c>
    </row>
    <row r="1745" spans="1:8" x14ac:dyDescent="0.3">
      <c r="A1745" s="2">
        <v>604</v>
      </c>
      <c r="B1745" t="s">
        <v>2666</v>
      </c>
      <c r="C1745" t="s">
        <v>3224</v>
      </c>
      <c r="D1745" s="2">
        <v>1</v>
      </c>
      <c r="E1745" s="11" t="s">
        <v>2659</v>
      </c>
      <c r="F1745" t="s">
        <v>28</v>
      </c>
      <c r="G1745" s="2" t="s">
        <v>4</v>
      </c>
      <c r="H1745" s="1">
        <v>84.694000000000017</v>
      </c>
    </row>
    <row r="1746" spans="1:8" x14ac:dyDescent="0.3">
      <c r="A1746" s="2">
        <v>604</v>
      </c>
      <c r="B1746" t="s">
        <v>2665</v>
      </c>
      <c r="C1746" t="s">
        <v>3224</v>
      </c>
      <c r="D1746" s="2">
        <v>1</v>
      </c>
      <c r="E1746" s="11" t="s">
        <v>2659</v>
      </c>
      <c r="F1746" t="s">
        <v>28</v>
      </c>
      <c r="G1746" s="2" t="s">
        <v>23</v>
      </c>
      <c r="H1746" s="1">
        <v>84.694000000000017</v>
      </c>
    </row>
    <row r="1747" spans="1:8" x14ac:dyDescent="0.3">
      <c r="A1747" s="2">
        <v>604</v>
      </c>
      <c r="B1747" t="s">
        <v>2664</v>
      </c>
      <c r="C1747" t="s">
        <v>2</v>
      </c>
      <c r="D1747" s="2">
        <v>1</v>
      </c>
      <c r="E1747" s="11" t="s">
        <v>2081</v>
      </c>
      <c r="F1747" t="s">
        <v>28</v>
      </c>
      <c r="G1747" s="2" t="s">
        <v>31</v>
      </c>
      <c r="H1747" s="1">
        <v>74.094000000000008</v>
      </c>
    </row>
    <row r="1748" spans="1:8" x14ac:dyDescent="0.3">
      <c r="A1748" s="2">
        <v>604</v>
      </c>
      <c r="B1748" t="s">
        <v>2663</v>
      </c>
      <c r="C1748" t="s">
        <v>3224</v>
      </c>
      <c r="D1748" s="2">
        <v>1</v>
      </c>
      <c r="E1748" s="11" t="s">
        <v>2659</v>
      </c>
      <c r="F1748" t="s">
        <v>114</v>
      </c>
      <c r="G1748" s="2" t="s">
        <v>31</v>
      </c>
      <c r="H1748" s="1">
        <v>84.694000000000017</v>
      </c>
    </row>
    <row r="1749" spans="1:8" x14ac:dyDescent="0.3">
      <c r="A1749" s="2">
        <v>604</v>
      </c>
      <c r="B1749" t="s">
        <v>2662</v>
      </c>
      <c r="C1749" t="s">
        <v>3224</v>
      </c>
      <c r="D1749" s="2">
        <v>1</v>
      </c>
      <c r="E1749" s="11" t="s">
        <v>2659</v>
      </c>
      <c r="F1749" t="s">
        <v>114</v>
      </c>
      <c r="G1749" s="2" t="s">
        <v>23</v>
      </c>
      <c r="H1749" s="1">
        <v>84.694000000000017</v>
      </c>
    </row>
    <row r="1750" spans="1:8" x14ac:dyDescent="0.3">
      <c r="A1750" s="2">
        <v>604</v>
      </c>
      <c r="B1750" t="s">
        <v>1549</v>
      </c>
      <c r="C1750" t="s">
        <v>3224</v>
      </c>
      <c r="D1750" s="2">
        <v>1</v>
      </c>
      <c r="E1750" s="11" t="s">
        <v>1478</v>
      </c>
      <c r="F1750" t="s">
        <v>114</v>
      </c>
      <c r="G1750" s="2" t="s">
        <v>31</v>
      </c>
      <c r="H1750" s="1">
        <v>116.49400000000001</v>
      </c>
    </row>
    <row r="1751" spans="1:8" x14ac:dyDescent="0.3">
      <c r="A1751" s="2">
        <v>604</v>
      </c>
      <c r="B1751" t="s">
        <v>1622</v>
      </c>
      <c r="C1751" t="s">
        <v>3224</v>
      </c>
      <c r="D1751" s="2">
        <v>1</v>
      </c>
      <c r="E1751" s="11" t="s">
        <v>1478</v>
      </c>
      <c r="F1751" t="s">
        <v>114</v>
      </c>
      <c r="G1751" s="2" t="s">
        <v>23</v>
      </c>
      <c r="H1751" s="1">
        <v>116.49400000000001</v>
      </c>
    </row>
    <row r="1752" spans="1:8" x14ac:dyDescent="0.3">
      <c r="A1752" s="2">
        <v>604</v>
      </c>
      <c r="B1752" t="s">
        <v>2531</v>
      </c>
      <c r="C1752" t="s">
        <v>3219</v>
      </c>
      <c r="D1752" s="2">
        <v>1</v>
      </c>
      <c r="E1752" s="11" t="s">
        <v>1845</v>
      </c>
      <c r="F1752" t="s">
        <v>78</v>
      </c>
      <c r="G1752" s="2" t="s">
        <v>4</v>
      </c>
      <c r="H1752" s="1">
        <v>180.09400000000002</v>
      </c>
    </row>
    <row r="1753" spans="1:8" x14ac:dyDescent="0.3">
      <c r="A1753" s="2">
        <v>604</v>
      </c>
      <c r="B1753" t="s">
        <v>2661</v>
      </c>
      <c r="C1753" t="s">
        <v>3224</v>
      </c>
      <c r="D1753" s="2">
        <v>1</v>
      </c>
      <c r="E1753" s="11" t="s">
        <v>1478</v>
      </c>
      <c r="F1753" t="s">
        <v>78</v>
      </c>
      <c r="G1753" s="2" t="s">
        <v>4</v>
      </c>
      <c r="H1753" s="1">
        <v>116.49400000000001</v>
      </c>
    </row>
    <row r="1754" spans="1:8" x14ac:dyDescent="0.3">
      <c r="A1754" s="2">
        <v>604</v>
      </c>
      <c r="B1754" t="s">
        <v>2660</v>
      </c>
      <c r="C1754" t="s">
        <v>3224</v>
      </c>
      <c r="D1754" s="2">
        <v>1</v>
      </c>
      <c r="E1754" s="11" t="s">
        <v>2659</v>
      </c>
      <c r="F1754" t="s">
        <v>47</v>
      </c>
      <c r="G1754" s="2" t="s">
        <v>31</v>
      </c>
      <c r="H1754" s="1">
        <v>84.694000000000017</v>
      </c>
    </row>
    <row r="1755" spans="1:8" x14ac:dyDescent="0.3">
      <c r="A1755" s="2">
        <v>604</v>
      </c>
      <c r="B1755" t="s">
        <v>2587</v>
      </c>
      <c r="C1755" t="s">
        <v>3219</v>
      </c>
      <c r="D1755" s="2">
        <v>1</v>
      </c>
      <c r="E1755" s="11" t="s">
        <v>2172</v>
      </c>
      <c r="F1755" t="s">
        <v>39</v>
      </c>
      <c r="G1755" s="2" t="s">
        <v>23</v>
      </c>
      <c r="H1755" s="1">
        <v>142.994</v>
      </c>
    </row>
    <row r="1756" spans="1:8" x14ac:dyDescent="0.3">
      <c r="A1756" s="2">
        <v>604</v>
      </c>
      <c r="B1756" t="s">
        <v>2102</v>
      </c>
      <c r="C1756" t="s">
        <v>2</v>
      </c>
      <c r="D1756" s="2">
        <v>1</v>
      </c>
      <c r="E1756" s="11" t="s">
        <v>2081</v>
      </c>
      <c r="F1756" t="s">
        <v>28</v>
      </c>
      <c r="G1756" s="2" t="s">
        <v>4</v>
      </c>
      <c r="H1756" s="1">
        <v>74.094000000000008</v>
      </c>
    </row>
    <row r="1757" spans="1:8" x14ac:dyDescent="0.3">
      <c r="A1757" s="2">
        <v>605</v>
      </c>
      <c r="B1757" t="s">
        <v>1803</v>
      </c>
      <c r="C1757" t="s">
        <v>3221</v>
      </c>
      <c r="D1757" s="2">
        <v>1</v>
      </c>
      <c r="E1757" s="11" t="s">
        <v>642</v>
      </c>
      <c r="F1757" t="s">
        <v>55</v>
      </c>
      <c r="G1757" s="2" t="s">
        <v>4</v>
      </c>
      <c r="H1757" s="1">
        <v>95.294000000000011</v>
      </c>
    </row>
    <row r="1758" spans="1:8" x14ac:dyDescent="0.3">
      <c r="A1758" s="2">
        <v>605</v>
      </c>
      <c r="B1758" t="s">
        <v>694</v>
      </c>
      <c r="C1758" t="s">
        <v>3220</v>
      </c>
      <c r="D1758" s="2">
        <v>1</v>
      </c>
      <c r="E1758" s="11" t="s">
        <v>204</v>
      </c>
      <c r="F1758" t="s">
        <v>55</v>
      </c>
      <c r="G1758" s="2" t="s">
        <v>4</v>
      </c>
      <c r="H1758" s="1">
        <v>42.294000000000004</v>
      </c>
    </row>
    <row r="1759" spans="1:8" x14ac:dyDescent="0.3">
      <c r="A1759" s="2">
        <v>605</v>
      </c>
      <c r="B1759" t="s">
        <v>2658</v>
      </c>
      <c r="C1759" t="s">
        <v>3217</v>
      </c>
      <c r="D1759" s="2">
        <v>1</v>
      </c>
      <c r="E1759" s="11" t="s">
        <v>2613</v>
      </c>
      <c r="F1759" t="s">
        <v>65</v>
      </c>
      <c r="G1759" s="2" t="s">
        <v>4</v>
      </c>
      <c r="H1759" s="1">
        <v>79.394000000000005</v>
      </c>
    </row>
    <row r="1760" spans="1:8" x14ac:dyDescent="0.3">
      <c r="A1760" s="2">
        <v>605</v>
      </c>
      <c r="B1760" t="s">
        <v>2657</v>
      </c>
      <c r="C1760" t="s">
        <v>2</v>
      </c>
      <c r="D1760" s="2">
        <v>1</v>
      </c>
      <c r="E1760" s="11" t="s">
        <v>2128</v>
      </c>
      <c r="F1760" t="s">
        <v>65</v>
      </c>
      <c r="G1760" s="2" t="s">
        <v>4</v>
      </c>
      <c r="H1760" s="1">
        <v>116.49400000000001</v>
      </c>
    </row>
    <row r="1761" spans="1:8" x14ac:dyDescent="0.3">
      <c r="A1761" s="2">
        <v>605</v>
      </c>
      <c r="B1761" t="s">
        <v>2656</v>
      </c>
      <c r="C1761" t="s">
        <v>3219</v>
      </c>
      <c r="D1761" s="2">
        <v>1</v>
      </c>
      <c r="E1761" s="11" t="s">
        <v>977</v>
      </c>
      <c r="F1761" t="s">
        <v>126</v>
      </c>
      <c r="G1761" s="2" t="s">
        <v>4</v>
      </c>
      <c r="H1761" s="1">
        <v>116.49400000000001</v>
      </c>
    </row>
    <row r="1762" spans="1:8" x14ac:dyDescent="0.3">
      <c r="A1762" s="2">
        <v>605</v>
      </c>
      <c r="B1762" t="s">
        <v>2655</v>
      </c>
      <c r="C1762" t="s">
        <v>3217</v>
      </c>
      <c r="D1762" s="2">
        <v>1</v>
      </c>
      <c r="E1762" s="11" t="s">
        <v>2654</v>
      </c>
      <c r="F1762" t="s">
        <v>28</v>
      </c>
      <c r="G1762" s="2" t="s">
        <v>203</v>
      </c>
      <c r="H1762" s="1">
        <v>26.393999999999998</v>
      </c>
    </row>
    <row r="1763" spans="1:8" x14ac:dyDescent="0.3">
      <c r="A1763" s="2">
        <v>605</v>
      </c>
      <c r="B1763" t="s">
        <v>1643</v>
      </c>
      <c r="C1763" t="s">
        <v>3221</v>
      </c>
      <c r="D1763" s="2">
        <v>1</v>
      </c>
      <c r="E1763" s="11" t="s">
        <v>642</v>
      </c>
      <c r="F1763" t="s">
        <v>28</v>
      </c>
      <c r="G1763" s="2" t="s">
        <v>203</v>
      </c>
      <c r="H1763" s="1">
        <v>95.294000000000011</v>
      </c>
    </row>
    <row r="1764" spans="1:8" x14ac:dyDescent="0.3">
      <c r="A1764" s="2">
        <v>605</v>
      </c>
      <c r="B1764" t="s">
        <v>1730</v>
      </c>
      <c r="C1764" t="s">
        <v>3219</v>
      </c>
      <c r="D1764" s="2">
        <v>1</v>
      </c>
      <c r="E1764" s="11" t="s">
        <v>1729</v>
      </c>
      <c r="F1764" t="s">
        <v>62</v>
      </c>
      <c r="G1764" s="2" t="s">
        <v>23</v>
      </c>
      <c r="H1764" s="1">
        <v>148.29400000000001</v>
      </c>
    </row>
    <row r="1765" spans="1:8" x14ac:dyDescent="0.3">
      <c r="A1765" s="2">
        <v>605</v>
      </c>
      <c r="B1765" t="s">
        <v>873</v>
      </c>
      <c r="C1765" t="s">
        <v>1</v>
      </c>
      <c r="D1765" s="2">
        <v>1</v>
      </c>
      <c r="E1765" s="11" t="s">
        <v>53</v>
      </c>
      <c r="F1765" t="s">
        <v>55</v>
      </c>
      <c r="G1765" s="2" t="s">
        <v>4</v>
      </c>
      <c r="H1765" s="1">
        <v>36.994</v>
      </c>
    </row>
    <row r="1766" spans="1:8" x14ac:dyDescent="0.3">
      <c r="A1766" s="2">
        <v>605</v>
      </c>
      <c r="B1766" t="s">
        <v>1803</v>
      </c>
      <c r="C1766" t="s">
        <v>3221</v>
      </c>
      <c r="D1766" s="2">
        <v>1</v>
      </c>
      <c r="E1766" s="11" t="s">
        <v>642</v>
      </c>
      <c r="F1766" t="s">
        <v>55</v>
      </c>
      <c r="G1766" s="2" t="s">
        <v>4</v>
      </c>
      <c r="H1766" s="1">
        <v>95.294000000000011</v>
      </c>
    </row>
    <row r="1767" spans="1:8" x14ac:dyDescent="0.3">
      <c r="A1767" s="2">
        <v>605</v>
      </c>
      <c r="B1767" t="s">
        <v>2653</v>
      </c>
      <c r="C1767" t="s">
        <v>3221</v>
      </c>
      <c r="D1767" s="2">
        <v>1</v>
      </c>
      <c r="E1767" s="11" t="s">
        <v>642</v>
      </c>
      <c r="F1767" t="s">
        <v>2652</v>
      </c>
      <c r="G1767" s="2" t="s">
        <v>4</v>
      </c>
      <c r="H1767" s="1">
        <v>95.294000000000011</v>
      </c>
    </row>
    <row r="1768" spans="1:8" x14ac:dyDescent="0.3">
      <c r="A1768" s="2">
        <v>605</v>
      </c>
      <c r="B1768" t="s">
        <v>2629</v>
      </c>
      <c r="C1768" t="s">
        <v>3224</v>
      </c>
      <c r="D1768" s="2">
        <v>1</v>
      </c>
      <c r="E1768" s="11" t="s">
        <v>2628</v>
      </c>
      <c r="F1768" t="s">
        <v>28</v>
      </c>
      <c r="G1768" s="2" t="s">
        <v>23</v>
      </c>
      <c r="H1768" s="1">
        <v>95.294000000000011</v>
      </c>
    </row>
    <row r="1769" spans="1:8" x14ac:dyDescent="0.3">
      <c r="A1769" s="2">
        <v>605</v>
      </c>
      <c r="B1769" t="s">
        <v>2651</v>
      </c>
      <c r="C1769" t="s">
        <v>1</v>
      </c>
      <c r="D1769" s="2">
        <v>1</v>
      </c>
      <c r="E1769" s="11" t="s">
        <v>1979</v>
      </c>
      <c r="F1769" t="s">
        <v>28</v>
      </c>
      <c r="G1769" s="2" t="s">
        <v>31</v>
      </c>
      <c r="H1769" s="1">
        <v>100.59400000000001</v>
      </c>
    </row>
    <row r="1770" spans="1:8" x14ac:dyDescent="0.3">
      <c r="A1770" s="2">
        <v>605</v>
      </c>
      <c r="B1770" t="s">
        <v>2416</v>
      </c>
      <c r="C1770" t="s">
        <v>3</v>
      </c>
      <c r="D1770" s="2">
        <v>1</v>
      </c>
      <c r="E1770" s="11" t="s">
        <v>2324</v>
      </c>
      <c r="F1770" t="s">
        <v>28</v>
      </c>
      <c r="G1770" s="2" t="s">
        <v>4</v>
      </c>
      <c r="H1770" s="1">
        <v>111.19400000000002</v>
      </c>
    </row>
    <row r="1771" spans="1:8" x14ac:dyDescent="0.3">
      <c r="A1771" s="2">
        <v>606</v>
      </c>
      <c r="B1771" t="s">
        <v>2650</v>
      </c>
      <c r="C1771" t="s">
        <v>3</v>
      </c>
      <c r="D1771" s="2">
        <v>1</v>
      </c>
      <c r="E1771" s="11" t="s">
        <v>2647</v>
      </c>
      <c r="F1771" t="s">
        <v>55</v>
      </c>
      <c r="G1771" s="2" t="s">
        <v>23</v>
      </c>
      <c r="H1771" s="1">
        <v>74.094000000000008</v>
      </c>
    </row>
    <row r="1772" spans="1:8" x14ac:dyDescent="0.3">
      <c r="A1772" s="2">
        <v>606</v>
      </c>
      <c r="B1772" t="s">
        <v>1805</v>
      </c>
      <c r="C1772" t="s">
        <v>3219</v>
      </c>
      <c r="D1772" s="2">
        <v>1</v>
      </c>
      <c r="E1772" s="11" t="s">
        <v>534</v>
      </c>
      <c r="F1772" t="s">
        <v>65</v>
      </c>
      <c r="G1772" s="2" t="s">
        <v>31</v>
      </c>
      <c r="H1772" s="1">
        <v>89.994000000000014</v>
      </c>
    </row>
    <row r="1773" spans="1:8" x14ac:dyDescent="0.3">
      <c r="A1773" s="2">
        <v>606</v>
      </c>
      <c r="B1773" t="s">
        <v>2649</v>
      </c>
      <c r="C1773" t="s">
        <v>3224</v>
      </c>
      <c r="D1773" s="2">
        <v>1</v>
      </c>
      <c r="E1773" s="11" t="s">
        <v>2556</v>
      </c>
      <c r="F1773" t="s">
        <v>65</v>
      </c>
      <c r="G1773" s="2" t="s">
        <v>4</v>
      </c>
      <c r="H1773" s="1">
        <v>100.59400000000001</v>
      </c>
    </row>
    <row r="1774" spans="1:8" x14ac:dyDescent="0.3">
      <c r="A1774" s="2">
        <v>606</v>
      </c>
      <c r="B1774" t="s">
        <v>2648</v>
      </c>
      <c r="C1774" t="s">
        <v>3</v>
      </c>
      <c r="D1774" s="2">
        <v>1</v>
      </c>
      <c r="E1774" s="11" t="s">
        <v>2647</v>
      </c>
      <c r="F1774" t="s">
        <v>65</v>
      </c>
      <c r="G1774" s="2" t="s">
        <v>23</v>
      </c>
      <c r="H1774" s="1">
        <v>74.094000000000008</v>
      </c>
    </row>
    <row r="1775" spans="1:8" x14ac:dyDescent="0.3">
      <c r="A1775" s="2">
        <v>606</v>
      </c>
      <c r="B1775" t="s">
        <v>2562</v>
      </c>
      <c r="C1775" t="s">
        <v>3219</v>
      </c>
      <c r="D1775" s="2">
        <v>1</v>
      </c>
      <c r="E1775" s="11" t="s">
        <v>977</v>
      </c>
      <c r="F1775" t="s">
        <v>126</v>
      </c>
      <c r="G1775" s="2" t="s">
        <v>23</v>
      </c>
      <c r="H1775" s="1">
        <v>116.49400000000001</v>
      </c>
    </row>
    <row r="1776" spans="1:8" x14ac:dyDescent="0.3">
      <c r="A1776" s="2">
        <v>606</v>
      </c>
      <c r="B1776" t="s">
        <v>2238</v>
      </c>
      <c r="C1776" t="s">
        <v>3219</v>
      </c>
      <c r="D1776" s="2">
        <v>1</v>
      </c>
      <c r="E1776" s="11" t="s">
        <v>2237</v>
      </c>
      <c r="F1776" t="s">
        <v>126</v>
      </c>
      <c r="G1776" s="2" t="s">
        <v>23</v>
      </c>
      <c r="H1776" s="1">
        <v>185.39400000000001</v>
      </c>
    </row>
    <row r="1777" spans="1:8" x14ac:dyDescent="0.3">
      <c r="A1777" s="2">
        <v>606</v>
      </c>
      <c r="B1777" t="s">
        <v>2137</v>
      </c>
      <c r="C1777" t="s">
        <v>1</v>
      </c>
      <c r="D1777" s="2">
        <v>1</v>
      </c>
      <c r="E1777" s="11" t="s">
        <v>2136</v>
      </c>
      <c r="F1777" t="s">
        <v>28</v>
      </c>
      <c r="G1777" s="2" t="s">
        <v>4</v>
      </c>
      <c r="H1777" s="1">
        <v>52.893999999999998</v>
      </c>
    </row>
    <row r="1778" spans="1:8" x14ac:dyDescent="0.3">
      <c r="A1778" s="2">
        <v>606</v>
      </c>
      <c r="B1778" t="s">
        <v>2522</v>
      </c>
      <c r="C1778" t="s">
        <v>1</v>
      </c>
      <c r="D1778" s="2">
        <v>1</v>
      </c>
      <c r="E1778" s="11" t="s">
        <v>2136</v>
      </c>
      <c r="F1778" t="s">
        <v>28</v>
      </c>
      <c r="G1778" s="2" t="s">
        <v>31</v>
      </c>
      <c r="H1778" s="1">
        <v>52.893999999999998</v>
      </c>
    </row>
    <row r="1779" spans="1:8" x14ac:dyDescent="0.3">
      <c r="A1779" s="2">
        <v>606</v>
      </c>
      <c r="B1779" t="s">
        <v>2521</v>
      </c>
      <c r="C1779" t="s">
        <v>1</v>
      </c>
      <c r="D1779" s="2">
        <v>1</v>
      </c>
      <c r="E1779" s="11" t="s">
        <v>2136</v>
      </c>
      <c r="F1779" t="s">
        <v>28</v>
      </c>
      <c r="G1779" s="2" t="s">
        <v>23</v>
      </c>
      <c r="H1779" s="1">
        <v>52.893999999999998</v>
      </c>
    </row>
    <row r="1780" spans="1:8" x14ac:dyDescent="0.3">
      <c r="A1780" s="2">
        <v>606</v>
      </c>
      <c r="B1780" t="s">
        <v>1730</v>
      </c>
      <c r="C1780" t="s">
        <v>3219</v>
      </c>
      <c r="D1780" s="2">
        <v>1</v>
      </c>
      <c r="E1780" s="11" t="s">
        <v>1729</v>
      </c>
      <c r="F1780" t="s">
        <v>62</v>
      </c>
      <c r="G1780" s="2" t="s">
        <v>23</v>
      </c>
      <c r="H1780" s="1">
        <v>148.29400000000001</v>
      </c>
    </row>
    <row r="1781" spans="1:8" x14ac:dyDescent="0.3">
      <c r="A1781" s="2">
        <v>606</v>
      </c>
      <c r="B1781" t="s">
        <v>2538</v>
      </c>
      <c r="C1781" t="s">
        <v>1</v>
      </c>
      <c r="D1781" s="2">
        <v>1</v>
      </c>
      <c r="E1781" s="11" t="s">
        <v>1653</v>
      </c>
      <c r="F1781" t="s">
        <v>62</v>
      </c>
      <c r="G1781" s="2" t="s">
        <v>31</v>
      </c>
      <c r="H1781" s="1">
        <v>79.394000000000005</v>
      </c>
    </row>
    <row r="1782" spans="1:8" x14ac:dyDescent="0.3">
      <c r="A1782" s="2">
        <v>606</v>
      </c>
      <c r="B1782" t="s">
        <v>2619</v>
      </c>
      <c r="C1782" t="s">
        <v>3220</v>
      </c>
      <c r="D1782" s="2">
        <v>1</v>
      </c>
      <c r="E1782" s="11" t="s">
        <v>204</v>
      </c>
      <c r="F1782" t="s">
        <v>62</v>
      </c>
      <c r="G1782" s="2" t="s">
        <v>4</v>
      </c>
      <c r="H1782" s="1">
        <v>42.294000000000004</v>
      </c>
    </row>
    <row r="1783" spans="1:8" x14ac:dyDescent="0.3">
      <c r="A1783" s="2">
        <v>606</v>
      </c>
      <c r="B1783" t="s">
        <v>2537</v>
      </c>
      <c r="C1783" t="s">
        <v>3219</v>
      </c>
      <c r="D1783" s="2">
        <v>1</v>
      </c>
      <c r="E1783" s="11" t="s">
        <v>534</v>
      </c>
      <c r="F1783" t="s">
        <v>28</v>
      </c>
      <c r="G1783" s="2" t="s">
        <v>4</v>
      </c>
      <c r="H1783" s="1">
        <v>89.994000000000014</v>
      </c>
    </row>
    <row r="1784" spans="1:8" x14ac:dyDescent="0.3">
      <c r="A1784" s="2">
        <v>606</v>
      </c>
      <c r="B1784" t="s">
        <v>2646</v>
      </c>
      <c r="C1784" t="s">
        <v>3224</v>
      </c>
      <c r="D1784" s="2">
        <v>1</v>
      </c>
      <c r="E1784" s="11" t="s">
        <v>2554</v>
      </c>
      <c r="F1784" t="s">
        <v>28</v>
      </c>
      <c r="G1784" s="2" t="s">
        <v>4</v>
      </c>
      <c r="H1784" s="1">
        <v>74.094000000000008</v>
      </c>
    </row>
    <row r="1785" spans="1:8" x14ac:dyDescent="0.3">
      <c r="A1785" s="2">
        <v>606</v>
      </c>
      <c r="B1785" t="s">
        <v>2645</v>
      </c>
      <c r="C1785" t="s">
        <v>3224</v>
      </c>
      <c r="D1785" s="2">
        <v>1</v>
      </c>
      <c r="E1785" s="11" t="s">
        <v>2554</v>
      </c>
      <c r="F1785" t="s">
        <v>28</v>
      </c>
      <c r="G1785" s="2" t="s">
        <v>31</v>
      </c>
      <c r="H1785" s="1">
        <v>74.094000000000008</v>
      </c>
    </row>
    <row r="1786" spans="1:8" x14ac:dyDescent="0.3">
      <c r="A1786" s="2">
        <v>606</v>
      </c>
      <c r="B1786" t="s">
        <v>2644</v>
      </c>
      <c r="C1786" t="s">
        <v>3224</v>
      </c>
      <c r="D1786" s="2">
        <v>1</v>
      </c>
      <c r="E1786" s="11" t="s">
        <v>2379</v>
      </c>
      <c r="F1786" t="s">
        <v>28</v>
      </c>
      <c r="G1786" s="2" t="s">
        <v>4</v>
      </c>
      <c r="H1786" s="1">
        <v>95.294000000000011</v>
      </c>
    </row>
    <row r="1787" spans="1:8" x14ac:dyDescent="0.3">
      <c r="A1787" s="2">
        <v>606</v>
      </c>
      <c r="B1787" t="s">
        <v>792</v>
      </c>
      <c r="C1787" t="s">
        <v>3219</v>
      </c>
      <c r="D1787" s="2">
        <v>1</v>
      </c>
      <c r="E1787" s="11" t="s">
        <v>66</v>
      </c>
      <c r="F1787" t="s">
        <v>28</v>
      </c>
      <c r="G1787" s="2" t="s">
        <v>31</v>
      </c>
      <c r="H1787" s="1">
        <v>180.09400000000002</v>
      </c>
    </row>
    <row r="1788" spans="1:8" x14ac:dyDescent="0.3">
      <c r="A1788" s="2">
        <v>606</v>
      </c>
      <c r="B1788" t="s">
        <v>289</v>
      </c>
      <c r="C1788" t="s">
        <v>3220</v>
      </c>
      <c r="D1788" s="2">
        <v>1</v>
      </c>
      <c r="E1788" s="11" t="s">
        <v>204</v>
      </c>
      <c r="F1788" t="s">
        <v>28</v>
      </c>
      <c r="G1788" s="2" t="s">
        <v>23</v>
      </c>
      <c r="H1788" s="1">
        <v>42.294000000000004</v>
      </c>
    </row>
    <row r="1789" spans="1:8" x14ac:dyDescent="0.3">
      <c r="A1789" s="2">
        <v>606</v>
      </c>
      <c r="B1789" t="s">
        <v>2559</v>
      </c>
      <c r="C1789" t="s">
        <v>3224</v>
      </c>
      <c r="D1789" s="2">
        <v>1</v>
      </c>
      <c r="E1789" s="11" t="s">
        <v>2554</v>
      </c>
      <c r="F1789" t="s">
        <v>959</v>
      </c>
      <c r="G1789" s="2" t="s">
        <v>23</v>
      </c>
      <c r="H1789" s="1">
        <v>74.094000000000008</v>
      </c>
    </row>
    <row r="1790" spans="1:8" x14ac:dyDescent="0.3">
      <c r="A1790" s="2">
        <v>606</v>
      </c>
      <c r="B1790" t="s">
        <v>2234</v>
      </c>
      <c r="C1790" t="s">
        <v>3219</v>
      </c>
      <c r="D1790" s="2">
        <v>1</v>
      </c>
      <c r="E1790" s="11" t="s">
        <v>2233</v>
      </c>
      <c r="F1790" t="s">
        <v>28</v>
      </c>
      <c r="G1790" s="2" t="s">
        <v>31</v>
      </c>
      <c r="H1790" s="1">
        <v>148.29400000000001</v>
      </c>
    </row>
    <row r="1791" spans="1:8" x14ac:dyDescent="0.3">
      <c r="A1791" s="2">
        <v>606</v>
      </c>
      <c r="B1791" t="s">
        <v>2643</v>
      </c>
      <c r="C1791" t="s">
        <v>3219</v>
      </c>
      <c r="D1791" s="2">
        <v>1</v>
      </c>
      <c r="E1791" s="11" t="s">
        <v>2233</v>
      </c>
      <c r="F1791" t="s">
        <v>28</v>
      </c>
      <c r="G1791" s="2" t="s">
        <v>23</v>
      </c>
      <c r="H1791" s="1">
        <v>148.29400000000001</v>
      </c>
    </row>
    <row r="1792" spans="1:8" x14ac:dyDescent="0.3">
      <c r="A1792" s="2">
        <v>606</v>
      </c>
      <c r="B1792" t="s">
        <v>2642</v>
      </c>
      <c r="C1792" t="s">
        <v>3219</v>
      </c>
      <c r="D1792" s="2">
        <v>1</v>
      </c>
      <c r="E1792" s="11" t="s">
        <v>2123</v>
      </c>
      <c r="F1792" t="s">
        <v>47</v>
      </c>
      <c r="G1792" s="2" t="s">
        <v>4</v>
      </c>
      <c r="H1792" s="1">
        <v>142.994</v>
      </c>
    </row>
    <row r="1793" spans="1:8" x14ac:dyDescent="0.3">
      <c r="A1793" s="2">
        <v>606</v>
      </c>
      <c r="B1793" t="s">
        <v>2641</v>
      </c>
      <c r="C1793" t="s">
        <v>3219</v>
      </c>
      <c r="D1793" s="2">
        <v>1</v>
      </c>
      <c r="E1793" s="11" t="s">
        <v>2123</v>
      </c>
      <c r="F1793" t="s">
        <v>47</v>
      </c>
      <c r="G1793" s="2" t="s">
        <v>23</v>
      </c>
      <c r="H1793" s="1">
        <v>142.994</v>
      </c>
    </row>
    <row r="1794" spans="1:8" x14ac:dyDescent="0.3">
      <c r="A1794" s="2">
        <v>606</v>
      </c>
      <c r="B1794" t="s">
        <v>2640</v>
      </c>
      <c r="C1794" t="s">
        <v>3224</v>
      </c>
      <c r="D1794" s="2">
        <v>1</v>
      </c>
      <c r="E1794" s="11" t="s">
        <v>2638</v>
      </c>
      <c r="F1794" t="s">
        <v>47</v>
      </c>
      <c r="G1794" s="2" t="s">
        <v>4</v>
      </c>
      <c r="H1794" s="1">
        <v>58.19400000000001</v>
      </c>
    </row>
    <row r="1795" spans="1:8" x14ac:dyDescent="0.3">
      <c r="A1795" s="2">
        <v>606</v>
      </c>
      <c r="B1795" t="s">
        <v>2639</v>
      </c>
      <c r="C1795" t="s">
        <v>3224</v>
      </c>
      <c r="D1795" s="2">
        <v>1</v>
      </c>
      <c r="E1795" s="11" t="s">
        <v>2638</v>
      </c>
      <c r="F1795" t="s">
        <v>47</v>
      </c>
      <c r="G1795" s="2" t="s">
        <v>23</v>
      </c>
      <c r="H1795" s="1">
        <v>58.19400000000001</v>
      </c>
    </row>
    <row r="1796" spans="1:8" x14ac:dyDescent="0.3">
      <c r="A1796" s="2">
        <v>606</v>
      </c>
      <c r="B1796" t="s">
        <v>2637</v>
      </c>
      <c r="C1796" t="s">
        <v>3225</v>
      </c>
      <c r="D1796" s="2">
        <v>1</v>
      </c>
      <c r="E1796" s="11" t="s">
        <v>2636</v>
      </c>
      <c r="F1796" t="s">
        <v>47</v>
      </c>
      <c r="G1796" s="2" t="s">
        <v>23</v>
      </c>
      <c r="H1796" s="1">
        <v>158.89400000000001</v>
      </c>
    </row>
    <row r="1797" spans="1:8" x14ac:dyDescent="0.3">
      <c r="A1797" s="2">
        <v>606</v>
      </c>
      <c r="B1797" t="s">
        <v>2635</v>
      </c>
      <c r="C1797" t="s">
        <v>3224</v>
      </c>
      <c r="D1797" s="2">
        <v>1</v>
      </c>
      <c r="E1797" s="11" t="s">
        <v>2379</v>
      </c>
      <c r="F1797" t="s">
        <v>47</v>
      </c>
      <c r="G1797" s="2" t="s">
        <v>23</v>
      </c>
      <c r="H1797" s="1">
        <v>95.294000000000011</v>
      </c>
    </row>
    <row r="1798" spans="1:8" x14ac:dyDescent="0.3">
      <c r="A1798" s="2">
        <v>606</v>
      </c>
      <c r="B1798" t="s">
        <v>2634</v>
      </c>
      <c r="C1798" t="s">
        <v>3219</v>
      </c>
      <c r="D1798" s="2">
        <v>1</v>
      </c>
      <c r="E1798" s="11" t="s">
        <v>1729</v>
      </c>
      <c r="F1798" t="s">
        <v>47</v>
      </c>
      <c r="G1798" s="2" t="s">
        <v>23</v>
      </c>
      <c r="H1798" s="1">
        <v>148.29400000000001</v>
      </c>
    </row>
    <row r="1799" spans="1:8" x14ac:dyDescent="0.3">
      <c r="A1799" s="2">
        <v>606</v>
      </c>
      <c r="B1799" t="s">
        <v>2633</v>
      </c>
      <c r="C1799" t="s">
        <v>3224</v>
      </c>
      <c r="D1799" s="2">
        <v>1</v>
      </c>
      <c r="E1799" s="11" t="s">
        <v>2422</v>
      </c>
      <c r="F1799" t="s">
        <v>47</v>
      </c>
      <c r="G1799" s="2" t="s">
        <v>31</v>
      </c>
      <c r="H1799" s="1">
        <v>63.494000000000007</v>
      </c>
    </row>
    <row r="1800" spans="1:8" x14ac:dyDescent="0.3">
      <c r="A1800" s="2">
        <v>606</v>
      </c>
      <c r="B1800" t="s">
        <v>2632</v>
      </c>
      <c r="C1800" t="s">
        <v>3224</v>
      </c>
      <c r="D1800" s="2">
        <v>1</v>
      </c>
      <c r="E1800" s="11" t="s">
        <v>2422</v>
      </c>
      <c r="F1800" t="s">
        <v>47</v>
      </c>
      <c r="G1800" s="2" t="s">
        <v>23</v>
      </c>
      <c r="H1800" s="1">
        <v>63.494000000000007</v>
      </c>
    </row>
    <row r="1801" spans="1:8" x14ac:dyDescent="0.3">
      <c r="A1801" s="2">
        <v>606</v>
      </c>
      <c r="B1801" t="s">
        <v>2462</v>
      </c>
      <c r="C1801" t="s">
        <v>3219</v>
      </c>
      <c r="D1801" s="2">
        <v>1</v>
      </c>
      <c r="E1801" s="11" t="s">
        <v>2123</v>
      </c>
      <c r="F1801" t="s">
        <v>39</v>
      </c>
      <c r="G1801" s="2" t="s">
        <v>4</v>
      </c>
      <c r="H1801" s="1">
        <v>142.994</v>
      </c>
    </row>
    <row r="1802" spans="1:8" x14ac:dyDescent="0.3">
      <c r="A1802" s="2">
        <v>606</v>
      </c>
      <c r="B1802" t="s">
        <v>2631</v>
      </c>
      <c r="C1802" t="s">
        <v>0</v>
      </c>
      <c r="D1802" s="2">
        <v>1</v>
      </c>
      <c r="E1802" s="11" t="s">
        <v>2630</v>
      </c>
      <c r="F1802" t="s">
        <v>28</v>
      </c>
      <c r="G1802" s="2" t="s">
        <v>23</v>
      </c>
      <c r="H1802" s="1">
        <v>174.79400000000001</v>
      </c>
    </row>
    <row r="1803" spans="1:8" x14ac:dyDescent="0.3">
      <c r="A1803" s="2">
        <v>606</v>
      </c>
      <c r="B1803" t="s">
        <v>2603</v>
      </c>
      <c r="C1803" t="s">
        <v>3</v>
      </c>
      <c r="D1803" s="2">
        <v>1</v>
      </c>
      <c r="E1803" s="11" t="s">
        <v>2602</v>
      </c>
      <c r="F1803" t="s">
        <v>28</v>
      </c>
      <c r="G1803" s="2" t="s">
        <v>31</v>
      </c>
      <c r="H1803" s="1">
        <v>100.59400000000001</v>
      </c>
    </row>
    <row r="1804" spans="1:8" x14ac:dyDescent="0.3">
      <c r="A1804" s="2">
        <v>606</v>
      </c>
      <c r="B1804" t="s">
        <v>2601</v>
      </c>
      <c r="C1804" t="s">
        <v>3224</v>
      </c>
      <c r="D1804" s="2">
        <v>1</v>
      </c>
      <c r="E1804" s="11" t="s">
        <v>2600</v>
      </c>
      <c r="F1804" t="s">
        <v>28</v>
      </c>
      <c r="G1804" s="2" t="s">
        <v>31</v>
      </c>
      <c r="H1804" s="1">
        <v>42.294000000000004</v>
      </c>
    </row>
    <row r="1805" spans="1:8" x14ac:dyDescent="0.3">
      <c r="A1805" s="2">
        <v>606</v>
      </c>
      <c r="B1805" t="s">
        <v>2629</v>
      </c>
      <c r="C1805" t="s">
        <v>3224</v>
      </c>
      <c r="D1805" s="2">
        <v>1</v>
      </c>
      <c r="E1805" s="11" t="s">
        <v>2628</v>
      </c>
      <c r="F1805" t="s">
        <v>28</v>
      </c>
      <c r="G1805" s="2" t="s">
        <v>23</v>
      </c>
      <c r="H1805" s="1">
        <v>95.294000000000011</v>
      </c>
    </row>
    <row r="1806" spans="1:8" x14ac:dyDescent="0.3">
      <c r="A1806" s="2">
        <v>606</v>
      </c>
      <c r="B1806" t="s">
        <v>1654</v>
      </c>
      <c r="C1806" t="s">
        <v>1</v>
      </c>
      <c r="D1806" s="2">
        <v>1</v>
      </c>
      <c r="E1806" s="11" t="s">
        <v>1653</v>
      </c>
      <c r="F1806" t="s">
        <v>28</v>
      </c>
      <c r="G1806" s="2" t="s">
        <v>4</v>
      </c>
      <c r="H1806" s="1">
        <v>79.394000000000005</v>
      </c>
    </row>
    <row r="1807" spans="1:8" x14ac:dyDescent="0.3">
      <c r="A1807" s="2">
        <v>606</v>
      </c>
      <c r="B1807" t="s">
        <v>2247</v>
      </c>
      <c r="C1807" t="s">
        <v>1</v>
      </c>
      <c r="D1807" s="2">
        <v>1</v>
      </c>
      <c r="E1807" s="11" t="s">
        <v>1653</v>
      </c>
      <c r="F1807" t="s">
        <v>28</v>
      </c>
      <c r="G1807" s="2" t="s">
        <v>31</v>
      </c>
      <c r="H1807" s="1">
        <v>79.394000000000005</v>
      </c>
    </row>
    <row r="1808" spans="1:8" x14ac:dyDescent="0.3">
      <c r="A1808" s="2">
        <v>606</v>
      </c>
      <c r="B1808" t="s">
        <v>2627</v>
      </c>
      <c r="C1808" t="s">
        <v>3219</v>
      </c>
      <c r="D1808" s="2">
        <v>1</v>
      </c>
      <c r="E1808" s="11" t="s">
        <v>2123</v>
      </c>
      <c r="F1808" t="s">
        <v>24</v>
      </c>
      <c r="G1808" s="2" t="s">
        <v>31</v>
      </c>
      <c r="H1808" s="1">
        <v>142.994</v>
      </c>
    </row>
    <row r="1809" spans="1:8" x14ac:dyDescent="0.3">
      <c r="A1809" s="2">
        <v>607</v>
      </c>
      <c r="B1809" t="s">
        <v>2626</v>
      </c>
      <c r="C1809" t="s">
        <v>1</v>
      </c>
      <c r="D1809" s="2">
        <v>4</v>
      </c>
      <c r="E1809" s="11" t="s">
        <v>281</v>
      </c>
      <c r="F1809" t="s">
        <v>47</v>
      </c>
      <c r="G1809" s="2" t="s">
        <v>4</v>
      </c>
      <c r="H1809" s="1">
        <v>58.194000000000003</v>
      </c>
    </row>
    <row r="1810" spans="1:8" x14ac:dyDescent="0.3">
      <c r="A1810" s="2">
        <v>607</v>
      </c>
      <c r="B1810" t="s">
        <v>1190</v>
      </c>
      <c r="C1810" t="s">
        <v>1</v>
      </c>
      <c r="D1810" s="2">
        <v>2</v>
      </c>
      <c r="E1810" s="11" t="s">
        <v>281</v>
      </c>
      <c r="F1810" t="s">
        <v>47</v>
      </c>
      <c r="G1810" s="2" t="s">
        <v>203</v>
      </c>
      <c r="H1810" s="1">
        <v>58.194000000000003</v>
      </c>
    </row>
    <row r="1811" spans="1:8" x14ac:dyDescent="0.3">
      <c r="A1811" s="2">
        <v>607</v>
      </c>
      <c r="B1811" t="s">
        <v>1237</v>
      </c>
      <c r="C1811" t="s">
        <v>1</v>
      </c>
      <c r="D1811" s="2">
        <v>4</v>
      </c>
      <c r="E1811" s="11" t="s">
        <v>281</v>
      </c>
      <c r="F1811" t="s">
        <v>47</v>
      </c>
      <c r="G1811" s="2" t="s">
        <v>31</v>
      </c>
      <c r="H1811" s="1">
        <v>58.194000000000003</v>
      </c>
    </row>
    <row r="1812" spans="1:8" x14ac:dyDescent="0.3">
      <c r="A1812" s="2">
        <v>607</v>
      </c>
      <c r="B1812" t="s">
        <v>711</v>
      </c>
      <c r="C1812" t="s">
        <v>1</v>
      </c>
      <c r="D1812" s="2">
        <v>2</v>
      </c>
      <c r="E1812" s="11" t="s">
        <v>281</v>
      </c>
      <c r="F1812" t="s">
        <v>47</v>
      </c>
      <c r="G1812" s="2" t="s">
        <v>23</v>
      </c>
      <c r="H1812" s="1">
        <v>58.194000000000003</v>
      </c>
    </row>
    <row r="1813" spans="1:8" x14ac:dyDescent="0.3">
      <c r="A1813" s="2">
        <v>608</v>
      </c>
      <c r="B1813" t="s">
        <v>2625</v>
      </c>
      <c r="C1813" t="s">
        <v>3217</v>
      </c>
      <c r="D1813" s="2">
        <v>1</v>
      </c>
      <c r="E1813" s="11" t="s">
        <v>1948</v>
      </c>
      <c r="F1813" t="s">
        <v>114</v>
      </c>
      <c r="G1813" s="2" t="s">
        <v>4</v>
      </c>
      <c r="H1813" s="1">
        <v>63.494000000000007</v>
      </c>
    </row>
    <row r="1814" spans="1:8" x14ac:dyDescent="0.3">
      <c r="A1814" s="2">
        <v>608</v>
      </c>
      <c r="B1814" t="s">
        <v>2624</v>
      </c>
      <c r="C1814" t="s">
        <v>1</v>
      </c>
      <c r="D1814" s="2">
        <v>1</v>
      </c>
      <c r="E1814" s="11" t="s">
        <v>222</v>
      </c>
      <c r="F1814" t="s">
        <v>114</v>
      </c>
      <c r="G1814" s="2" t="s">
        <v>23</v>
      </c>
      <c r="H1814" s="1">
        <v>52.893999999999998</v>
      </c>
    </row>
    <row r="1815" spans="1:8" x14ac:dyDescent="0.3">
      <c r="A1815" s="2">
        <v>608</v>
      </c>
      <c r="B1815" t="s">
        <v>1502</v>
      </c>
      <c r="C1815" t="s">
        <v>2</v>
      </c>
      <c r="D1815" s="2">
        <v>1</v>
      </c>
      <c r="E1815" s="11" t="s">
        <v>60</v>
      </c>
      <c r="F1815" t="s">
        <v>114</v>
      </c>
      <c r="G1815" s="2" t="s">
        <v>4</v>
      </c>
      <c r="H1815" s="1">
        <v>68.794000000000011</v>
      </c>
    </row>
    <row r="1816" spans="1:8" x14ac:dyDescent="0.3">
      <c r="A1816" s="2">
        <v>608</v>
      </c>
      <c r="B1816" t="s">
        <v>2623</v>
      </c>
      <c r="C1816" t="s">
        <v>0</v>
      </c>
      <c r="D1816" s="2">
        <v>2</v>
      </c>
      <c r="E1816" s="11" t="s">
        <v>987</v>
      </c>
      <c r="F1816" t="s">
        <v>2622</v>
      </c>
      <c r="G1816" s="2" t="s">
        <v>31</v>
      </c>
      <c r="H1816" s="1">
        <v>185.39400000000001</v>
      </c>
    </row>
    <row r="1817" spans="1:8" x14ac:dyDescent="0.3">
      <c r="A1817" s="2">
        <v>608</v>
      </c>
      <c r="B1817" t="s">
        <v>2621</v>
      </c>
      <c r="C1817" t="s">
        <v>3224</v>
      </c>
      <c r="D1817" s="2">
        <v>1</v>
      </c>
      <c r="E1817" s="11" t="s">
        <v>2422</v>
      </c>
      <c r="F1817" t="s">
        <v>28</v>
      </c>
      <c r="G1817" s="2" t="s">
        <v>4</v>
      </c>
      <c r="H1817" s="1">
        <v>63.494000000000007</v>
      </c>
    </row>
    <row r="1818" spans="1:8" x14ac:dyDescent="0.3">
      <c r="A1818" s="2">
        <v>609</v>
      </c>
      <c r="B1818" t="s">
        <v>755</v>
      </c>
      <c r="C1818" t="s">
        <v>1</v>
      </c>
      <c r="D1818" s="2">
        <v>1</v>
      </c>
      <c r="E1818" s="11" t="s">
        <v>53</v>
      </c>
      <c r="F1818" t="s">
        <v>65</v>
      </c>
      <c r="G1818" s="2" t="s">
        <v>31</v>
      </c>
      <c r="H1818" s="1">
        <v>36.994</v>
      </c>
    </row>
    <row r="1819" spans="1:8" x14ac:dyDescent="0.3">
      <c r="A1819" s="2">
        <v>609</v>
      </c>
      <c r="B1819" t="s">
        <v>2620</v>
      </c>
      <c r="C1819" t="s">
        <v>3217</v>
      </c>
      <c r="D1819" s="2">
        <v>1</v>
      </c>
      <c r="E1819" s="11" t="s">
        <v>2613</v>
      </c>
      <c r="F1819" t="s">
        <v>65</v>
      </c>
      <c r="G1819" s="2" t="s">
        <v>31</v>
      </c>
      <c r="H1819" s="1">
        <v>79.394000000000005</v>
      </c>
    </row>
    <row r="1820" spans="1:8" x14ac:dyDescent="0.3">
      <c r="A1820" s="2">
        <v>609</v>
      </c>
      <c r="B1820" t="s">
        <v>728</v>
      </c>
      <c r="C1820" t="s">
        <v>3220</v>
      </c>
      <c r="D1820" s="2">
        <v>1</v>
      </c>
      <c r="E1820" s="11" t="s">
        <v>204</v>
      </c>
      <c r="F1820" t="s">
        <v>65</v>
      </c>
      <c r="G1820" s="2" t="s">
        <v>31</v>
      </c>
      <c r="H1820" s="1">
        <v>42.294000000000004</v>
      </c>
    </row>
    <row r="1821" spans="1:8" x14ac:dyDescent="0.3">
      <c r="A1821" s="2">
        <v>609</v>
      </c>
      <c r="B1821" t="s">
        <v>1025</v>
      </c>
      <c r="C1821" t="s">
        <v>3220</v>
      </c>
      <c r="D1821" s="2">
        <v>1</v>
      </c>
      <c r="E1821" s="11" t="s">
        <v>204</v>
      </c>
      <c r="F1821" t="s">
        <v>81</v>
      </c>
      <c r="G1821" s="2" t="s">
        <v>4</v>
      </c>
      <c r="H1821" s="1">
        <v>42.294000000000004</v>
      </c>
    </row>
    <row r="1822" spans="1:8" x14ac:dyDescent="0.3">
      <c r="A1822" s="2">
        <v>609</v>
      </c>
      <c r="B1822" t="s">
        <v>1024</v>
      </c>
      <c r="C1822" t="s">
        <v>3220</v>
      </c>
      <c r="D1822" s="2">
        <v>1</v>
      </c>
      <c r="E1822" s="11" t="s">
        <v>204</v>
      </c>
      <c r="F1822" t="s">
        <v>81</v>
      </c>
      <c r="G1822" s="2" t="s">
        <v>31</v>
      </c>
      <c r="H1822" s="1">
        <v>42.294000000000004</v>
      </c>
    </row>
    <row r="1823" spans="1:8" x14ac:dyDescent="0.3">
      <c r="A1823" s="2">
        <v>609</v>
      </c>
      <c r="B1823" t="s">
        <v>2619</v>
      </c>
      <c r="C1823" t="s">
        <v>3220</v>
      </c>
      <c r="D1823" s="2">
        <v>1</v>
      </c>
      <c r="E1823" s="11" t="s">
        <v>204</v>
      </c>
      <c r="F1823" t="s">
        <v>62</v>
      </c>
      <c r="G1823" s="2" t="s">
        <v>4</v>
      </c>
      <c r="H1823" s="1">
        <v>42.294000000000004</v>
      </c>
    </row>
    <row r="1824" spans="1:8" x14ac:dyDescent="0.3">
      <c r="A1824" s="2">
        <v>609</v>
      </c>
      <c r="B1824" t="s">
        <v>290</v>
      </c>
      <c r="C1824" t="s">
        <v>3220</v>
      </c>
      <c r="D1824" s="2">
        <v>1</v>
      </c>
      <c r="E1824" s="11" t="s">
        <v>204</v>
      </c>
      <c r="F1824" t="s">
        <v>62</v>
      </c>
      <c r="G1824" s="2" t="s">
        <v>31</v>
      </c>
      <c r="H1824" s="1">
        <v>42.294000000000004</v>
      </c>
    </row>
    <row r="1825" spans="1:8" x14ac:dyDescent="0.3">
      <c r="A1825" s="2">
        <v>609</v>
      </c>
      <c r="B1825" t="s">
        <v>2389</v>
      </c>
      <c r="C1825" t="s">
        <v>3220</v>
      </c>
      <c r="D1825" s="2">
        <v>1</v>
      </c>
      <c r="E1825" s="11" t="s">
        <v>204</v>
      </c>
      <c r="F1825" t="s">
        <v>62</v>
      </c>
      <c r="G1825" s="2" t="s">
        <v>23</v>
      </c>
      <c r="H1825" s="1">
        <v>42.294000000000004</v>
      </c>
    </row>
    <row r="1826" spans="1:8" x14ac:dyDescent="0.3">
      <c r="A1826" s="2">
        <v>609</v>
      </c>
      <c r="B1826" t="s">
        <v>242</v>
      </c>
      <c r="C1826" t="s">
        <v>3220</v>
      </c>
      <c r="D1826" s="2">
        <v>1</v>
      </c>
      <c r="E1826" s="11" t="s">
        <v>204</v>
      </c>
      <c r="F1826" t="s">
        <v>241</v>
      </c>
      <c r="G1826" s="2" t="s">
        <v>4</v>
      </c>
      <c r="H1826" s="1">
        <v>42.294000000000004</v>
      </c>
    </row>
    <row r="1827" spans="1:8" x14ac:dyDescent="0.3">
      <c r="A1827" s="2">
        <v>609</v>
      </c>
      <c r="B1827" t="s">
        <v>1022</v>
      </c>
      <c r="C1827" t="s">
        <v>3220</v>
      </c>
      <c r="D1827" s="2">
        <v>1</v>
      </c>
      <c r="E1827" s="11" t="s">
        <v>204</v>
      </c>
      <c r="F1827" t="s">
        <v>241</v>
      </c>
      <c r="G1827" s="2" t="s">
        <v>203</v>
      </c>
      <c r="H1827" s="1">
        <v>42.294000000000004</v>
      </c>
    </row>
    <row r="1828" spans="1:8" x14ac:dyDescent="0.3">
      <c r="A1828" s="2">
        <v>609</v>
      </c>
      <c r="B1828" t="s">
        <v>719</v>
      </c>
      <c r="C1828" t="s">
        <v>3220</v>
      </c>
      <c r="D1828" s="2">
        <v>1</v>
      </c>
      <c r="E1828" s="11" t="s">
        <v>204</v>
      </c>
      <c r="F1828" t="s">
        <v>241</v>
      </c>
      <c r="G1828" s="2" t="s">
        <v>23</v>
      </c>
      <c r="H1828" s="1">
        <v>42.294000000000004</v>
      </c>
    </row>
    <row r="1829" spans="1:8" x14ac:dyDescent="0.3">
      <c r="A1829" s="2">
        <v>609</v>
      </c>
      <c r="B1829" t="s">
        <v>688</v>
      </c>
      <c r="C1829" t="s">
        <v>3220</v>
      </c>
      <c r="D1829" s="2">
        <v>1</v>
      </c>
      <c r="E1829" s="11" t="s">
        <v>204</v>
      </c>
      <c r="F1829" t="s">
        <v>28</v>
      </c>
      <c r="G1829" s="2" t="s">
        <v>4</v>
      </c>
      <c r="H1829" s="1">
        <v>42.294000000000004</v>
      </c>
    </row>
    <row r="1830" spans="1:8" x14ac:dyDescent="0.3">
      <c r="A1830" s="2">
        <v>609</v>
      </c>
      <c r="B1830" t="s">
        <v>717</v>
      </c>
      <c r="C1830" t="s">
        <v>3220</v>
      </c>
      <c r="D1830" s="2">
        <v>1</v>
      </c>
      <c r="E1830" s="11" t="s">
        <v>204</v>
      </c>
      <c r="F1830" t="s">
        <v>28</v>
      </c>
      <c r="G1830" s="2" t="s">
        <v>31</v>
      </c>
      <c r="H1830" s="1">
        <v>42.294000000000004</v>
      </c>
    </row>
    <row r="1831" spans="1:8" x14ac:dyDescent="0.3">
      <c r="A1831" s="2">
        <v>609</v>
      </c>
      <c r="B1831" t="s">
        <v>1909</v>
      </c>
      <c r="C1831" t="s">
        <v>1</v>
      </c>
      <c r="D1831" s="2">
        <v>1</v>
      </c>
      <c r="E1831" s="11" t="s">
        <v>53</v>
      </c>
      <c r="F1831" t="s">
        <v>114</v>
      </c>
      <c r="G1831" s="2" t="s">
        <v>4</v>
      </c>
      <c r="H1831" s="1">
        <v>36.994</v>
      </c>
    </row>
    <row r="1832" spans="1:8" x14ac:dyDescent="0.3">
      <c r="A1832" s="2">
        <v>609</v>
      </c>
      <c r="B1832" t="s">
        <v>1324</v>
      </c>
      <c r="C1832" t="s">
        <v>1</v>
      </c>
      <c r="D1832" s="2">
        <v>1</v>
      </c>
      <c r="E1832" s="11" t="s">
        <v>53</v>
      </c>
      <c r="F1832" t="s">
        <v>114</v>
      </c>
      <c r="G1832" s="2" t="s">
        <v>31</v>
      </c>
      <c r="H1832" s="1">
        <v>36.994</v>
      </c>
    </row>
    <row r="1833" spans="1:8" x14ac:dyDescent="0.3">
      <c r="A1833" s="2">
        <v>609</v>
      </c>
      <c r="B1833" t="s">
        <v>270</v>
      </c>
      <c r="C1833" t="s">
        <v>3220</v>
      </c>
      <c r="D1833" s="2">
        <v>1</v>
      </c>
      <c r="E1833" s="11" t="s">
        <v>204</v>
      </c>
      <c r="F1833" t="s">
        <v>114</v>
      </c>
      <c r="G1833" s="2" t="s">
        <v>4</v>
      </c>
      <c r="H1833" s="1">
        <v>42.294000000000004</v>
      </c>
    </row>
    <row r="1834" spans="1:8" x14ac:dyDescent="0.3">
      <c r="A1834" s="2">
        <v>609</v>
      </c>
      <c r="B1834" t="s">
        <v>685</v>
      </c>
      <c r="C1834" t="s">
        <v>3220</v>
      </c>
      <c r="D1834" s="2">
        <v>1</v>
      </c>
      <c r="E1834" s="11" t="s">
        <v>204</v>
      </c>
      <c r="F1834" t="s">
        <v>114</v>
      </c>
      <c r="G1834" s="2" t="s">
        <v>203</v>
      </c>
      <c r="H1834" s="1">
        <v>42.294000000000004</v>
      </c>
    </row>
    <row r="1835" spans="1:8" x14ac:dyDescent="0.3">
      <c r="A1835" s="2">
        <v>609</v>
      </c>
      <c r="B1835" t="s">
        <v>2263</v>
      </c>
      <c r="C1835" t="s">
        <v>3220</v>
      </c>
      <c r="D1835" s="2">
        <v>1</v>
      </c>
      <c r="E1835" s="11" t="s">
        <v>204</v>
      </c>
      <c r="F1835" t="s">
        <v>114</v>
      </c>
      <c r="G1835" s="2" t="s">
        <v>31</v>
      </c>
      <c r="H1835" s="1">
        <v>42.294000000000004</v>
      </c>
    </row>
    <row r="1836" spans="1:8" x14ac:dyDescent="0.3">
      <c r="A1836" s="2">
        <v>609</v>
      </c>
      <c r="B1836" t="s">
        <v>269</v>
      </c>
      <c r="C1836" t="s">
        <v>3220</v>
      </c>
      <c r="D1836" s="2">
        <v>1</v>
      </c>
      <c r="E1836" s="11" t="s">
        <v>204</v>
      </c>
      <c r="F1836" t="s">
        <v>114</v>
      </c>
      <c r="G1836" s="2" t="s">
        <v>23</v>
      </c>
      <c r="H1836" s="1">
        <v>42.294000000000004</v>
      </c>
    </row>
    <row r="1837" spans="1:8" x14ac:dyDescent="0.3">
      <c r="A1837" s="2">
        <v>609</v>
      </c>
      <c r="B1837" t="s">
        <v>1906</v>
      </c>
      <c r="C1837" t="s">
        <v>1</v>
      </c>
      <c r="D1837" s="2">
        <v>1</v>
      </c>
      <c r="E1837" s="11" t="s">
        <v>53</v>
      </c>
      <c r="F1837" t="s">
        <v>36</v>
      </c>
      <c r="G1837" s="2" t="s">
        <v>4</v>
      </c>
      <c r="H1837" s="1">
        <v>36.994</v>
      </c>
    </row>
    <row r="1838" spans="1:8" x14ac:dyDescent="0.3">
      <c r="A1838" s="2">
        <v>609</v>
      </c>
      <c r="B1838" t="s">
        <v>1136</v>
      </c>
      <c r="C1838" t="s">
        <v>1</v>
      </c>
      <c r="D1838" s="2">
        <v>1</v>
      </c>
      <c r="E1838" s="11" t="s">
        <v>53</v>
      </c>
      <c r="F1838" t="s">
        <v>36</v>
      </c>
      <c r="G1838" s="2" t="s">
        <v>31</v>
      </c>
      <c r="H1838" s="1">
        <v>36.994</v>
      </c>
    </row>
    <row r="1839" spans="1:8" x14ac:dyDescent="0.3">
      <c r="A1839" s="2">
        <v>609</v>
      </c>
      <c r="B1839" t="s">
        <v>54</v>
      </c>
      <c r="C1839" t="s">
        <v>1</v>
      </c>
      <c r="D1839" s="2">
        <v>1</v>
      </c>
      <c r="E1839" s="11" t="s">
        <v>53</v>
      </c>
      <c r="F1839" t="s">
        <v>47</v>
      </c>
      <c r="G1839" s="2" t="s">
        <v>4</v>
      </c>
      <c r="H1839" s="1">
        <v>36.994</v>
      </c>
    </row>
    <row r="1840" spans="1:8" x14ac:dyDescent="0.3">
      <c r="A1840" s="2">
        <v>609</v>
      </c>
      <c r="B1840" t="s">
        <v>1595</v>
      </c>
      <c r="C1840" t="s">
        <v>1</v>
      </c>
      <c r="D1840" s="2">
        <v>1</v>
      </c>
      <c r="E1840" s="11" t="s">
        <v>53</v>
      </c>
      <c r="F1840" t="s">
        <v>47</v>
      </c>
      <c r="G1840" s="2" t="s">
        <v>31</v>
      </c>
      <c r="H1840" s="1">
        <v>36.994</v>
      </c>
    </row>
    <row r="1841" spans="1:8" x14ac:dyDescent="0.3">
      <c r="A1841" s="2">
        <v>609</v>
      </c>
      <c r="B1841" t="s">
        <v>288</v>
      </c>
      <c r="C1841" t="s">
        <v>1</v>
      </c>
      <c r="D1841" s="2">
        <v>1</v>
      </c>
      <c r="E1841" s="11" t="s">
        <v>53</v>
      </c>
      <c r="F1841" t="s">
        <v>47</v>
      </c>
      <c r="G1841" s="2" t="s">
        <v>23</v>
      </c>
      <c r="H1841" s="1">
        <v>36.994</v>
      </c>
    </row>
    <row r="1842" spans="1:8" x14ac:dyDescent="0.3">
      <c r="A1842" s="2">
        <v>609</v>
      </c>
      <c r="B1842" t="s">
        <v>206</v>
      </c>
      <c r="C1842" t="s">
        <v>3220</v>
      </c>
      <c r="D1842" s="2">
        <v>1</v>
      </c>
      <c r="E1842" s="11" t="s">
        <v>204</v>
      </c>
      <c r="F1842" t="s">
        <v>47</v>
      </c>
      <c r="G1842" s="2" t="s">
        <v>4</v>
      </c>
      <c r="H1842" s="1">
        <v>42.294000000000004</v>
      </c>
    </row>
    <row r="1843" spans="1:8" x14ac:dyDescent="0.3">
      <c r="A1843" s="2">
        <v>609</v>
      </c>
      <c r="B1843" t="s">
        <v>205</v>
      </c>
      <c r="C1843" t="s">
        <v>3220</v>
      </c>
      <c r="D1843" s="2">
        <v>1</v>
      </c>
      <c r="E1843" s="11" t="s">
        <v>204</v>
      </c>
      <c r="F1843" t="s">
        <v>47</v>
      </c>
      <c r="G1843" s="2" t="s">
        <v>203</v>
      </c>
      <c r="H1843" s="1">
        <v>42.294000000000004</v>
      </c>
    </row>
    <row r="1844" spans="1:8" x14ac:dyDescent="0.3">
      <c r="A1844" s="2">
        <v>609</v>
      </c>
      <c r="B1844" t="s">
        <v>266</v>
      </c>
      <c r="C1844" t="s">
        <v>3220</v>
      </c>
      <c r="D1844" s="2">
        <v>1</v>
      </c>
      <c r="E1844" s="11" t="s">
        <v>204</v>
      </c>
      <c r="F1844" t="s">
        <v>47</v>
      </c>
      <c r="G1844" s="2" t="s">
        <v>31</v>
      </c>
      <c r="H1844" s="1">
        <v>42.294000000000004</v>
      </c>
    </row>
    <row r="1845" spans="1:8" x14ac:dyDescent="0.3">
      <c r="A1845" s="2">
        <v>609</v>
      </c>
      <c r="B1845" t="s">
        <v>710</v>
      </c>
      <c r="C1845" t="s">
        <v>3220</v>
      </c>
      <c r="D1845" s="2">
        <v>1</v>
      </c>
      <c r="E1845" s="11" t="s">
        <v>204</v>
      </c>
      <c r="F1845" t="s">
        <v>47</v>
      </c>
      <c r="G1845" s="2" t="s">
        <v>23</v>
      </c>
      <c r="H1845" s="1">
        <v>42.294000000000004</v>
      </c>
    </row>
    <row r="1846" spans="1:8" x14ac:dyDescent="0.3">
      <c r="A1846" s="2">
        <v>609</v>
      </c>
      <c r="B1846" t="s">
        <v>1491</v>
      </c>
      <c r="C1846" t="s">
        <v>1</v>
      </c>
      <c r="D1846" s="2">
        <v>1</v>
      </c>
      <c r="E1846" s="11" t="s">
        <v>53</v>
      </c>
      <c r="F1846" t="s">
        <v>39</v>
      </c>
      <c r="G1846" s="2" t="s">
        <v>4</v>
      </c>
      <c r="H1846" s="1">
        <v>36.994</v>
      </c>
    </row>
    <row r="1847" spans="1:8" x14ac:dyDescent="0.3">
      <c r="A1847" s="2">
        <v>609</v>
      </c>
      <c r="B1847" t="s">
        <v>2618</v>
      </c>
      <c r="C1847" t="s">
        <v>1</v>
      </c>
      <c r="D1847" s="2">
        <v>1</v>
      </c>
      <c r="E1847" s="11" t="s">
        <v>53</v>
      </c>
      <c r="F1847" t="s">
        <v>39</v>
      </c>
      <c r="G1847" s="2" t="s">
        <v>31</v>
      </c>
      <c r="H1847" s="1">
        <v>36.994</v>
      </c>
    </row>
    <row r="1848" spans="1:8" x14ac:dyDescent="0.3">
      <c r="A1848" s="2">
        <v>609</v>
      </c>
      <c r="B1848" t="s">
        <v>2617</v>
      </c>
      <c r="C1848" t="s">
        <v>1</v>
      </c>
      <c r="D1848" s="2">
        <v>1</v>
      </c>
      <c r="E1848" s="11" t="s">
        <v>53</v>
      </c>
      <c r="F1848" t="s">
        <v>39</v>
      </c>
      <c r="G1848" s="2" t="s">
        <v>23</v>
      </c>
      <c r="H1848" s="1">
        <v>36.994</v>
      </c>
    </row>
    <row r="1849" spans="1:8" x14ac:dyDescent="0.3">
      <c r="A1849" s="2">
        <v>609</v>
      </c>
      <c r="B1849" t="s">
        <v>2616</v>
      </c>
      <c r="C1849" t="s">
        <v>3217</v>
      </c>
      <c r="D1849" s="2">
        <v>1</v>
      </c>
      <c r="E1849" s="11" t="s">
        <v>2613</v>
      </c>
      <c r="F1849" t="s">
        <v>39</v>
      </c>
      <c r="G1849" s="2" t="s">
        <v>23</v>
      </c>
      <c r="H1849" s="1">
        <v>79.394000000000005</v>
      </c>
    </row>
    <row r="1850" spans="1:8" x14ac:dyDescent="0.3">
      <c r="A1850" s="2">
        <v>609</v>
      </c>
      <c r="B1850" t="s">
        <v>2615</v>
      </c>
      <c r="C1850" t="s">
        <v>3217</v>
      </c>
      <c r="D1850" s="2">
        <v>1</v>
      </c>
      <c r="E1850" s="11" t="s">
        <v>2613</v>
      </c>
      <c r="F1850" t="s">
        <v>28</v>
      </c>
      <c r="G1850" s="2" t="s">
        <v>4</v>
      </c>
      <c r="H1850" s="1">
        <v>79.394000000000005</v>
      </c>
    </row>
    <row r="1851" spans="1:8" x14ac:dyDescent="0.3">
      <c r="A1851" s="2">
        <v>609</v>
      </c>
      <c r="B1851" t="s">
        <v>2614</v>
      </c>
      <c r="C1851" t="s">
        <v>3217</v>
      </c>
      <c r="D1851" s="2">
        <v>1</v>
      </c>
      <c r="E1851" s="11" t="s">
        <v>2613</v>
      </c>
      <c r="F1851" t="s">
        <v>28</v>
      </c>
      <c r="G1851" s="2" t="s">
        <v>203</v>
      </c>
      <c r="H1851" s="1">
        <v>79.394000000000005</v>
      </c>
    </row>
    <row r="1852" spans="1:8" x14ac:dyDescent="0.3">
      <c r="A1852" s="2">
        <v>609</v>
      </c>
      <c r="B1852" t="s">
        <v>688</v>
      </c>
      <c r="C1852" t="s">
        <v>3220</v>
      </c>
      <c r="D1852" s="2">
        <v>1</v>
      </c>
      <c r="E1852" s="11" t="s">
        <v>204</v>
      </c>
      <c r="F1852" t="s">
        <v>28</v>
      </c>
      <c r="G1852" s="2" t="s">
        <v>4</v>
      </c>
      <c r="H1852" s="1">
        <v>42.294000000000004</v>
      </c>
    </row>
    <row r="1853" spans="1:8" x14ac:dyDescent="0.3">
      <c r="A1853" s="2">
        <v>609</v>
      </c>
      <c r="B1853" t="s">
        <v>717</v>
      </c>
      <c r="C1853" t="s">
        <v>3220</v>
      </c>
      <c r="D1853" s="2">
        <v>1</v>
      </c>
      <c r="E1853" s="11" t="s">
        <v>204</v>
      </c>
      <c r="F1853" t="s">
        <v>28</v>
      </c>
      <c r="G1853" s="2" t="s">
        <v>31</v>
      </c>
      <c r="H1853" s="1">
        <v>42.294000000000004</v>
      </c>
    </row>
    <row r="1854" spans="1:8" x14ac:dyDescent="0.3">
      <c r="A1854" s="2">
        <v>610</v>
      </c>
      <c r="B1854" t="s">
        <v>2612</v>
      </c>
      <c r="C1854" t="s">
        <v>0</v>
      </c>
      <c r="D1854" s="2">
        <v>1</v>
      </c>
      <c r="E1854" s="11" t="s">
        <v>2611</v>
      </c>
      <c r="F1854" t="s">
        <v>65</v>
      </c>
      <c r="G1854" s="2" t="s">
        <v>23</v>
      </c>
      <c r="H1854" s="1">
        <v>169.49400000000003</v>
      </c>
    </row>
    <row r="1855" spans="1:8" x14ac:dyDescent="0.3">
      <c r="A1855" s="2">
        <v>610</v>
      </c>
      <c r="B1855" t="s">
        <v>2598</v>
      </c>
      <c r="C1855" t="s">
        <v>3224</v>
      </c>
      <c r="D1855" s="2">
        <v>1</v>
      </c>
      <c r="E1855" s="11" t="s">
        <v>193</v>
      </c>
      <c r="F1855" t="s">
        <v>65</v>
      </c>
      <c r="G1855" s="2" t="s">
        <v>31</v>
      </c>
      <c r="H1855" s="1">
        <v>100.59400000000001</v>
      </c>
    </row>
    <row r="1856" spans="1:8" x14ac:dyDescent="0.3">
      <c r="A1856" s="2">
        <v>610</v>
      </c>
      <c r="B1856" t="s">
        <v>2296</v>
      </c>
      <c r="C1856" t="s">
        <v>0</v>
      </c>
      <c r="D1856" s="2">
        <v>1</v>
      </c>
      <c r="E1856" s="11" t="s">
        <v>2285</v>
      </c>
      <c r="F1856" t="s">
        <v>65</v>
      </c>
      <c r="G1856" s="2" t="s">
        <v>23</v>
      </c>
      <c r="H1856" s="1">
        <v>158.89400000000001</v>
      </c>
    </row>
    <row r="1857" spans="1:8" x14ac:dyDescent="0.3">
      <c r="A1857" s="2">
        <v>610</v>
      </c>
      <c r="B1857" t="s">
        <v>2221</v>
      </c>
      <c r="C1857" t="s">
        <v>0</v>
      </c>
      <c r="D1857" s="2">
        <v>1</v>
      </c>
      <c r="E1857" s="11" t="s">
        <v>2198</v>
      </c>
      <c r="F1857" t="s">
        <v>65</v>
      </c>
      <c r="G1857" s="2" t="s">
        <v>4</v>
      </c>
      <c r="H1857" s="1">
        <v>111.19400000000002</v>
      </c>
    </row>
    <row r="1858" spans="1:8" x14ac:dyDescent="0.3">
      <c r="A1858" s="2">
        <v>610</v>
      </c>
      <c r="B1858" t="s">
        <v>2281</v>
      </c>
      <c r="C1858" t="s">
        <v>0</v>
      </c>
      <c r="D1858" s="2">
        <v>1</v>
      </c>
      <c r="E1858" s="11" t="s">
        <v>2198</v>
      </c>
      <c r="F1858" t="s">
        <v>65</v>
      </c>
      <c r="G1858" s="2" t="s">
        <v>31</v>
      </c>
      <c r="H1858" s="1">
        <v>111.19400000000002</v>
      </c>
    </row>
    <row r="1859" spans="1:8" x14ac:dyDescent="0.3">
      <c r="A1859" s="2">
        <v>610</v>
      </c>
      <c r="B1859" t="s">
        <v>2610</v>
      </c>
      <c r="C1859" t="s">
        <v>0</v>
      </c>
      <c r="D1859" s="2">
        <v>1</v>
      </c>
      <c r="E1859" s="11" t="s">
        <v>2411</v>
      </c>
      <c r="F1859" t="s">
        <v>126</v>
      </c>
      <c r="G1859" s="2" t="s">
        <v>31</v>
      </c>
      <c r="H1859" s="1">
        <v>153.59400000000002</v>
      </c>
    </row>
    <row r="1860" spans="1:8" x14ac:dyDescent="0.3">
      <c r="A1860" s="2">
        <v>610</v>
      </c>
      <c r="B1860" t="s">
        <v>1691</v>
      </c>
      <c r="C1860" t="s">
        <v>0</v>
      </c>
      <c r="D1860" s="2">
        <v>2</v>
      </c>
      <c r="E1860" s="11" t="s">
        <v>1584</v>
      </c>
      <c r="F1860" t="s">
        <v>126</v>
      </c>
      <c r="G1860" s="2" t="s">
        <v>23</v>
      </c>
      <c r="H1860" s="1">
        <v>169.49400000000003</v>
      </c>
    </row>
    <row r="1861" spans="1:8" x14ac:dyDescent="0.3">
      <c r="A1861" s="2">
        <v>610</v>
      </c>
      <c r="B1861" t="s">
        <v>2410</v>
      </c>
      <c r="C1861" t="s">
        <v>0</v>
      </c>
      <c r="D1861" s="2">
        <v>1</v>
      </c>
      <c r="E1861" s="11" t="s">
        <v>2409</v>
      </c>
      <c r="F1861" t="s">
        <v>62</v>
      </c>
      <c r="G1861" s="2" t="s">
        <v>23</v>
      </c>
      <c r="H1861" s="1">
        <v>137.69400000000002</v>
      </c>
    </row>
    <row r="1862" spans="1:8" x14ac:dyDescent="0.3">
      <c r="A1862" s="2">
        <v>610</v>
      </c>
      <c r="B1862" t="s">
        <v>2609</v>
      </c>
      <c r="C1862" t="s">
        <v>3</v>
      </c>
      <c r="D1862" s="2">
        <v>1</v>
      </c>
      <c r="E1862" s="11" t="s">
        <v>2602</v>
      </c>
      <c r="F1862" t="s">
        <v>114</v>
      </c>
      <c r="G1862" s="2" t="s">
        <v>23</v>
      </c>
      <c r="H1862" s="1">
        <v>100.59400000000001</v>
      </c>
    </row>
    <row r="1863" spans="1:8" x14ac:dyDescent="0.3">
      <c r="A1863" s="2">
        <v>610</v>
      </c>
      <c r="B1863" t="s">
        <v>2608</v>
      </c>
      <c r="C1863" t="s">
        <v>3224</v>
      </c>
      <c r="D1863" s="2">
        <v>1</v>
      </c>
      <c r="E1863" s="11" t="s">
        <v>2600</v>
      </c>
      <c r="F1863" t="s">
        <v>114</v>
      </c>
      <c r="G1863" s="2" t="s">
        <v>23</v>
      </c>
      <c r="H1863" s="1">
        <v>42.294000000000004</v>
      </c>
    </row>
    <row r="1864" spans="1:8" x14ac:dyDescent="0.3">
      <c r="A1864" s="2">
        <v>610</v>
      </c>
      <c r="B1864" t="s">
        <v>1067</v>
      </c>
      <c r="C1864" t="s">
        <v>3224</v>
      </c>
      <c r="D1864" s="2">
        <v>1</v>
      </c>
      <c r="E1864" s="11" t="s">
        <v>193</v>
      </c>
      <c r="F1864" t="s">
        <v>114</v>
      </c>
      <c r="G1864" s="2" t="s">
        <v>31</v>
      </c>
      <c r="H1864" s="1">
        <v>100.59400000000001</v>
      </c>
    </row>
    <row r="1865" spans="1:8" x14ac:dyDescent="0.3">
      <c r="A1865" s="2">
        <v>610</v>
      </c>
      <c r="B1865" t="s">
        <v>1549</v>
      </c>
      <c r="C1865" t="s">
        <v>3224</v>
      </c>
      <c r="D1865" s="2">
        <v>1</v>
      </c>
      <c r="E1865" s="11" t="s">
        <v>1478</v>
      </c>
      <c r="F1865" t="s">
        <v>114</v>
      </c>
      <c r="G1865" s="2" t="s">
        <v>31</v>
      </c>
      <c r="H1865" s="1">
        <v>116.49400000000001</v>
      </c>
    </row>
    <row r="1866" spans="1:8" x14ac:dyDescent="0.3">
      <c r="A1866" s="2">
        <v>610</v>
      </c>
      <c r="B1866" t="s">
        <v>2607</v>
      </c>
      <c r="C1866" t="s">
        <v>3224</v>
      </c>
      <c r="D1866" s="2">
        <v>1</v>
      </c>
      <c r="E1866" s="11" t="s">
        <v>193</v>
      </c>
      <c r="F1866" t="s">
        <v>47</v>
      </c>
      <c r="G1866" s="2" t="s">
        <v>4</v>
      </c>
      <c r="H1866" s="1">
        <v>100.59400000000001</v>
      </c>
    </row>
    <row r="1867" spans="1:8" x14ac:dyDescent="0.3">
      <c r="A1867" s="2">
        <v>610</v>
      </c>
      <c r="B1867" t="s">
        <v>2061</v>
      </c>
      <c r="C1867" t="s">
        <v>0</v>
      </c>
      <c r="D1867" s="2">
        <v>1</v>
      </c>
      <c r="E1867" s="11" t="s">
        <v>2060</v>
      </c>
      <c r="F1867" t="s">
        <v>47</v>
      </c>
      <c r="G1867" s="2" t="s">
        <v>31</v>
      </c>
      <c r="H1867" s="1">
        <v>158.89400000000001</v>
      </c>
    </row>
    <row r="1868" spans="1:8" x14ac:dyDescent="0.3">
      <c r="A1868" s="2">
        <v>610</v>
      </c>
      <c r="B1868" t="s">
        <v>2328</v>
      </c>
      <c r="C1868" t="s">
        <v>0</v>
      </c>
      <c r="D1868" s="2">
        <v>1</v>
      </c>
      <c r="E1868" s="11" t="s">
        <v>2079</v>
      </c>
      <c r="F1868" t="s">
        <v>47</v>
      </c>
      <c r="G1868" s="2" t="s">
        <v>31</v>
      </c>
      <c r="H1868" s="1">
        <v>132.39400000000001</v>
      </c>
    </row>
    <row r="1869" spans="1:8" x14ac:dyDescent="0.3">
      <c r="A1869" s="2">
        <v>610</v>
      </c>
      <c r="B1869" t="s">
        <v>2606</v>
      </c>
      <c r="C1869" t="s">
        <v>0</v>
      </c>
      <c r="D1869" s="2">
        <v>1</v>
      </c>
      <c r="E1869" s="11" t="s">
        <v>2079</v>
      </c>
      <c r="F1869" t="s">
        <v>47</v>
      </c>
      <c r="G1869" s="2" t="s">
        <v>23</v>
      </c>
      <c r="H1869" s="1">
        <v>132.39400000000001</v>
      </c>
    </row>
    <row r="1870" spans="1:8" x14ac:dyDescent="0.3">
      <c r="A1870" s="2">
        <v>610</v>
      </c>
      <c r="B1870" t="s">
        <v>2605</v>
      </c>
      <c r="C1870" t="s">
        <v>0</v>
      </c>
      <c r="D1870" s="2">
        <v>1</v>
      </c>
      <c r="E1870" s="11" t="s">
        <v>2285</v>
      </c>
      <c r="F1870" t="s">
        <v>39</v>
      </c>
      <c r="G1870" s="2" t="s">
        <v>31</v>
      </c>
      <c r="H1870" s="1">
        <v>158.89400000000001</v>
      </c>
    </row>
    <row r="1871" spans="1:8" x14ac:dyDescent="0.3">
      <c r="A1871" s="2">
        <v>610</v>
      </c>
      <c r="B1871" t="s">
        <v>2200</v>
      </c>
      <c r="C1871" t="s">
        <v>0</v>
      </c>
      <c r="D1871" s="2">
        <v>1</v>
      </c>
      <c r="E1871" s="11" t="s">
        <v>2198</v>
      </c>
      <c r="F1871" t="s">
        <v>39</v>
      </c>
      <c r="G1871" s="2" t="s">
        <v>31</v>
      </c>
      <c r="H1871" s="1">
        <v>111.19400000000002</v>
      </c>
    </row>
    <row r="1872" spans="1:8" x14ac:dyDescent="0.3">
      <c r="A1872" s="2">
        <v>610</v>
      </c>
      <c r="B1872" t="s">
        <v>2604</v>
      </c>
      <c r="C1872" t="s">
        <v>0</v>
      </c>
      <c r="D1872" s="2">
        <v>1</v>
      </c>
      <c r="E1872" s="11" t="s">
        <v>2411</v>
      </c>
      <c r="F1872" t="s">
        <v>39</v>
      </c>
      <c r="G1872" s="2" t="s">
        <v>23</v>
      </c>
      <c r="H1872" s="1">
        <v>153.59400000000002</v>
      </c>
    </row>
    <row r="1873" spans="1:8" x14ac:dyDescent="0.3">
      <c r="A1873" s="2">
        <v>610</v>
      </c>
      <c r="B1873" t="s">
        <v>1585</v>
      </c>
      <c r="C1873" t="s">
        <v>0</v>
      </c>
      <c r="D1873" s="2">
        <v>2</v>
      </c>
      <c r="E1873" s="11" t="s">
        <v>1584</v>
      </c>
      <c r="F1873" t="s">
        <v>39</v>
      </c>
      <c r="G1873" s="2" t="s">
        <v>31</v>
      </c>
      <c r="H1873" s="1">
        <v>169.49400000000003</v>
      </c>
    </row>
    <row r="1874" spans="1:8" x14ac:dyDescent="0.3">
      <c r="A1874" s="2">
        <v>610</v>
      </c>
      <c r="B1874" t="s">
        <v>2603</v>
      </c>
      <c r="C1874" t="s">
        <v>3</v>
      </c>
      <c r="D1874" s="2">
        <v>1</v>
      </c>
      <c r="E1874" s="11" t="s">
        <v>2602</v>
      </c>
      <c r="F1874" t="s">
        <v>28</v>
      </c>
      <c r="G1874" s="2" t="s">
        <v>31</v>
      </c>
      <c r="H1874" s="1">
        <v>100.59400000000001</v>
      </c>
    </row>
    <row r="1875" spans="1:8" x14ac:dyDescent="0.3">
      <c r="A1875" s="2">
        <v>610</v>
      </c>
      <c r="B1875" t="s">
        <v>2601</v>
      </c>
      <c r="C1875" t="s">
        <v>3224</v>
      </c>
      <c r="D1875" s="2">
        <v>1</v>
      </c>
      <c r="E1875" s="11" t="s">
        <v>2600</v>
      </c>
      <c r="F1875" t="s">
        <v>28</v>
      </c>
      <c r="G1875" s="2" t="s">
        <v>31</v>
      </c>
      <c r="H1875" s="1">
        <v>42.294000000000004</v>
      </c>
    </row>
    <row r="1876" spans="1:8" x14ac:dyDescent="0.3">
      <c r="A1876" s="2">
        <v>611</v>
      </c>
      <c r="B1876" t="s">
        <v>1781</v>
      </c>
      <c r="C1876" t="s">
        <v>1</v>
      </c>
      <c r="D1876" s="2">
        <v>1</v>
      </c>
      <c r="E1876" s="11" t="s">
        <v>281</v>
      </c>
      <c r="F1876" t="s">
        <v>55</v>
      </c>
      <c r="G1876" s="2" t="s">
        <v>4</v>
      </c>
      <c r="H1876" s="1">
        <v>58.194000000000003</v>
      </c>
    </row>
    <row r="1877" spans="1:8" x14ac:dyDescent="0.3">
      <c r="A1877" s="2">
        <v>611</v>
      </c>
      <c r="B1877" t="s">
        <v>2599</v>
      </c>
      <c r="C1877" t="s">
        <v>3219</v>
      </c>
      <c r="D1877" s="2">
        <v>1</v>
      </c>
      <c r="E1877" s="11" t="s">
        <v>673</v>
      </c>
      <c r="F1877" t="s">
        <v>55</v>
      </c>
      <c r="G1877" s="2" t="s">
        <v>23</v>
      </c>
      <c r="H1877" s="1">
        <v>89.994000000000014</v>
      </c>
    </row>
    <row r="1878" spans="1:8" x14ac:dyDescent="0.3">
      <c r="A1878" s="2">
        <v>611</v>
      </c>
      <c r="B1878" t="s">
        <v>1385</v>
      </c>
      <c r="C1878" t="s">
        <v>3219</v>
      </c>
      <c r="D1878" s="2">
        <v>1</v>
      </c>
      <c r="E1878" s="11" t="s">
        <v>102</v>
      </c>
      <c r="F1878" t="s">
        <v>65</v>
      </c>
      <c r="G1878" s="2" t="s">
        <v>23</v>
      </c>
      <c r="H1878" s="1">
        <v>121.79400000000001</v>
      </c>
    </row>
    <row r="1879" spans="1:8" x14ac:dyDescent="0.3">
      <c r="A1879" s="2">
        <v>611</v>
      </c>
      <c r="B1879" t="s">
        <v>2598</v>
      </c>
      <c r="C1879" t="s">
        <v>3224</v>
      </c>
      <c r="D1879" s="2">
        <v>1</v>
      </c>
      <c r="E1879" s="11" t="s">
        <v>193</v>
      </c>
      <c r="F1879" t="s">
        <v>65</v>
      </c>
      <c r="G1879" s="2" t="s">
        <v>31</v>
      </c>
      <c r="H1879" s="1">
        <v>100.59400000000001</v>
      </c>
    </row>
    <row r="1880" spans="1:8" x14ac:dyDescent="0.3">
      <c r="A1880" s="2">
        <v>611</v>
      </c>
      <c r="B1880" t="s">
        <v>2597</v>
      </c>
      <c r="C1880" t="s">
        <v>0</v>
      </c>
      <c r="D1880" s="2">
        <v>1</v>
      </c>
      <c r="E1880" s="11" t="s">
        <v>2463</v>
      </c>
      <c r="F1880" t="s">
        <v>65</v>
      </c>
      <c r="G1880" s="2" t="s">
        <v>31</v>
      </c>
      <c r="H1880" s="1">
        <v>158.89400000000001</v>
      </c>
    </row>
    <row r="1881" spans="1:8" x14ac:dyDescent="0.3">
      <c r="A1881" s="2">
        <v>611</v>
      </c>
      <c r="B1881" t="s">
        <v>1383</v>
      </c>
      <c r="C1881" t="s">
        <v>3220</v>
      </c>
      <c r="D1881" s="2">
        <v>1</v>
      </c>
      <c r="E1881" s="11" t="s">
        <v>204</v>
      </c>
      <c r="F1881" t="s">
        <v>65</v>
      </c>
      <c r="G1881" s="2" t="s">
        <v>4</v>
      </c>
      <c r="H1881" s="1">
        <v>42.294000000000004</v>
      </c>
    </row>
    <row r="1882" spans="1:8" x14ac:dyDescent="0.3">
      <c r="A1882" s="2">
        <v>611</v>
      </c>
      <c r="B1882" t="s">
        <v>2596</v>
      </c>
      <c r="C1882" t="s">
        <v>3219</v>
      </c>
      <c r="D1882" s="2">
        <v>1</v>
      </c>
      <c r="E1882" s="11" t="s">
        <v>673</v>
      </c>
      <c r="F1882" t="s">
        <v>65</v>
      </c>
      <c r="G1882" s="2" t="s">
        <v>31</v>
      </c>
      <c r="H1882" s="1">
        <v>89.994000000000014</v>
      </c>
    </row>
    <row r="1883" spans="1:8" x14ac:dyDescent="0.3">
      <c r="A1883" s="2">
        <v>611</v>
      </c>
      <c r="B1883" t="s">
        <v>2595</v>
      </c>
      <c r="C1883" t="s">
        <v>3219</v>
      </c>
      <c r="D1883" s="2">
        <v>1</v>
      </c>
      <c r="E1883" s="11" t="s">
        <v>673</v>
      </c>
      <c r="F1883" t="s">
        <v>126</v>
      </c>
      <c r="G1883" s="2" t="s">
        <v>203</v>
      </c>
      <c r="H1883" s="1">
        <v>89.994000000000014</v>
      </c>
    </row>
    <row r="1884" spans="1:8" x14ac:dyDescent="0.3">
      <c r="A1884" s="2">
        <v>611</v>
      </c>
      <c r="B1884" t="s">
        <v>1547</v>
      </c>
      <c r="C1884" t="s">
        <v>3225</v>
      </c>
      <c r="D1884" s="2">
        <v>1</v>
      </c>
      <c r="E1884" s="11" t="s">
        <v>831</v>
      </c>
      <c r="F1884" t="s">
        <v>81</v>
      </c>
      <c r="G1884" s="2" t="s">
        <v>23</v>
      </c>
      <c r="H1884" s="1">
        <v>190.69400000000002</v>
      </c>
    </row>
    <row r="1885" spans="1:8" x14ac:dyDescent="0.3">
      <c r="A1885" s="2">
        <v>611</v>
      </c>
      <c r="B1885" t="s">
        <v>2594</v>
      </c>
      <c r="C1885" t="s">
        <v>1</v>
      </c>
      <c r="D1885" s="2">
        <v>1</v>
      </c>
      <c r="E1885" s="11" t="s">
        <v>281</v>
      </c>
      <c r="F1885" t="s">
        <v>62</v>
      </c>
      <c r="G1885" s="2" t="s">
        <v>203</v>
      </c>
      <c r="H1885" s="1">
        <v>58.194000000000003</v>
      </c>
    </row>
    <row r="1886" spans="1:8" x14ac:dyDescent="0.3">
      <c r="A1886" s="2">
        <v>611</v>
      </c>
      <c r="B1886" t="s">
        <v>1797</v>
      </c>
      <c r="C1886" t="s">
        <v>1</v>
      </c>
      <c r="D1886" s="2">
        <v>1</v>
      </c>
      <c r="E1886" s="11" t="s">
        <v>281</v>
      </c>
      <c r="F1886" t="s">
        <v>62</v>
      </c>
      <c r="G1886" s="2" t="s">
        <v>23</v>
      </c>
      <c r="H1886" s="1">
        <v>58.194000000000003</v>
      </c>
    </row>
    <row r="1887" spans="1:8" x14ac:dyDescent="0.3">
      <c r="A1887" s="2">
        <v>611</v>
      </c>
      <c r="B1887" t="s">
        <v>2593</v>
      </c>
      <c r="C1887" t="s">
        <v>3220</v>
      </c>
      <c r="D1887" s="2">
        <v>1</v>
      </c>
      <c r="E1887" s="11" t="s">
        <v>2592</v>
      </c>
      <c r="F1887" t="s">
        <v>28</v>
      </c>
      <c r="G1887" s="2" t="s">
        <v>31</v>
      </c>
      <c r="H1887" s="1">
        <v>21.094000000000001</v>
      </c>
    </row>
    <row r="1888" spans="1:8" x14ac:dyDescent="0.3">
      <c r="A1888" s="2">
        <v>611</v>
      </c>
      <c r="B1888" t="s">
        <v>1797</v>
      </c>
      <c r="C1888" t="s">
        <v>1</v>
      </c>
      <c r="D1888" s="2">
        <v>1</v>
      </c>
      <c r="E1888" s="11" t="s">
        <v>281</v>
      </c>
      <c r="F1888" t="s">
        <v>62</v>
      </c>
      <c r="G1888" s="2" t="s">
        <v>23</v>
      </c>
      <c r="H1888" s="1">
        <v>58.194000000000003</v>
      </c>
    </row>
    <row r="1889" spans="1:8" x14ac:dyDescent="0.3">
      <c r="A1889" s="2">
        <v>611</v>
      </c>
      <c r="B1889" t="s">
        <v>2389</v>
      </c>
      <c r="C1889" t="s">
        <v>3220</v>
      </c>
      <c r="D1889" s="2">
        <v>1</v>
      </c>
      <c r="E1889" s="11" t="s">
        <v>204</v>
      </c>
      <c r="F1889" t="s">
        <v>62</v>
      </c>
      <c r="G1889" s="2" t="s">
        <v>23</v>
      </c>
      <c r="H1889" s="1">
        <v>42.294000000000004</v>
      </c>
    </row>
    <row r="1890" spans="1:8" x14ac:dyDescent="0.3">
      <c r="A1890" s="2">
        <v>611</v>
      </c>
      <c r="B1890" t="s">
        <v>1114</v>
      </c>
      <c r="C1890" t="s">
        <v>1</v>
      </c>
      <c r="D1890" s="2">
        <v>1</v>
      </c>
      <c r="E1890" s="11" t="s">
        <v>281</v>
      </c>
      <c r="F1890" t="s">
        <v>28</v>
      </c>
      <c r="G1890" s="2" t="s">
        <v>23</v>
      </c>
      <c r="H1890" s="1">
        <v>58.194000000000003</v>
      </c>
    </row>
    <row r="1891" spans="1:8" x14ac:dyDescent="0.3">
      <c r="A1891" s="2">
        <v>611</v>
      </c>
      <c r="B1891" t="s">
        <v>1003</v>
      </c>
      <c r="C1891" t="s">
        <v>3220</v>
      </c>
      <c r="D1891" s="2">
        <v>1</v>
      </c>
      <c r="E1891" s="11" t="s">
        <v>204</v>
      </c>
      <c r="F1891" t="s">
        <v>28</v>
      </c>
      <c r="G1891" s="2" t="s">
        <v>203</v>
      </c>
      <c r="H1891" s="1">
        <v>42.294000000000004</v>
      </c>
    </row>
    <row r="1892" spans="1:8" x14ac:dyDescent="0.3">
      <c r="A1892" s="2">
        <v>611</v>
      </c>
      <c r="B1892" t="s">
        <v>2584</v>
      </c>
      <c r="C1892" t="s">
        <v>3219</v>
      </c>
      <c r="D1892" s="2">
        <v>1</v>
      </c>
      <c r="E1892" s="11" t="s">
        <v>109</v>
      </c>
      <c r="F1892" t="s">
        <v>114</v>
      </c>
      <c r="G1892" s="2" t="s">
        <v>23</v>
      </c>
      <c r="H1892" s="1">
        <v>158.89400000000001</v>
      </c>
    </row>
    <row r="1893" spans="1:8" x14ac:dyDescent="0.3">
      <c r="A1893" s="2">
        <v>611</v>
      </c>
      <c r="B1893" t="s">
        <v>2591</v>
      </c>
      <c r="C1893" t="s">
        <v>1</v>
      </c>
      <c r="D1893" s="2">
        <v>1</v>
      </c>
      <c r="E1893" s="11" t="s">
        <v>281</v>
      </c>
      <c r="F1893" t="s">
        <v>683</v>
      </c>
      <c r="G1893" s="2" t="s">
        <v>4</v>
      </c>
      <c r="H1893" s="1">
        <v>58.194000000000003</v>
      </c>
    </row>
    <row r="1894" spans="1:8" x14ac:dyDescent="0.3">
      <c r="A1894" s="2">
        <v>611</v>
      </c>
      <c r="B1894" t="s">
        <v>2590</v>
      </c>
      <c r="C1894" t="s">
        <v>3219</v>
      </c>
      <c r="D1894" s="2">
        <v>1</v>
      </c>
      <c r="E1894" s="11" t="s">
        <v>2233</v>
      </c>
      <c r="F1894" t="s">
        <v>28</v>
      </c>
      <c r="G1894" s="2" t="s">
        <v>4</v>
      </c>
      <c r="H1894" s="1">
        <v>148.29400000000001</v>
      </c>
    </row>
    <row r="1895" spans="1:8" x14ac:dyDescent="0.3">
      <c r="A1895" s="2">
        <v>611</v>
      </c>
      <c r="B1895" t="s">
        <v>2589</v>
      </c>
      <c r="C1895" t="s">
        <v>3225</v>
      </c>
      <c r="D1895" s="2">
        <v>1</v>
      </c>
      <c r="E1895" s="11" t="s">
        <v>831</v>
      </c>
      <c r="F1895" t="s">
        <v>78</v>
      </c>
      <c r="G1895" s="2" t="s">
        <v>4</v>
      </c>
      <c r="H1895" s="1">
        <v>190.69400000000002</v>
      </c>
    </row>
    <row r="1896" spans="1:8" x14ac:dyDescent="0.3">
      <c r="A1896" s="2">
        <v>611</v>
      </c>
      <c r="B1896" t="s">
        <v>1239</v>
      </c>
      <c r="C1896" t="s">
        <v>1</v>
      </c>
      <c r="D1896" s="2">
        <v>1</v>
      </c>
      <c r="E1896" s="11" t="s">
        <v>281</v>
      </c>
      <c r="F1896" t="s">
        <v>78</v>
      </c>
      <c r="G1896" s="2" t="s">
        <v>31</v>
      </c>
      <c r="H1896" s="1">
        <v>58.194000000000003</v>
      </c>
    </row>
    <row r="1897" spans="1:8" x14ac:dyDescent="0.3">
      <c r="A1897" s="2">
        <v>611</v>
      </c>
      <c r="B1897" t="s">
        <v>1309</v>
      </c>
      <c r="C1897" t="s">
        <v>1</v>
      </c>
      <c r="D1897" s="2">
        <v>1</v>
      </c>
      <c r="E1897" s="11" t="s">
        <v>281</v>
      </c>
      <c r="F1897" t="s">
        <v>276</v>
      </c>
      <c r="G1897" s="2" t="s">
        <v>4</v>
      </c>
      <c r="H1897" s="1">
        <v>58.194000000000003</v>
      </c>
    </row>
    <row r="1898" spans="1:8" x14ac:dyDescent="0.3">
      <c r="A1898" s="2">
        <v>611</v>
      </c>
      <c r="B1898" t="s">
        <v>1126</v>
      </c>
      <c r="C1898" t="s">
        <v>3219</v>
      </c>
      <c r="D1898" s="2">
        <v>1</v>
      </c>
      <c r="E1898" s="11" t="s">
        <v>673</v>
      </c>
      <c r="F1898" t="s">
        <v>47</v>
      </c>
      <c r="G1898" s="2" t="s">
        <v>203</v>
      </c>
      <c r="H1898" s="1">
        <v>89.994000000000014</v>
      </c>
    </row>
    <row r="1899" spans="1:8" x14ac:dyDescent="0.3">
      <c r="A1899" s="2">
        <v>611</v>
      </c>
      <c r="B1899" t="s">
        <v>2588</v>
      </c>
      <c r="C1899" t="s">
        <v>3219</v>
      </c>
      <c r="D1899" s="2">
        <v>2</v>
      </c>
      <c r="E1899" s="11" t="s">
        <v>2172</v>
      </c>
      <c r="F1899" t="s">
        <v>39</v>
      </c>
      <c r="G1899" s="2" t="s">
        <v>31</v>
      </c>
      <c r="H1899" s="1">
        <v>142.994</v>
      </c>
    </row>
    <row r="1900" spans="1:8" x14ac:dyDescent="0.3">
      <c r="A1900" s="2">
        <v>611</v>
      </c>
      <c r="B1900" t="s">
        <v>2587</v>
      </c>
      <c r="C1900" t="s">
        <v>3219</v>
      </c>
      <c r="D1900" s="2">
        <v>2</v>
      </c>
      <c r="E1900" s="11" t="s">
        <v>2172</v>
      </c>
      <c r="F1900" t="s">
        <v>39</v>
      </c>
      <c r="G1900" s="2" t="s">
        <v>23</v>
      </c>
      <c r="H1900" s="1">
        <v>142.994</v>
      </c>
    </row>
    <row r="1901" spans="1:8" x14ac:dyDescent="0.3">
      <c r="A1901" s="2">
        <v>611</v>
      </c>
      <c r="B1901" t="s">
        <v>1235</v>
      </c>
      <c r="C1901" t="s">
        <v>1</v>
      </c>
      <c r="D1901" s="2">
        <v>1</v>
      </c>
      <c r="E1901" s="11" t="s">
        <v>281</v>
      </c>
      <c r="F1901" t="s">
        <v>39</v>
      </c>
      <c r="G1901" s="2" t="s">
        <v>23</v>
      </c>
      <c r="H1901" s="1">
        <v>58.194000000000003</v>
      </c>
    </row>
    <row r="1902" spans="1:8" x14ac:dyDescent="0.3">
      <c r="A1902" s="2">
        <v>611</v>
      </c>
      <c r="B1902" t="s">
        <v>1264</v>
      </c>
      <c r="C1902" t="s">
        <v>3220</v>
      </c>
      <c r="D1902" s="2">
        <v>1</v>
      </c>
      <c r="E1902" s="11" t="s">
        <v>204</v>
      </c>
      <c r="F1902" t="s">
        <v>39</v>
      </c>
      <c r="G1902" s="2" t="s">
        <v>4</v>
      </c>
      <c r="H1902" s="1">
        <v>42.294000000000004</v>
      </c>
    </row>
    <row r="1903" spans="1:8" x14ac:dyDescent="0.3">
      <c r="A1903" s="2">
        <v>611</v>
      </c>
      <c r="B1903" t="s">
        <v>1121</v>
      </c>
      <c r="C1903" t="s">
        <v>3220</v>
      </c>
      <c r="D1903" s="2">
        <v>1</v>
      </c>
      <c r="E1903" s="11" t="s">
        <v>204</v>
      </c>
      <c r="F1903" t="s">
        <v>39</v>
      </c>
      <c r="G1903" s="2" t="s">
        <v>31</v>
      </c>
      <c r="H1903" s="1">
        <v>42.294000000000004</v>
      </c>
    </row>
    <row r="1904" spans="1:8" x14ac:dyDescent="0.3">
      <c r="A1904" s="2">
        <v>611</v>
      </c>
      <c r="B1904" t="s">
        <v>708</v>
      </c>
      <c r="C1904" t="s">
        <v>3220</v>
      </c>
      <c r="D1904" s="2">
        <v>1</v>
      </c>
      <c r="E1904" s="11" t="s">
        <v>204</v>
      </c>
      <c r="F1904" t="s">
        <v>39</v>
      </c>
      <c r="G1904" s="2" t="s">
        <v>23</v>
      </c>
      <c r="H1904" s="1">
        <v>42.294000000000004</v>
      </c>
    </row>
    <row r="1905" spans="1:8" x14ac:dyDescent="0.3">
      <c r="A1905" s="2">
        <v>611</v>
      </c>
      <c r="B1905" t="s">
        <v>2125</v>
      </c>
      <c r="C1905" t="s">
        <v>3219</v>
      </c>
      <c r="D1905" s="2">
        <v>1</v>
      </c>
      <c r="E1905" s="11" t="s">
        <v>673</v>
      </c>
      <c r="F1905" t="s">
        <v>39</v>
      </c>
      <c r="G1905" s="2" t="s">
        <v>4</v>
      </c>
      <c r="H1905" s="1">
        <v>89.994000000000014</v>
      </c>
    </row>
    <row r="1906" spans="1:8" x14ac:dyDescent="0.3">
      <c r="A1906" s="2">
        <v>611</v>
      </c>
      <c r="B1906" t="s">
        <v>283</v>
      </c>
      <c r="C1906" t="s">
        <v>3220</v>
      </c>
      <c r="D1906" s="2">
        <v>1</v>
      </c>
      <c r="E1906" s="11" t="s">
        <v>204</v>
      </c>
      <c r="F1906" t="s">
        <v>276</v>
      </c>
      <c r="G1906" s="2" t="s">
        <v>23</v>
      </c>
      <c r="H1906" s="1">
        <v>42.294000000000004</v>
      </c>
    </row>
    <row r="1907" spans="1:8" x14ac:dyDescent="0.3">
      <c r="A1907" s="2">
        <v>611</v>
      </c>
      <c r="B1907" t="s">
        <v>1261</v>
      </c>
      <c r="C1907" t="s">
        <v>3220</v>
      </c>
      <c r="D1907" s="2">
        <v>1</v>
      </c>
      <c r="E1907" s="11" t="s">
        <v>204</v>
      </c>
      <c r="F1907" t="s">
        <v>36</v>
      </c>
      <c r="G1907" s="2" t="s">
        <v>4</v>
      </c>
      <c r="H1907" s="1">
        <v>42.294000000000004</v>
      </c>
    </row>
    <row r="1908" spans="1:8" x14ac:dyDescent="0.3">
      <c r="A1908" s="2">
        <v>611</v>
      </c>
      <c r="B1908" t="s">
        <v>717</v>
      </c>
      <c r="C1908" t="s">
        <v>3220</v>
      </c>
      <c r="D1908" s="2">
        <v>1</v>
      </c>
      <c r="E1908" s="11" t="s">
        <v>204</v>
      </c>
      <c r="F1908" t="s">
        <v>28</v>
      </c>
      <c r="G1908" s="2" t="s">
        <v>31</v>
      </c>
      <c r="H1908" s="1">
        <v>42.294000000000004</v>
      </c>
    </row>
    <row r="1909" spans="1:8" x14ac:dyDescent="0.3">
      <c r="A1909" s="2">
        <v>612</v>
      </c>
      <c r="B1909" t="s">
        <v>2433</v>
      </c>
      <c r="C1909" t="s">
        <v>0</v>
      </c>
      <c r="D1909" s="2">
        <v>1</v>
      </c>
      <c r="E1909" s="11" t="s">
        <v>2285</v>
      </c>
      <c r="F1909" t="s">
        <v>65</v>
      </c>
      <c r="G1909" s="2" t="s">
        <v>31</v>
      </c>
      <c r="H1909" s="1">
        <v>158.89400000000001</v>
      </c>
    </row>
    <row r="1910" spans="1:8" x14ac:dyDescent="0.3">
      <c r="A1910" s="2">
        <v>612</v>
      </c>
      <c r="B1910" t="s">
        <v>2296</v>
      </c>
      <c r="C1910" t="s">
        <v>0</v>
      </c>
      <c r="D1910" s="2">
        <v>1</v>
      </c>
      <c r="E1910" s="11" t="s">
        <v>2285</v>
      </c>
      <c r="F1910" t="s">
        <v>65</v>
      </c>
      <c r="G1910" s="2" t="s">
        <v>23</v>
      </c>
      <c r="H1910" s="1">
        <v>158.89400000000001</v>
      </c>
    </row>
    <row r="1911" spans="1:8" x14ac:dyDescent="0.3">
      <c r="A1911" s="2">
        <v>612</v>
      </c>
      <c r="B1911" t="s">
        <v>2449</v>
      </c>
      <c r="C1911" t="s">
        <v>3219</v>
      </c>
      <c r="D1911" s="2">
        <v>1</v>
      </c>
      <c r="E1911" s="11" t="s">
        <v>102</v>
      </c>
      <c r="F1911" t="s">
        <v>126</v>
      </c>
      <c r="G1911" s="2" t="s">
        <v>23</v>
      </c>
      <c r="H1911" s="1">
        <v>121.79400000000001</v>
      </c>
    </row>
    <row r="1912" spans="1:8" x14ac:dyDescent="0.3">
      <c r="A1912" s="2">
        <v>612</v>
      </c>
      <c r="B1912" t="s">
        <v>2586</v>
      </c>
      <c r="C1912" t="s">
        <v>3224</v>
      </c>
      <c r="D1912" s="2">
        <v>1</v>
      </c>
      <c r="E1912" s="11" t="s">
        <v>2554</v>
      </c>
      <c r="F1912" t="s">
        <v>114</v>
      </c>
      <c r="G1912" s="2" t="s">
        <v>23</v>
      </c>
      <c r="H1912" s="1">
        <v>74.094000000000008</v>
      </c>
    </row>
    <row r="1913" spans="1:8" x14ac:dyDescent="0.3">
      <c r="A1913" s="2">
        <v>612</v>
      </c>
      <c r="B1913" t="s">
        <v>1503</v>
      </c>
      <c r="C1913" t="s">
        <v>3221</v>
      </c>
      <c r="D1913" s="2">
        <v>1</v>
      </c>
      <c r="E1913" s="11" t="s">
        <v>1462</v>
      </c>
      <c r="F1913" t="s">
        <v>114</v>
      </c>
      <c r="G1913" s="2" t="s">
        <v>4</v>
      </c>
      <c r="H1913" s="1">
        <v>116.49400000000001</v>
      </c>
    </row>
    <row r="1914" spans="1:8" x14ac:dyDescent="0.3">
      <c r="A1914" s="2">
        <v>612</v>
      </c>
      <c r="B1914" t="s">
        <v>2585</v>
      </c>
      <c r="C1914" t="s">
        <v>3221</v>
      </c>
      <c r="D1914" s="2">
        <v>1</v>
      </c>
      <c r="E1914" s="11" t="s">
        <v>1462</v>
      </c>
      <c r="F1914" t="s">
        <v>114</v>
      </c>
      <c r="G1914" s="2" t="s">
        <v>31</v>
      </c>
      <c r="H1914" s="1">
        <v>116.49400000000001</v>
      </c>
    </row>
    <row r="1915" spans="1:8" x14ac:dyDescent="0.3">
      <c r="A1915" s="2">
        <v>612</v>
      </c>
      <c r="B1915" t="s">
        <v>1682</v>
      </c>
      <c r="C1915" t="s">
        <v>3221</v>
      </c>
      <c r="D1915" s="2">
        <v>1</v>
      </c>
      <c r="E1915" s="11" t="s">
        <v>1462</v>
      </c>
      <c r="F1915" t="s">
        <v>114</v>
      </c>
      <c r="G1915" s="2" t="s">
        <v>23</v>
      </c>
      <c r="H1915" s="1">
        <v>116.49400000000001</v>
      </c>
    </row>
    <row r="1916" spans="1:8" x14ac:dyDescent="0.3">
      <c r="A1916" s="2">
        <v>612</v>
      </c>
      <c r="B1916" t="s">
        <v>2584</v>
      </c>
      <c r="C1916" t="s">
        <v>3219</v>
      </c>
      <c r="D1916" s="2">
        <v>1</v>
      </c>
      <c r="E1916" s="11" t="s">
        <v>109</v>
      </c>
      <c r="F1916" t="s">
        <v>114</v>
      </c>
      <c r="G1916" s="2" t="s">
        <v>23</v>
      </c>
      <c r="H1916" s="1">
        <v>158.89400000000001</v>
      </c>
    </row>
    <row r="1917" spans="1:8" x14ac:dyDescent="0.3">
      <c r="A1917" s="2">
        <v>612</v>
      </c>
      <c r="B1917" t="s">
        <v>2583</v>
      </c>
      <c r="C1917" t="s">
        <v>0</v>
      </c>
      <c r="D1917" s="2">
        <v>1</v>
      </c>
      <c r="E1917" s="11" t="s">
        <v>2479</v>
      </c>
      <c r="F1917" t="s">
        <v>683</v>
      </c>
      <c r="G1917" s="2" t="s">
        <v>23</v>
      </c>
      <c r="H1917" s="1">
        <v>132.39400000000001</v>
      </c>
    </row>
    <row r="1918" spans="1:8" x14ac:dyDescent="0.3">
      <c r="A1918" s="2">
        <v>612</v>
      </c>
      <c r="B1918" t="s">
        <v>2582</v>
      </c>
      <c r="C1918" t="s">
        <v>3225</v>
      </c>
      <c r="D1918" s="2">
        <v>1</v>
      </c>
      <c r="E1918" s="11" t="s">
        <v>2511</v>
      </c>
      <c r="F1918" t="s">
        <v>47</v>
      </c>
      <c r="G1918" s="2" t="s">
        <v>31</v>
      </c>
      <c r="H1918" s="1">
        <v>164.19400000000002</v>
      </c>
    </row>
    <row r="1919" spans="1:8" x14ac:dyDescent="0.3">
      <c r="A1919" s="2">
        <v>612</v>
      </c>
      <c r="B1919" t="s">
        <v>2581</v>
      </c>
      <c r="C1919" t="s">
        <v>3225</v>
      </c>
      <c r="D1919" s="2">
        <v>1</v>
      </c>
      <c r="E1919" s="11" t="s">
        <v>2511</v>
      </c>
      <c r="F1919" t="s">
        <v>47</v>
      </c>
      <c r="G1919" s="2" t="s">
        <v>23</v>
      </c>
      <c r="H1919" s="1">
        <v>164.19400000000002</v>
      </c>
    </row>
    <row r="1920" spans="1:8" x14ac:dyDescent="0.3">
      <c r="A1920" s="2">
        <v>612</v>
      </c>
      <c r="B1920" t="s">
        <v>2580</v>
      </c>
      <c r="C1920" t="s">
        <v>3</v>
      </c>
      <c r="D1920" s="2">
        <v>1</v>
      </c>
      <c r="E1920" s="11" t="s">
        <v>2417</v>
      </c>
      <c r="F1920" t="s">
        <v>47</v>
      </c>
      <c r="G1920" s="2" t="s">
        <v>23</v>
      </c>
      <c r="H1920" s="1">
        <v>74.094000000000008</v>
      </c>
    </row>
    <row r="1921" spans="1:8" x14ac:dyDescent="0.3">
      <c r="A1921" s="2">
        <v>612</v>
      </c>
      <c r="B1921" t="s">
        <v>2579</v>
      </c>
      <c r="C1921" t="s">
        <v>3219</v>
      </c>
      <c r="D1921" s="2">
        <v>1</v>
      </c>
      <c r="E1921" s="11" t="s">
        <v>1497</v>
      </c>
      <c r="F1921" t="s">
        <v>47</v>
      </c>
      <c r="G1921" s="2" t="s">
        <v>23</v>
      </c>
      <c r="H1921" s="1">
        <v>158.89400000000001</v>
      </c>
    </row>
    <row r="1922" spans="1:8" x14ac:dyDescent="0.3">
      <c r="A1922" s="2">
        <v>612</v>
      </c>
      <c r="B1922" t="s">
        <v>1465</v>
      </c>
      <c r="C1922" t="s">
        <v>3221</v>
      </c>
      <c r="D1922" s="2">
        <v>1</v>
      </c>
      <c r="E1922" s="11" t="s">
        <v>1462</v>
      </c>
      <c r="F1922" t="s">
        <v>47</v>
      </c>
      <c r="G1922" s="2" t="s">
        <v>4</v>
      </c>
      <c r="H1922" s="1">
        <v>116.49400000000001</v>
      </c>
    </row>
    <row r="1923" spans="1:8" x14ac:dyDescent="0.3">
      <c r="A1923" s="2">
        <v>612</v>
      </c>
      <c r="B1923" t="s">
        <v>1464</v>
      </c>
      <c r="C1923" t="s">
        <v>3221</v>
      </c>
      <c r="D1923" s="2">
        <v>1</v>
      </c>
      <c r="E1923" s="11" t="s">
        <v>1462</v>
      </c>
      <c r="F1923" t="s">
        <v>47</v>
      </c>
      <c r="G1923" s="2" t="s">
        <v>31</v>
      </c>
      <c r="H1923" s="1">
        <v>116.49400000000001</v>
      </c>
    </row>
    <row r="1924" spans="1:8" x14ac:dyDescent="0.3">
      <c r="A1924" s="2">
        <v>612</v>
      </c>
      <c r="B1924" t="s">
        <v>1463</v>
      </c>
      <c r="C1924" t="s">
        <v>3221</v>
      </c>
      <c r="D1924" s="2">
        <v>1</v>
      </c>
      <c r="E1924" s="11" t="s">
        <v>1462</v>
      </c>
      <c r="F1924" t="s">
        <v>47</v>
      </c>
      <c r="G1924" s="2" t="s">
        <v>23</v>
      </c>
      <c r="H1924" s="1">
        <v>116.49400000000001</v>
      </c>
    </row>
    <row r="1925" spans="1:8" x14ac:dyDescent="0.3">
      <c r="A1925" s="2">
        <v>612</v>
      </c>
      <c r="B1925" t="s">
        <v>2578</v>
      </c>
      <c r="C1925" t="s">
        <v>3221</v>
      </c>
      <c r="D1925" s="2">
        <v>1</v>
      </c>
      <c r="E1925" s="11" t="s">
        <v>199</v>
      </c>
      <c r="F1925" t="s">
        <v>47</v>
      </c>
      <c r="G1925" s="2" t="s">
        <v>4</v>
      </c>
      <c r="H1925" s="1">
        <v>137.69400000000002</v>
      </c>
    </row>
    <row r="1926" spans="1:8" x14ac:dyDescent="0.3">
      <c r="A1926" s="2">
        <v>612</v>
      </c>
      <c r="B1926" t="s">
        <v>2577</v>
      </c>
      <c r="C1926" t="s">
        <v>3221</v>
      </c>
      <c r="D1926" s="2">
        <v>1</v>
      </c>
      <c r="E1926" s="11" t="s">
        <v>199</v>
      </c>
      <c r="F1926" t="s">
        <v>47</v>
      </c>
      <c r="G1926" s="2" t="s">
        <v>31</v>
      </c>
      <c r="H1926" s="1">
        <v>137.69400000000002</v>
      </c>
    </row>
    <row r="1927" spans="1:8" x14ac:dyDescent="0.3">
      <c r="A1927" s="2">
        <v>612</v>
      </c>
      <c r="B1927" t="s">
        <v>2576</v>
      </c>
      <c r="C1927" t="s">
        <v>3221</v>
      </c>
      <c r="D1927" s="2">
        <v>1</v>
      </c>
      <c r="E1927" s="11" t="s">
        <v>199</v>
      </c>
      <c r="F1927" t="s">
        <v>47</v>
      </c>
      <c r="G1927" s="2" t="s">
        <v>23</v>
      </c>
      <c r="H1927" s="1">
        <v>137.69400000000002</v>
      </c>
    </row>
    <row r="1928" spans="1:8" x14ac:dyDescent="0.3">
      <c r="A1928" s="2">
        <v>612</v>
      </c>
      <c r="B1928" t="s">
        <v>2575</v>
      </c>
      <c r="C1928" t="s">
        <v>3219</v>
      </c>
      <c r="D1928" s="2">
        <v>1</v>
      </c>
      <c r="E1928" s="11" t="s">
        <v>2237</v>
      </c>
      <c r="F1928" t="s">
        <v>47</v>
      </c>
      <c r="G1928" s="2" t="s">
        <v>23</v>
      </c>
      <c r="H1928" s="1">
        <v>185.39400000000001</v>
      </c>
    </row>
    <row r="1929" spans="1:8" x14ac:dyDescent="0.3">
      <c r="A1929" s="2">
        <v>612</v>
      </c>
      <c r="B1929" t="s">
        <v>1947</v>
      </c>
      <c r="C1929" t="s">
        <v>3225</v>
      </c>
      <c r="D1929" s="2">
        <v>1</v>
      </c>
      <c r="E1929" s="11" t="s">
        <v>831</v>
      </c>
      <c r="F1929" t="s">
        <v>47</v>
      </c>
      <c r="G1929" s="2" t="s">
        <v>31</v>
      </c>
      <c r="H1929" s="1">
        <v>190.69400000000002</v>
      </c>
    </row>
    <row r="1930" spans="1:8" x14ac:dyDescent="0.3">
      <c r="A1930" s="2">
        <v>612</v>
      </c>
      <c r="B1930" t="s">
        <v>1505</v>
      </c>
      <c r="C1930" t="s">
        <v>3225</v>
      </c>
      <c r="D1930" s="2">
        <v>1</v>
      </c>
      <c r="E1930" s="11" t="s">
        <v>831</v>
      </c>
      <c r="F1930" t="s">
        <v>47</v>
      </c>
      <c r="G1930" s="2" t="s">
        <v>23</v>
      </c>
      <c r="H1930" s="1">
        <v>190.69400000000002</v>
      </c>
    </row>
    <row r="1931" spans="1:8" x14ac:dyDescent="0.3">
      <c r="A1931" s="2">
        <v>612</v>
      </c>
      <c r="B1931" t="s">
        <v>2574</v>
      </c>
      <c r="C1931" t="s">
        <v>3</v>
      </c>
      <c r="D1931" s="2">
        <v>1</v>
      </c>
      <c r="E1931" s="11" t="s">
        <v>2203</v>
      </c>
      <c r="F1931" t="s">
        <v>39</v>
      </c>
      <c r="G1931" s="2" t="s">
        <v>23</v>
      </c>
      <c r="H1931" s="1">
        <v>79.394000000000005</v>
      </c>
    </row>
    <row r="1932" spans="1:8" x14ac:dyDescent="0.3">
      <c r="A1932" s="2">
        <v>612</v>
      </c>
      <c r="B1932" t="s">
        <v>2573</v>
      </c>
      <c r="C1932" t="s">
        <v>3221</v>
      </c>
      <c r="D1932" s="2">
        <v>1</v>
      </c>
      <c r="E1932" s="11" t="s">
        <v>1462</v>
      </c>
      <c r="F1932" t="s">
        <v>39</v>
      </c>
      <c r="G1932" s="2" t="s">
        <v>4</v>
      </c>
      <c r="H1932" s="1">
        <v>116.49400000000001</v>
      </c>
    </row>
    <row r="1933" spans="1:8" x14ac:dyDescent="0.3">
      <c r="A1933" s="2">
        <v>612</v>
      </c>
      <c r="B1933" t="s">
        <v>2572</v>
      </c>
      <c r="C1933" t="s">
        <v>3221</v>
      </c>
      <c r="D1933" s="2">
        <v>1</v>
      </c>
      <c r="E1933" s="11" t="s">
        <v>1462</v>
      </c>
      <c r="F1933" t="s">
        <v>39</v>
      </c>
      <c r="G1933" s="2" t="s">
        <v>31</v>
      </c>
      <c r="H1933" s="1">
        <v>116.49400000000001</v>
      </c>
    </row>
    <row r="1934" spans="1:8" x14ac:dyDescent="0.3">
      <c r="A1934" s="2">
        <v>612</v>
      </c>
      <c r="B1934" t="s">
        <v>2571</v>
      </c>
      <c r="C1934" t="s">
        <v>3221</v>
      </c>
      <c r="D1934" s="2">
        <v>1</v>
      </c>
      <c r="E1934" s="11" t="s">
        <v>1462</v>
      </c>
      <c r="F1934" t="s">
        <v>39</v>
      </c>
      <c r="G1934" s="2" t="s">
        <v>23</v>
      </c>
      <c r="H1934" s="1">
        <v>116.49400000000001</v>
      </c>
    </row>
    <row r="1935" spans="1:8" x14ac:dyDescent="0.3">
      <c r="A1935" s="2">
        <v>612</v>
      </c>
      <c r="B1935" t="s">
        <v>200</v>
      </c>
      <c r="C1935" t="s">
        <v>3221</v>
      </c>
      <c r="D1935" s="2">
        <v>1</v>
      </c>
      <c r="E1935" s="11" t="s">
        <v>199</v>
      </c>
      <c r="F1935" t="s">
        <v>39</v>
      </c>
      <c r="G1935" s="2" t="s">
        <v>31</v>
      </c>
      <c r="H1935" s="1">
        <v>137.69400000000002</v>
      </c>
    </row>
    <row r="1936" spans="1:8" x14ac:dyDescent="0.3">
      <c r="A1936" s="2">
        <v>612</v>
      </c>
      <c r="B1936" t="s">
        <v>1936</v>
      </c>
      <c r="C1936" t="s">
        <v>3221</v>
      </c>
      <c r="D1936" s="2">
        <v>1</v>
      </c>
      <c r="E1936" s="11" t="s">
        <v>199</v>
      </c>
      <c r="F1936" t="s">
        <v>39</v>
      </c>
      <c r="G1936" s="2" t="s">
        <v>23</v>
      </c>
      <c r="H1936" s="1">
        <v>137.69400000000002</v>
      </c>
    </row>
    <row r="1937" spans="1:8" x14ac:dyDescent="0.3">
      <c r="A1937" s="2">
        <v>612</v>
      </c>
      <c r="B1937" t="s">
        <v>2290</v>
      </c>
      <c r="C1937" t="s">
        <v>0</v>
      </c>
      <c r="D1937" s="2">
        <v>1</v>
      </c>
      <c r="E1937" s="11" t="s">
        <v>2288</v>
      </c>
      <c r="F1937" t="s">
        <v>39</v>
      </c>
      <c r="G1937" s="2" t="s">
        <v>31</v>
      </c>
      <c r="H1937" s="1">
        <v>142.994</v>
      </c>
    </row>
    <row r="1938" spans="1:8" x14ac:dyDescent="0.3">
      <c r="A1938" s="2">
        <v>612</v>
      </c>
      <c r="B1938" t="s">
        <v>2570</v>
      </c>
      <c r="C1938" t="s">
        <v>0</v>
      </c>
      <c r="D1938" s="2">
        <v>1</v>
      </c>
      <c r="E1938" s="11" t="s">
        <v>2288</v>
      </c>
      <c r="F1938" t="s">
        <v>39</v>
      </c>
      <c r="G1938" s="2" t="s">
        <v>23</v>
      </c>
      <c r="H1938" s="1">
        <v>142.994</v>
      </c>
    </row>
    <row r="1939" spans="1:8" x14ac:dyDescent="0.3">
      <c r="A1939" s="2">
        <v>612</v>
      </c>
      <c r="B1939" t="s">
        <v>2569</v>
      </c>
      <c r="C1939" t="s">
        <v>0</v>
      </c>
      <c r="D1939" s="2">
        <v>1</v>
      </c>
      <c r="E1939" s="11" t="s">
        <v>2288</v>
      </c>
      <c r="F1939" t="s">
        <v>28</v>
      </c>
      <c r="G1939" s="2" t="s">
        <v>31</v>
      </c>
      <c r="H1939" s="1">
        <v>142.994</v>
      </c>
    </row>
    <row r="1940" spans="1:8" x14ac:dyDescent="0.3">
      <c r="A1940" s="2">
        <v>612</v>
      </c>
      <c r="B1940" t="s">
        <v>2568</v>
      </c>
      <c r="C1940" t="s">
        <v>0</v>
      </c>
      <c r="D1940" s="2">
        <v>1</v>
      </c>
      <c r="E1940" s="11" t="s">
        <v>2288</v>
      </c>
      <c r="F1940" t="s">
        <v>28</v>
      </c>
      <c r="G1940" s="2" t="s">
        <v>23</v>
      </c>
      <c r="H1940" s="1">
        <v>142.994</v>
      </c>
    </row>
    <row r="1941" spans="1:8" x14ac:dyDescent="0.3">
      <c r="A1941" s="2">
        <v>613</v>
      </c>
      <c r="B1941" t="s">
        <v>2334</v>
      </c>
      <c r="C1941" t="s">
        <v>3224</v>
      </c>
      <c r="D1941" s="2">
        <v>1</v>
      </c>
      <c r="E1941" s="11" t="s">
        <v>1982</v>
      </c>
      <c r="F1941" t="s">
        <v>55</v>
      </c>
      <c r="G1941" s="2" t="s">
        <v>23</v>
      </c>
      <c r="H1941" s="1">
        <v>111.19400000000002</v>
      </c>
    </row>
    <row r="1942" spans="1:8" x14ac:dyDescent="0.3">
      <c r="A1942" s="2">
        <v>613</v>
      </c>
      <c r="B1942" t="s">
        <v>2333</v>
      </c>
      <c r="C1942" t="s">
        <v>3</v>
      </c>
      <c r="D1942" s="2">
        <v>1</v>
      </c>
      <c r="E1942" s="11" t="s">
        <v>1544</v>
      </c>
      <c r="F1942" t="s">
        <v>55</v>
      </c>
      <c r="G1942" s="2" t="s">
        <v>23</v>
      </c>
      <c r="H1942" s="1">
        <v>95.294000000000011</v>
      </c>
    </row>
    <row r="1943" spans="1:8" x14ac:dyDescent="0.3">
      <c r="A1943" s="2">
        <v>613</v>
      </c>
      <c r="B1943" t="s">
        <v>2567</v>
      </c>
      <c r="C1943" t="s">
        <v>3224</v>
      </c>
      <c r="D1943" s="2">
        <v>1</v>
      </c>
      <c r="E1943" s="11" t="s">
        <v>2381</v>
      </c>
      <c r="F1943" t="s">
        <v>65</v>
      </c>
      <c r="G1943" s="2" t="s">
        <v>23</v>
      </c>
      <c r="H1943" s="1">
        <v>36.994</v>
      </c>
    </row>
    <row r="1944" spans="1:8" x14ac:dyDescent="0.3">
      <c r="A1944" s="2">
        <v>613</v>
      </c>
      <c r="B1944" t="s">
        <v>2566</v>
      </c>
      <c r="C1944" t="s">
        <v>3224</v>
      </c>
      <c r="D1944" s="2">
        <v>1</v>
      </c>
      <c r="E1944" s="11" t="s">
        <v>2556</v>
      </c>
      <c r="F1944" t="s">
        <v>65</v>
      </c>
      <c r="G1944" s="2" t="s">
        <v>31</v>
      </c>
      <c r="H1944" s="1">
        <v>100.59400000000001</v>
      </c>
    </row>
    <row r="1945" spans="1:8" x14ac:dyDescent="0.3">
      <c r="A1945" s="2">
        <v>613</v>
      </c>
      <c r="B1945" t="s">
        <v>2565</v>
      </c>
      <c r="C1945" t="s">
        <v>3224</v>
      </c>
      <c r="D1945" s="2">
        <v>1</v>
      </c>
      <c r="E1945" s="11" t="s">
        <v>2372</v>
      </c>
      <c r="F1945" t="s">
        <v>65</v>
      </c>
      <c r="G1945" s="2" t="s">
        <v>31</v>
      </c>
      <c r="H1945" s="1">
        <v>95.294000000000011</v>
      </c>
    </row>
    <row r="1946" spans="1:8" x14ac:dyDescent="0.3">
      <c r="A1946" s="2">
        <v>613</v>
      </c>
      <c r="B1946" t="s">
        <v>1765</v>
      </c>
      <c r="C1946" t="s">
        <v>3</v>
      </c>
      <c r="D1946" s="2">
        <v>1</v>
      </c>
      <c r="E1946" s="11" t="s">
        <v>1761</v>
      </c>
      <c r="F1946" t="s">
        <v>65</v>
      </c>
      <c r="G1946" s="2" t="s">
        <v>23</v>
      </c>
      <c r="H1946" s="1">
        <v>105.89400000000001</v>
      </c>
    </row>
    <row r="1947" spans="1:8" x14ac:dyDescent="0.3">
      <c r="A1947" s="2">
        <v>613</v>
      </c>
      <c r="B1947" t="s">
        <v>1999</v>
      </c>
      <c r="C1947" t="s">
        <v>3224</v>
      </c>
      <c r="D1947" s="2">
        <v>1</v>
      </c>
      <c r="E1947" s="11" t="s">
        <v>1951</v>
      </c>
      <c r="F1947" t="s">
        <v>65</v>
      </c>
      <c r="G1947" s="2" t="s">
        <v>23</v>
      </c>
      <c r="H1947" s="1">
        <v>100.59400000000001</v>
      </c>
    </row>
    <row r="1948" spans="1:8" x14ac:dyDescent="0.3">
      <c r="A1948" s="2">
        <v>613</v>
      </c>
      <c r="B1948" t="s">
        <v>2506</v>
      </c>
      <c r="C1948" t="s">
        <v>3224</v>
      </c>
      <c r="D1948" s="2">
        <v>1</v>
      </c>
      <c r="E1948" s="11" t="s">
        <v>2180</v>
      </c>
      <c r="F1948" t="s">
        <v>114</v>
      </c>
      <c r="G1948" s="2" t="s">
        <v>31</v>
      </c>
      <c r="H1948" s="1">
        <v>84.694000000000017</v>
      </c>
    </row>
    <row r="1949" spans="1:8" x14ac:dyDescent="0.3">
      <c r="A1949" s="2">
        <v>613</v>
      </c>
      <c r="B1949" t="s">
        <v>2564</v>
      </c>
      <c r="C1949" t="s">
        <v>3224</v>
      </c>
      <c r="D1949" s="2">
        <v>1</v>
      </c>
      <c r="E1949" s="11" t="s">
        <v>2563</v>
      </c>
      <c r="F1949" t="s">
        <v>126</v>
      </c>
      <c r="G1949" s="2" t="s">
        <v>23</v>
      </c>
      <c r="H1949" s="1">
        <v>74.094000000000008</v>
      </c>
    </row>
    <row r="1950" spans="1:8" x14ac:dyDescent="0.3">
      <c r="A1950" s="2">
        <v>613</v>
      </c>
      <c r="B1950" t="s">
        <v>2562</v>
      </c>
      <c r="C1950" t="s">
        <v>3219</v>
      </c>
      <c r="D1950" s="2">
        <v>1</v>
      </c>
      <c r="E1950" s="11" t="s">
        <v>977</v>
      </c>
      <c r="F1950" t="s">
        <v>126</v>
      </c>
      <c r="G1950" s="2" t="s">
        <v>23</v>
      </c>
      <c r="H1950" s="1">
        <v>116.49400000000001</v>
      </c>
    </row>
    <row r="1951" spans="1:8" x14ac:dyDescent="0.3">
      <c r="A1951" s="2">
        <v>613</v>
      </c>
      <c r="B1951" t="s">
        <v>2561</v>
      </c>
      <c r="C1951" t="s">
        <v>3220</v>
      </c>
      <c r="D1951" s="2">
        <v>1</v>
      </c>
      <c r="E1951" s="11" t="s">
        <v>2318</v>
      </c>
      <c r="F1951" t="s">
        <v>28</v>
      </c>
      <c r="G1951" s="2" t="s">
        <v>23</v>
      </c>
      <c r="H1951" s="1">
        <v>42.294000000000004</v>
      </c>
    </row>
    <row r="1952" spans="1:8" x14ac:dyDescent="0.3">
      <c r="A1952" s="2">
        <v>613</v>
      </c>
      <c r="B1952" t="s">
        <v>2560</v>
      </c>
      <c r="C1952" t="s">
        <v>3219</v>
      </c>
      <c r="D1952" s="2">
        <v>1</v>
      </c>
      <c r="E1952" s="11" t="s">
        <v>2316</v>
      </c>
      <c r="F1952" t="s">
        <v>28</v>
      </c>
      <c r="G1952" s="2" t="s">
        <v>23</v>
      </c>
      <c r="H1952" s="1">
        <v>164.19400000000002</v>
      </c>
    </row>
    <row r="1953" spans="1:8" x14ac:dyDescent="0.3">
      <c r="A1953" s="2">
        <v>613</v>
      </c>
      <c r="B1953" t="s">
        <v>2391</v>
      </c>
      <c r="C1953" t="s">
        <v>3224</v>
      </c>
      <c r="D1953" s="2">
        <v>1</v>
      </c>
      <c r="E1953" s="11" t="s">
        <v>2367</v>
      </c>
      <c r="F1953" t="s">
        <v>62</v>
      </c>
      <c r="G1953" s="2" t="s">
        <v>23</v>
      </c>
      <c r="H1953" s="1">
        <v>58.19400000000001</v>
      </c>
    </row>
    <row r="1954" spans="1:8" x14ac:dyDescent="0.3">
      <c r="A1954" s="2">
        <v>613</v>
      </c>
      <c r="B1954" t="s">
        <v>2559</v>
      </c>
      <c r="C1954" t="s">
        <v>3224</v>
      </c>
      <c r="D1954" s="2">
        <v>1</v>
      </c>
      <c r="E1954" s="11" t="s">
        <v>2554</v>
      </c>
      <c r="F1954" t="s">
        <v>959</v>
      </c>
      <c r="G1954" s="2" t="s">
        <v>23</v>
      </c>
      <c r="H1954" s="1">
        <v>74.094000000000008</v>
      </c>
    </row>
    <row r="1955" spans="1:8" x14ac:dyDescent="0.3">
      <c r="A1955" s="2">
        <v>613</v>
      </c>
      <c r="B1955" t="s">
        <v>2558</v>
      </c>
      <c r="C1955" t="s">
        <v>3</v>
      </c>
      <c r="D1955" s="2">
        <v>1</v>
      </c>
      <c r="E1955" s="11" t="s">
        <v>2417</v>
      </c>
      <c r="F1955" t="s">
        <v>959</v>
      </c>
      <c r="G1955" s="2" t="s">
        <v>23</v>
      </c>
      <c r="H1955" s="1">
        <v>74.094000000000008</v>
      </c>
    </row>
    <row r="1956" spans="1:8" x14ac:dyDescent="0.3">
      <c r="A1956" s="2">
        <v>613</v>
      </c>
      <c r="B1956" t="s">
        <v>2557</v>
      </c>
      <c r="C1956" t="s">
        <v>3224</v>
      </c>
      <c r="D1956" s="2">
        <v>1</v>
      </c>
      <c r="E1956" s="11" t="s">
        <v>2556</v>
      </c>
      <c r="F1956" t="s">
        <v>959</v>
      </c>
      <c r="G1956" s="2" t="s">
        <v>31</v>
      </c>
      <c r="H1956" s="1">
        <v>100.59400000000001</v>
      </c>
    </row>
    <row r="1957" spans="1:8" x14ac:dyDescent="0.3">
      <c r="A1957" s="2">
        <v>613</v>
      </c>
      <c r="B1957" t="s">
        <v>2555</v>
      </c>
      <c r="C1957" t="s">
        <v>3224</v>
      </c>
      <c r="D1957" s="2">
        <v>1</v>
      </c>
      <c r="E1957" s="11" t="s">
        <v>2554</v>
      </c>
      <c r="F1957" t="s">
        <v>114</v>
      </c>
      <c r="G1957" s="2" t="s">
        <v>31</v>
      </c>
      <c r="H1957" s="1">
        <v>74.094000000000008</v>
      </c>
    </row>
    <row r="1958" spans="1:8" x14ac:dyDescent="0.3">
      <c r="A1958" s="2">
        <v>613</v>
      </c>
      <c r="B1958" t="s">
        <v>2553</v>
      </c>
      <c r="C1958" t="s">
        <v>0</v>
      </c>
      <c r="D1958" s="2">
        <v>1</v>
      </c>
      <c r="E1958" s="11" t="s">
        <v>2552</v>
      </c>
      <c r="F1958" t="s">
        <v>114</v>
      </c>
      <c r="G1958" s="2" t="s">
        <v>23</v>
      </c>
      <c r="H1958" s="1">
        <v>206.59400000000002</v>
      </c>
    </row>
    <row r="1959" spans="1:8" x14ac:dyDescent="0.3">
      <c r="A1959" s="2">
        <v>613</v>
      </c>
      <c r="B1959" t="s">
        <v>1762</v>
      </c>
      <c r="C1959" t="s">
        <v>3</v>
      </c>
      <c r="D1959" s="2">
        <v>1</v>
      </c>
      <c r="E1959" s="11" t="s">
        <v>1761</v>
      </c>
      <c r="F1959" t="s">
        <v>114</v>
      </c>
      <c r="G1959" s="2" t="s">
        <v>31</v>
      </c>
      <c r="H1959" s="1">
        <v>105.89400000000001</v>
      </c>
    </row>
    <row r="1960" spans="1:8" x14ac:dyDescent="0.3">
      <c r="A1960" s="2">
        <v>613</v>
      </c>
      <c r="B1960" t="s">
        <v>1952</v>
      </c>
      <c r="C1960" t="s">
        <v>3224</v>
      </c>
      <c r="D1960" s="2">
        <v>1</v>
      </c>
      <c r="E1960" s="11" t="s">
        <v>1951</v>
      </c>
      <c r="F1960" t="s">
        <v>114</v>
      </c>
      <c r="G1960" s="2" t="s">
        <v>31</v>
      </c>
      <c r="H1960" s="1">
        <v>100.59400000000001</v>
      </c>
    </row>
    <row r="1961" spans="1:8" x14ac:dyDescent="0.3">
      <c r="A1961" s="2">
        <v>613</v>
      </c>
      <c r="B1961" t="s">
        <v>2551</v>
      </c>
      <c r="C1961" t="s">
        <v>3334</v>
      </c>
      <c r="D1961" s="2">
        <v>1</v>
      </c>
      <c r="E1961" s="11" t="s">
        <v>2486</v>
      </c>
      <c r="F1961" t="s">
        <v>78</v>
      </c>
      <c r="G1961" s="2" t="s">
        <v>31</v>
      </c>
      <c r="H1961" s="1">
        <v>105.89400000000001</v>
      </c>
    </row>
    <row r="1962" spans="1:8" x14ac:dyDescent="0.3">
      <c r="A1962" s="2">
        <v>613</v>
      </c>
      <c r="B1962" t="s">
        <v>2149</v>
      </c>
      <c r="C1962" t="s">
        <v>0</v>
      </c>
      <c r="D1962" s="2">
        <v>1</v>
      </c>
      <c r="E1962" s="11" t="s">
        <v>987</v>
      </c>
      <c r="F1962" t="s">
        <v>78</v>
      </c>
      <c r="G1962" s="2" t="s">
        <v>23</v>
      </c>
      <c r="H1962" s="1">
        <v>185.39400000000001</v>
      </c>
    </row>
    <row r="1963" spans="1:8" x14ac:dyDescent="0.3">
      <c r="A1963" s="2">
        <v>613</v>
      </c>
      <c r="B1963" t="s">
        <v>2550</v>
      </c>
      <c r="C1963" t="s">
        <v>2</v>
      </c>
      <c r="D1963" s="2">
        <v>1</v>
      </c>
      <c r="E1963" s="11" t="s">
        <v>2081</v>
      </c>
      <c r="F1963" t="s">
        <v>47</v>
      </c>
      <c r="G1963" s="2" t="s">
        <v>4</v>
      </c>
      <c r="H1963" s="1">
        <v>74.094000000000008</v>
      </c>
    </row>
    <row r="1964" spans="1:8" x14ac:dyDescent="0.3">
      <c r="A1964" s="2">
        <v>613</v>
      </c>
      <c r="B1964" t="s">
        <v>2549</v>
      </c>
      <c r="C1964" t="s">
        <v>3221</v>
      </c>
      <c r="D1964" s="2">
        <v>1</v>
      </c>
      <c r="E1964" s="11" t="s">
        <v>383</v>
      </c>
      <c r="F1964" t="s">
        <v>47</v>
      </c>
      <c r="G1964" s="2" t="s">
        <v>23</v>
      </c>
      <c r="H1964" s="1">
        <v>164.19400000000002</v>
      </c>
    </row>
    <row r="1965" spans="1:8" x14ac:dyDescent="0.3">
      <c r="A1965" s="2">
        <v>613</v>
      </c>
      <c r="B1965" t="s">
        <v>2548</v>
      </c>
      <c r="C1965" t="s">
        <v>3</v>
      </c>
      <c r="D1965" s="2">
        <v>1</v>
      </c>
      <c r="E1965" s="11" t="s">
        <v>2417</v>
      </c>
      <c r="F1965" t="s">
        <v>47</v>
      </c>
      <c r="G1965" s="2" t="s">
        <v>31</v>
      </c>
      <c r="H1965" s="1">
        <v>74.094000000000008</v>
      </c>
    </row>
    <row r="1966" spans="1:8" x14ac:dyDescent="0.3">
      <c r="A1966" s="2">
        <v>613</v>
      </c>
      <c r="B1966" t="s">
        <v>1505</v>
      </c>
      <c r="C1966" t="s">
        <v>3225</v>
      </c>
      <c r="D1966" s="2">
        <v>1</v>
      </c>
      <c r="E1966" s="11" t="s">
        <v>831</v>
      </c>
      <c r="F1966" t="s">
        <v>47</v>
      </c>
      <c r="G1966" s="2" t="s">
        <v>23</v>
      </c>
      <c r="H1966" s="1">
        <v>190.69400000000002</v>
      </c>
    </row>
    <row r="1967" spans="1:8" x14ac:dyDescent="0.3">
      <c r="A1967" s="2">
        <v>613</v>
      </c>
      <c r="B1967" t="s">
        <v>1577</v>
      </c>
      <c r="C1967" t="s">
        <v>3224</v>
      </c>
      <c r="D1967" s="2">
        <v>1</v>
      </c>
      <c r="E1967" s="11" t="s">
        <v>193</v>
      </c>
      <c r="F1967" t="s">
        <v>39</v>
      </c>
      <c r="G1967" s="2" t="s">
        <v>23</v>
      </c>
      <c r="H1967" s="1">
        <v>100.59400000000001</v>
      </c>
    </row>
    <row r="1968" spans="1:8" x14ac:dyDescent="0.3">
      <c r="A1968" s="2">
        <v>613</v>
      </c>
      <c r="B1968" t="s">
        <v>1812</v>
      </c>
      <c r="C1968" t="s">
        <v>3224</v>
      </c>
      <c r="D1968" s="2">
        <v>1</v>
      </c>
      <c r="E1968" s="11" t="s">
        <v>1811</v>
      </c>
      <c r="F1968" t="s">
        <v>39</v>
      </c>
      <c r="G1968" s="2" t="s">
        <v>23</v>
      </c>
      <c r="H1968" s="1">
        <v>100.59400000000001</v>
      </c>
    </row>
    <row r="1969" spans="1:8" x14ac:dyDescent="0.3">
      <c r="A1969" s="2">
        <v>613</v>
      </c>
      <c r="B1969" t="s">
        <v>2547</v>
      </c>
      <c r="C1969" t="s">
        <v>3224</v>
      </c>
      <c r="D1969" s="2">
        <v>2</v>
      </c>
      <c r="E1969" s="11" t="s">
        <v>1982</v>
      </c>
      <c r="F1969" t="s">
        <v>28</v>
      </c>
      <c r="G1969" s="2" t="s">
        <v>31</v>
      </c>
      <c r="H1969" s="1">
        <v>111.19400000000002</v>
      </c>
    </row>
    <row r="1970" spans="1:8" x14ac:dyDescent="0.3">
      <c r="A1970" s="2">
        <v>613</v>
      </c>
      <c r="B1970" t="s">
        <v>1971</v>
      </c>
      <c r="C1970" t="s">
        <v>3</v>
      </c>
      <c r="D1970" s="2">
        <v>2</v>
      </c>
      <c r="E1970" s="11" t="s">
        <v>1544</v>
      </c>
      <c r="F1970" t="s">
        <v>28</v>
      </c>
      <c r="G1970" s="2" t="s">
        <v>31</v>
      </c>
      <c r="H1970" s="1">
        <v>95.294000000000011</v>
      </c>
    </row>
    <row r="1971" spans="1:8" x14ac:dyDescent="0.3">
      <c r="A1971" s="2">
        <v>614</v>
      </c>
      <c r="B1971" t="s">
        <v>2546</v>
      </c>
      <c r="C1971" t="s">
        <v>3224</v>
      </c>
      <c r="D1971" s="2">
        <v>1</v>
      </c>
      <c r="E1971" s="11" t="s">
        <v>2369</v>
      </c>
      <c r="F1971" t="s">
        <v>241</v>
      </c>
      <c r="G1971" s="2" t="s">
        <v>4</v>
      </c>
      <c r="H1971" s="1">
        <v>84.694000000000017</v>
      </c>
    </row>
    <row r="1972" spans="1:8" x14ac:dyDescent="0.3">
      <c r="A1972" s="2">
        <v>614</v>
      </c>
      <c r="B1972" t="s">
        <v>2545</v>
      </c>
      <c r="C1972" t="s">
        <v>3219</v>
      </c>
      <c r="D1972" s="2">
        <v>1</v>
      </c>
      <c r="E1972" s="11" t="s">
        <v>1886</v>
      </c>
      <c r="F1972" t="s">
        <v>114</v>
      </c>
      <c r="G1972" s="2" t="s">
        <v>4</v>
      </c>
      <c r="H1972" s="1">
        <v>148.29400000000001</v>
      </c>
    </row>
    <row r="1973" spans="1:8" x14ac:dyDescent="0.3">
      <c r="A1973" s="2">
        <v>614</v>
      </c>
      <c r="B1973" t="s">
        <v>1896</v>
      </c>
      <c r="C1973" t="s">
        <v>3219</v>
      </c>
      <c r="D1973" s="2">
        <v>1</v>
      </c>
      <c r="E1973" s="11" t="s">
        <v>1886</v>
      </c>
      <c r="F1973" t="s">
        <v>114</v>
      </c>
      <c r="G1973" s="2" t="s">
        <v>31</v>
      </c>
      <c r="H1973" s="1">
        <v>148.29400000000001</v>
      </c>
    </row>
    <row r="1974" spans="1:8" x14ac:dyDescent="0.3">
      <c r="A1974" s="2">
        <v>614</v>
      </c>
      <c r="B1974" t="s">
        <v>1895</v>
      </c>
      <c r="C1974" t="s">
        <v>3219</v>
      </c>
      <c r="D1974" s="2">
        <v>1</v>
      </c>
      <c r="E1974" s="11" t="s">
        <v>1886</v>
      </c>
      <c r="F1974" t="s">
        <v>114</v>
      </c>
      <c r="G1974" s="2" t="s">
        <v>23</v>
      </c>
      <c r="H1974" s="1">
        <v>148.29400000000001</v>
      </c>
    </row>
    <row r="1975" spans="1:8" x14ac:dyDescent="0.3">
      <c r="A1975" s="2">
        <v>614</v>
      </c>
      <c r="B1975" t="s">
        <v>1415</v>
      </c>
      <c r="C1975" t="s">
        <v>1</v>
      </c>
      <c r="D1975" s="2">
        <v>1</v>
      </c>
      <c r="E1975" s="11" t="s">
        <v>189</v>
      </c>
      <c r="F1975" t="s">
        <v>114</v>
      </c>
      <c r="G1975" s="2" t="s">
        <v>4</v>
      </c>
      <c r="H1975" s="1">
        <v>63.494000000000007</v>
      </c>
    </row>
    <row r="1976" spans="1:8" x14ac:dyDescent="0.3">
      <c r="A1976" s="2">
        <v>614</v>
      </c>
      <c r="B1976" t="s">
        <v>1889</v>
      </c>
      <c r="C1976" t="s">
        <v>3219</v>
      </c>
      <c r="D1976" s="2">
        <v>1</v>
      </c>
      <c r="E1976" s="11" t="s">
        <v>1886</v>
      </c>
      <c r="F1976" t="s">
        <v>47</v>
      </c>
      <c r="G1976" s="2" t="s">
        <v>4</v>
      </c>
      <c r="H1976" s="1">
        <v>148.29400000000001</v>
      </c>
    </row>
    <row r="1977" spans="1:8" x14ac:dyDescent="0.3">
      <c r="A1977" s="2">
        <v>614</v>
      </c>
      <c r="B1977" t="s">
        <v>1888</v>
      </c>
      <c r="C1977" t="s">
        <v>3219</v>
      </c>
      <c r="D1977" s="2">
        <v>1</v>
      </c>
      <c r="E1977" s="11" t="s">
        <v>1886</v>
      </c>
      <c r="F1977" t="s">
        <v>47</v>
      </c>
      <c r="G1977" s="2" t="s">
        <v>31</v>
      </c>
      <c r="H1977" s="1">
        <v>148.29400000000001</v>
      </c>
    </row>
    <row r="1978" spans="1:8" x14ac:dyDescent="0.3">
      <c r="A1978" s="2">
        <v>614</v>
      </c>
      <c r="B1978" t="s">
        <v>1887</v>
      </c>
      <c r="C1978" t="s">
        <v>3219</v>
      </c>
      <c r="D1978" s="2">
        <v>1</v>
      </c>
      <c r="E1978" s="11" t="s">
        <v>1886</v>
      </c>
      <c r="F1978" t="s">
        <v>47</v>
      </c>
      <c r="G1978" s="2" t="s">
        <v>23</v>
      </c>
      <c r="H1978" s="1">
        <v>148.29400000000001</v>
      </c>
    </row>
    <row r="1979" spans="1:8" x14ac:dyDescent="0.3">
      <c r="A1979" s="2">
        <v>614</v>
      </c>
      <c r="B1979" t="s">
        <v>2544</v>
      </c>
      <c r="C1979" t="s">
        <v>3224</v>
      </c>
      <c r="D1979" s="2">
        <v>2</v>
      </c>
      <c r="E1979" s="11" t="s">
        <v>2369</v>
      </c>
      <c r="F1979" t="s">
        <v>28</v>
      </c>
      <c r="G1979" s="2" t="s">
        <v>4</v>
      </c>
      <c r="H1979" s="1">
        <v>84.694000000000017</v>
      </c>
    </row>
    <row r="1980" spans="1:8" x14ac:dyDescent="0.3">
      <c r="A1980" s="2">
        <v>614</v>
      </c>
      <c r="B1980" t="s">
        <v>2543</v>
      </c>
      <c r="C1980" t="s">
        <v>3224</v>
      </c>
      <c r="D1980" s="2">
        <v>1</v>
      </c>
      <c r="E1980" s="11" t="s">
        <v>2369</v>
      </c>
      <c r="F1980" t="s">
        <v>28</v>
      </c>
      <c r="G1980" s="2" t="s">
        <v>31</v>
      </c>
      <c r="H1980" s="1">
        <v>84.694000000000017</v>
      </c>
    </row>
    <row r="1981" spans="1:8" x14ac:dyDescent="0.3">
      <c r="A1981" s="2">
        <v>614</v>
      </c>
      <c r="B1981" t="s">
        <v>2370</v>
      </c>
      <c r="C1981" t="s">
        <v>3224</v>
      </c>
      <c r="D1981" s="2">
        <v>1</v>
      </c>
      <c r="E1981" s="11" t="s">
        <v>2369</v>
      </c>
      <c r="F1981" t="s">
        <v>28</v>
      </c>
      <c r="G1981" s="2" t="s">
        <v>23</v>
      </c>
      <c r="H1981" s="1">
        <v>84.694000000000017</v>
      </c>
    </row>
    <row r="1982" spans="1:8" x14ac:dyDescent="0.3">
      <c r="A1982" s="2">
        <v>614</v>
      </c>
      <c r="B1982" t="s">
        <v>878</v>
      </c>
      <c r="C1982" t="s">
        <v>1</v>
      </c>
      <c r="D1982" s="2">
        <v>1</v>
      </c>
      <c r="E1982" s="11" t="s">
        <v>189</v>
      </c>
      <c r="F1982" t="s">
        <v>28</v>
      </c>
      <c r="G1982" s="2" t="s">
        <v>4</v>
      </c>
      <c r="H1982" s="1">
        <v>63.494000000000007</v>
      </c>
    </row>
    <row r="1983" spans="1:8" x14ac:dyDescent="0.3">
      <c r="A1983" s="2">
        <v>615</v>
      </c>
      <c r="B1983" t="s">
        <v>757</v>
      </c>
      <c r="C1983" t="s">
        <v>1</v>
      </c>
      <c r="D1983" s="2">
        <v>1</v>
      </c>
      <c r="E1983" s="11" t="s">
        <v>53</v>
      </c>
      <c r="F1983" t="s">
        <v>65</v>
      </c>
      <c r="G1983" s="2" t="s">
        <v>4</v>
      </c>
      <c r="H1983" s="1">
        <v>36.994</v>
      </c>
    </row>
    <row r="1984" spans="1:8" x14ac:dyDescent="0.3">
      <c r="A1984" s="2">
        <v>615</v>
      </c>
      <c r="B1984" t="s">
        <v>1805</v>
      </c>
      <c r="C1984" t="s">
        <v>3219</v>
      </c>
      <c r="D1984" s="2">
        <v>1</v>
      </c>
      <c r="E1984" s="11" t="s">
        <v>534</v>
      </c>
      <c r="F1984" t="s">
        <v>65</v>
      </c>
      <c r="G1984" s="2" t="s">
        <v>31</v>
      </c>
      <c r="H1984" s="1">
        <v>89.994000000000014</v>
      </c>
    </row>
    <row r="1985" spans="1:8" x14ac:dyDescent="0.3">
      <c r="A1985" s="2">
        <v>615</v>
      </c>
      <c r="B1985" t="s">
        <v>2275</v>
      </c>
      <c r="C1985" t="s">
        <v>1</v>
      </c>
      <c r="D1985" s="2">
        <v>1</v>
      </c>
      <c r="E1985" s="11" t="s">
        <v>243</v>
      </c>
      <c r="F1985" t="s">
        <v>65</v>
      </c>
      <c r="G1985" s="2" t="s">
        <v>4</v>
      </c>
      <c r="H1985" s="1">
        <v>31.693999999999999</v>
      </c>
    </row>
    <row r="1986" spans="1:8" x14ac:dyDescent="0.3">
      <c r="A1986" s="2">
        <v>615</v>
      </c>
      <c r="B1986" t="s">
        <v>2542</v>
      </c>
      <c r="C1986" t="s">
        <v>1</v>
      </c>
      <c r="D1986" s="2">
        <v>1</v>
      </c>
      <c r="E1986" s="11" t="s">
        <v>285</v>
      </c>
      <c r="F1986" t="s">
        <v>126</v>
      </c>
      <c r="G1986" s="2" t="s">
        <v>4</v>
      </c>
      <c r="H1986" s="1">
        <v>68.794000000000011</v>
      </c>
    </row>
    <row r="1987" spans="1:8" x14ac:dyDescent="0.3">
      <c r="A1987" s="2">
        <v>615</v>
      </c>
      <c r="B1987" t="s">
        <v>2541</v>
      </c>
      <c r="C1987" t="s">
        <v>1</v>
      </c>
      <c r="D1987" s="2">
        <v>1</v>
      </c>
      <c r="E1987" s="11" t="s">
        <v>285</v>
      </c>
      <c r="F1987" t="s">
        <v>126</v>
      </c>
      <c r="G1987" s="2" t="s">
        <v>23</v>
      </c>
      <c r="H1987" s="1">
        <v>68.794000000000011</v>
      </c>
    </row>
    <row r="1988" spans="1:8" x14ac:dyDescent="0.3">
      <c r="A1988" s="2">
        <v>615</v>
      </c>
      <c r="B1988" t="s">
        <v>2540</v>
      </c>
      <c r="C1988" t="s">
        <v>3219</v>
      </c>
      <c r="D1988" s="2">
        <v>1</v>
      </c>
      <c r="E1988" s="11" t="s">
        <v>2251</v>
      </c>
      <c r="F1988" t="s">
        <v>126</v>
      </c>
      <c r="G1988" s="2" t="s">
        <v>31</v>
      </c>
      <c r="H1988" s="1">
        <v>169.49400000000003</v>
      </c>
    </row>
    <row r="1989" spans="1:8" x14ac:dyDescent="0.3">
      <c r="A1989" s="2">
        <v>615</v>
      </c>
      <c r="B1989" t="s">
        <v>2250</v>
      </c>
      <c r="C1989" t="s">
        <v>3224</v>
      </c>
      <c r="D1989" s="2">
        <v>1</v>
      </c>
      <c r="E1989" s="11" t="s">
        <v>191</v>
      </c>
      <c r="F1989" t="s">
        <v>126</v>
      </c>
      <c r="G1989" s="2" t="s">
        <v>4</v>
      </c>
      <c r="H1989" s="1">
        <v>63.494000000000007</v>
      </c>
    </row>
    <row r="1990" spans="1:8" x14ac:dyDescent="0.3">
      <c r="A1990" s="2">
        <v>615</v>
      </c>
      <c r="B1990" t="s">
        <v>2539</v>
      </c>
      <c r="C1990" t="s">
        <v>1</v>
      </c>
      <c r="D1990" s="2">
        <v>1</v>
      </c>
      <c r="E1990" s="11" t="s">
        <v>243</v>
      </c>
      <c r="F1990" t="s">
        <v>126</v>
      </c>
      <c r="G1990" s="2" t="s">
        <v>23</v>
      </c>
      <c r="H1990" s="1">
        <v>31.693999999999999</v>
      </c>
    </row>
    <row r="1991" spans="1:8" x14ac:dyDescent="0.3">
      <c r="A1991" s="2">
        <v>615</v>
      </c>
      <c r="B1991" t="s">
        <v>722</v>
      </c>
      <c r="C1991" t="s">
        <v>1</v>
      </c>
      <c r="D1991" s="2">
        <v>1</v>
      </c>
      <c r="E1991" s="11" t="s">
        <v>222</v>
      </c>
      <c r="F1991" t="s">
        <v>28</v>
      </c>
      <c r="G1991" s="2" t="s">
        <v>23</v>
      </c>
      <c r="H1991" s="1">
        <v>52.893999999999998</v>
      </c>
    </row>
    <row r="1992" spans="1:8" x14ac:dyDescent="0.3">
      <c r="A1992" s="2">
        <v>615</v>
      </c>
      <c r="B1992" t="s">
        <v>2538</v>
      </c>
      <c r="C1992" t="s">
        <v>1</v>
      </c>
      <c r="D1992" s="2">
        <v>1</v>
      </c>
      <c r="E1992" s="11" t="s">
        <v>1653</v>
      </c>
      <c r="F1992" t="s">
        <v>62</v>
      </c>
      <c r="G1992" s="2" t="s">
        <v>31</v>
      </c>
      <c r="H1992" s="1">
        <v>79.394000000000005</v>
      </c>
    </row>
    <row r="1993" spans="1:8" x14ac:dyDescent="0.3">
      <c r="A1993" s="2">
        <v>615</v>
      </c>
      <c r="B1993" t="s">
        <v>1001</v>
      </c>
      <c r="C1993" t="s">
        <v>1</v>
      </c>
      <c r="D1993" s="2">
        <v>1</v>
      </c>
      <c r="E1993" s="11" t="s">
        <v>53</v>
      </c>
      <c r="F1993" t="s">
        <v>55</v>
      </c>
      <c r="G1993" s="2" t="s">
        <v>31</v>
      </c>
      <c r="H1993" s="1">
        <v>36.994</v>
      </c>
    </row>
    <row r="1994" spans="1:8" x14ac:dyDescent="0.3">
      <c r="A1994" s="2">
        <v>615</v>
      </c>
      <c r="B1994" t="s">
        <v>1431</v>
      </c>
      <c r="C1994" t="s">
        <v>1</v>
      </c>
      <c r="D1994" s="2">
        <v>1</v>
      </c>
      <c r="E1994" s="11" t="s">
        <v>285</v>
      </c>
      <c r="F1994" t="s">
        <v>28</v>
      </c>
      <c r="G1994" s="2" t="s">
        <v>4</v>
      </c>
      <c r="H1994" s="1">
        <v>68.794000000000011</v>
      </c>
    </row>
    <row r="1995" spans="1:8" x14ac:dyDescent="0.3">
      <c r="A1995" s="2">
        <v>615</v>
      </c>
      <c r="B1995" t="s">
        <v>1152</v>
      </c>
      <c r="C1995" t="s">
        <v>1</v>
      </c>
      <c r="D1995" s="2">
        <v>1</v>
      </c>
      <c r="E1995" s="11" t="s">
        <v>285</v>
      </c>
      <c r="F1995" t="s">
        <v>28</v>
      </c>
      <c r="G1995" s="2" t="s">
        <v>31</v>
      </c>
      <c r="H1995" s="1">
        <v>68.794000000000011</v>
      </c>
    </row>
    <row r="1996" spans="1:8" x14ac:dyDescent="0.3">
      <c r="A1996" s="2">
        <v>615</v>
      </c>
      <c r="B1996" t="s">
        <v>1435</v>
      </c>
      <c r="C1996" t="s">
        <v>1</v>
      </c>
      <c r="D1996" s="2">
        <v>1</v>
      </c>
      <c r="E1996" s="11" t="s">
        <v>285</v>
      </c>
      <c r="F1996" t="s">
        <v>28</v>
      </c>
      <c r="G1996" s="2" t="s">
        <v>23</v>
      </c>
      <c r="H1996" s="1">
        <v>68.794000000000011</v>
      </c>
    </row>
    <row r="1997" spans="1:8" x14ac:dyDescent="0.3">
      <c r="A1997" s="2">
        <v>615</v>
      </c>
      <c r="B1997" t="s">
        <v>2537</v>
      </c>
      <c r="C1997" t="s">
        <v>3219</v>
      </c>
      <c r="D1997" s="2">
        <v>1</v>
      </c>
      <c r="E1997" s="11" t="s">
        <v>534</v>
      </c>
      <c r="F1997" t="s">
        <v>28</v>
      </c>
      <c r="G1997" s="2" t="s">
        <v>4</v>
      </c>
      <c r="H1997" s="1">
        <v>89.994000000000014</v>
      </c>
    </row>
    <row r="1998" spans="1:8" x14ac:dyDescent="0.3">
      <c r="A1998" s="2">
        <v>615</v>
      </c>
      <c r="B1998" t="s">
        <v>1909</v>
      </c>
      <c r="C1998" t="s">
        <v>1</v>
      </c>
      <c r="D1998" s="2">
        <v>1</v>
      </c>
      <c r="E1998" s="11" t="s">
        <v>53</v>
      </c>
      <c r="F1998" t="s">
        <v>114</v>
      </c>
      <c r="G1998" s="2" t="s">
        <v>4</v>
      </c>
      <c r="H1998" s="1">
        <v>36.994</v>
      </c>
    </row>
    <row r="1999" spans="1:8" x14ac:dyDescent="0.3">
      <c r="A1999" s="2">
        <v>615</v>
      </c>
      <c r="B1999" t="s">
        <v>1324</v>
      </c>
      <c r="C1999" t="s">
        <v>1</v>
      </c>
      <c r="D1999" s="2">
        <v>1</v>
      </c>
      <c r="E1999" s="11" t="s">
        <v>53</v>
      </c>
      <c r="F1999" t="s">
        <v>114</v>
      </c>
      <c r="G1999" s="2" t="s">
        <v>31</v>
      </c>
      <c r="H1999" s="1">
        <v>36.994</v>
      </c>
    </row>
    <row r="2000" spans="1:8" x14ac:dyDescent="0.3">
      <c r="A2000" s="2">
        <v>615</v>
      </c>
      <c r="B2000" t="s">
        <v>1323</v>
      </c>
      <c r="C2000" t="s">
        <v>1</v>
      </c>
      <c r="D2000" s="2">
        <v>1</v>
      </c>
      <c r="E2000" s="11" t="s">
        <v>53</v>
      </c>
      <c r="F2000" t="s">
        <v>114</v>
      </c>
      <c r="G2000" s="2" t="s">
        <v>23</v>
      </c>
      <c r="H2000" s="1">
        <v>36.994</v>
      </c>
    </row>
    <row r="2001" spans="1:8" x14ac:dyDescent="0.3">
      <c r="A2001" s="2">
        <v>615</v>
      </c>
      <c r="B2001" t="s">
        <v>1924</v>
      </c>
      <c r="C2001" t="s">
        <v>1</v>
      </c>
      <c r="D2001" s="2">
        <v>1</v>
      </c>
      <c r="E2001" s="11" t="s">
        <v>222</v>
      </c>
      <c r="F2001" t="s">
        <v>114</v>
      </c>
      <c r="G2001" s="2" t="s">
        <v>4</v>
      </c>
      <c r="H2001" s="1">
        <v>52.893999999999998</v>
      </c>
    </row>
    <row r="2002" spans="1:8" x14ac:dyDescent="0.3">
      <c r="A2002" s="2">
        <v>615</v>
      </c>
      <c r="B2002" t="s">
        <v>2536</v>
      </c>
      <c r="C2002" t="s">
        <v>1</v>
      </c>
      <c r="D2002" s="2">
        <v>1</v>
      </c>
      <c r="E2002" s="11" t="s">
        <v>222</v>
      </c>
      <c r="F2002" t="s">
        <v>114</v>
      </c>
      <c r="G2002" s="2" t="s">
        <v>31</v>
      </c>
      <c r="H2002" s="1">
        <v>52.893999999999998</v>
      </c>
    </row>
    <row r="2003" spans="1:8" x14ac:dyDescent="0.3">
      <c r="A2003" s="2">
        <v>615</v>
      </c>
      <c r="B2003" t="s">
        <v>1847</v>
      </c>
      <c r="C2003" t="s">
        <v>3219</v>
      </c>
      <c r="D2003" s="2">
        <v>1</v>
      </c>
      <c r="E2003" s="11" t="s">
        <v>1845</v>
      </c>
      <c r="F2003" t="s">
        <v>114</v>
      </c>
      <c r="G2003" s="2" t="s">
        <v>23</v>
      </c>
      <c r="H2003" s="1">
        <v>180.09400000000002</v>
      </c>
    </row>
    <row r="2004" spans="1:8" x14ac:dyDescent="0.3">
      <c r="A2004" s="2">
        <v>615</v>
      </c>
      <c r="B2004" t="s">
        <v>2535</v>
      </c>
      <c r="C2004" t="s">
        <v>1</v>
      </c>
      <c r="D2004" s="2">
        <v>1</v>
      </c>
      <c r="E2004" s="11" t="s">
        <v>1653</v>
      </c>
      <c r="F2004" t="s">
        <v>114</v>
      </c>
      <c r="G2004" s="2" t="s">
        <v>23</v>
      </c>
      <c r="H2004" s="1">
        <v>79.394000000000005</v>
      </c>
    </row>
    <row r="2005" spans="1:8" x14ac:dyDescent="0.3">
      <c r="A2005" s="2">
        <v>615</v>
      </c>
      <c r="B2005" t="s">
        <v>2534</v>
      </c>
      <c r="C2005" t="s">
        <v>1</v>
      </c>
      <c r="D2005" s="2">
        <v>1</v>
      </c>
      <c r="E2005" s="11" t="s">
        <v>189</v>
      </c>
      <c r="F2005" t="s">
        <v>114</v>
      </c>
      <c r="G2005" s="2" t="s">
        <v>31</v>
      </c>
      <c r="H2005" s="1">
        <v>63.494000000000007</v>
      </c>
    </row>
    <row r="2006" spans="1:8" x14ac:dyDescent="0.3">
      <c r="A2006" s="2">
        <v>615</v>
      </c>
      <c r="B2006" t="s">
        <v>1839</v>
      </c>
      <c r="C2006" t="s">
        <v>1</v>
      </c>
      <c r="D2006" s="2">
        <v>1</v>
      </c>
      <c r="E2006" s="11" t="s">
        <v>243</v>
      </c>
      <c r="F2006" t="s">
        <v>114</v>
      </c>
      <c r="G2006" s="2" t="s">
        <v>4</v>
      </c>
      <c r="H2006" s="1">
        <v>31.693999999999999</v>
      </c>
    </row>
    <row r="2007" spans="1:8" x14ac:dyDescent="0.3">
      <c r="A2007" s="2">
        <v>615</v>
      </c>
      <c r="B2007" t="s">
        <v>2533</v>
      </c>
      <c r="C2007" t="s">
        <v>1</v>
      </c>
      <c r="D2007" s="2">
        <v>1</v>
      </c>
      <c r="E2007" s="11" t="s">
        <v>243</v>
      </c>
      <c r="F2007" t="s">
        <v>114</v>
      </c>
      <c r="G2007" s="2" t="s">
        <v>31</v>
      </c>
      <c r="H2007" s="1">
        <v>31.693999999999999</v>
      </c>
    </row>
    <row r="2008" spans="1:8" x14ac:dyDescent="0.3">
      <c r="A2008" s="2">
        <v>615</v>
      </c>
      <c r="B2008" t="s">
        <v>2532</v>
      </c>
      <c r="C2008" t="s">
        <v>1</v>
      </c>
      <c r="D2008" s="2">
        <v>1</v>
      </c>
      <c r="E2008" s="11" t="s">
        <v>243</v>
      </c>
      <c r="F2008" t="s">
        <v>114</v>
      </c>
      <c r="G2008" s="2" t="s">
        <v>23</v>
      </c>
      <c r="H2008" s="1">
        <v>31.693999999999999</v>
      </c>
    </row>
    <row r="2009" spans="1:8" x14ac:dyDescent="0.3">
      <c r="A2009" s="2">
        <v>615</v>
      </c>
      <c r="B2009" t="s">
        <v>2531</v>
      </c>
      <c r="C2009" t="s">
        <v>3219</v>
      </c>
      <c r="D2009" s="2">
        <v>1</v>
      </c>
      <c r="E2009" s="11" t="s">
        <v>1845</v>
      </c>
      <c r="F2009" t="s">
        <v>78</v>
      </c>
      <c r="G2009" s="2" t="s">
        <v>4</v>
      </c>
      <c r="H2009" s="1">
        <v>180.09400000000002</v>
      </c>
    </row>
    <row r="2010" spans="1:8" x14ac:dyDescent="0.3">
      <c r="A2010" s="2">
        <v>615</v>
      </c>
      <c r="B2010" t="s">
        <v>925</v>
      </c>
      <c r="C2010" t="s">
        <v>3219</v>
      </c>
      <c r="D2010" s="2">
        <v>1</v>
      </c>
      <c r="E2010" s="11" t="s">
        <v>534</v>
      </c>
      <c r="F2010" t="s">
        <v>47</v>
      </c>
      <c r="G2010" s="2" t="s">
        <v>23</v>
      </c>
      <c r="H2010" s="1">
        <v>89.994000000000014</v>
      </c>
    </row>
    <row r="2011" spans="1:8" x14ac:dyDescent="0.3">
      <c r="A2011" s="2">
        <v>615</v>
      </c>
      <c r="B2011" t="s">
        <v>2530</v>
      </c>
      <c r="C2011" t="s">
        <v>1</v>
      </c>
      <c r="D2011" s="2">
        <v>1</v>
      </c>
      <c r="E2011" s="11" t="s">
        <v>243</v>
      </c>
      <c r="F2011" t="s">
        <v>47</v>
      </c>
      <c r="G2011" s="2" t="s">
        <v>31</v>
      </c>
      <c r="H2011" s="1">
        <v>31.693999999999999</v>
      </c>
    </row>
    <row r="2012" spans="1:8" x14ac:dyDescent="0.3">
      <c r="A2012" s="2">
        <v>615</v>
      </c>
      <c r="B2012" t="s">
        <v>2529</v>
      </c>
      <c r="C2012" t="s">
        <v>1</v>
      </c>
      <c r="D2012" s="2">
        <v>1</v>
      </c>
      <c r="E2012" s="11" t="s">
        <v>243</v>
      </c>
      <c r="F2012" t="s">
        <v>47</v>
      </c>
      <c r="G2012" s="2" t="s">
        <v>23</v>
      </c>
      <c r="H2012" s="1">
        <v>31.693999999999999</v>
      </c>
    </row>
    <row r="2013" spans="1:8" x14ac:dyDescent="0.3">
      <c r="A2013" s="2">
        <v>615</v>
      </c>
      <c r="B2013" t="s">
        <v>2489</v>
      </c>
      <c r="C2013" t="s">
        <v>1</v>
      </c>
      <c r="D2013" s="2">
        <v>1</v>
      </c>
      <c r="E2013" s="11" t="s">
        <v>222</v>
      </c>
      <c r="F2013" t="s">
        <v>39</v>
      </c>
      <c r="G2013" s="2" t="s">
        <v>23</v>
      </c>
      <c r="H2013" s="1">
        <v>52.893999999999998</v>
      </c>
    </row>
    <row r="2014" spans="1:8" x14ac:dyDescent="0.3">
      <c r="A2014" s="2">
        <v>615</v>
      </c>
      <c r="B2014" t="s">
        <v>2112</v>
      </c>
      <c r="C2014" t="s">
        <v>3224</v>
      </c>
      <c r="D2014" s="2">
        <v>1</v>
      </c>
      <c r="E2014" s="11" t="s">
        <v>1248</v>
      </c>
      <c r="F2014" t="s">
        <v>39</v>
      </c>
      <c r="G2014" s="2" t="s">
        <v>31</v>
      </c>
      <c r="H2014" s="1">
        <v>95.294000000000011</v>
      </c>
    </row>
    <row r="2015" spans="1:8" x14ac:dyDescent="0.3">
      <c r="A2015" s="2">
        <v>615</v>
      </c>
      <c r="B2015" t="s">
        <v>2528</v>
      </c>
      <c r="C2015" t="s">
        <v>3224</v>
      </c>
      <c r="D2015" s="2">
        <v>1</v>
      </c>
      <c r="E2015" s="11" t="s">
        <v>1248</v>
      </c>
      <c r="F2015" t="s">
        <v>39</v>
      </c>
      <c r="G2015" s="2" t="s">
        <v>23</v>
      </c>
      <c r="H2015" s="1">
        <v>95.294000000000011</v>
      </c>
    </row>
    <row r="2016" spans="1:8" x14ac:dyDescent="0.3">
      <c r="A2016" s="2">
        <v>615</v>
      </c>
      <c r="B2016" t="s">
        <v>2195</v>
      </c>
      <c r="C2016" t="s">
        <v>3219</v>
      </c>
      <c r="D2016" s="2">
        <v>1</v>
      </c>
      <c r="E2016" s="11" t="s">
        <v>1561</v>
      </c>
      <c r="F2016" t="s">
        <v>39</v>
      </c>
      <c r="G2016" s="2" t="s">
        <v>31</v>
      </c>
      <c r="H2016" s="1">
        <v>148.29400000000001</v>
      </c>
    </row>
    <row r="2017" spans="1:8" x14ac:dyDescent="0.3">
      <c r="A2017" s="2">
        <v>615</v>
      </c>
      <c r="B2017" t="s">
        <v>2527</v>
      </c>
      <c r="C2017" t="s">
        <v>1</v>
      </c>
      <c r="D2017" s="2">
        <v>1</v>
      </c>
      <c r="E2017" s="11" t="s">
        <v>243</v>
      </c>
      <c r="F2017" t="s">
        <v>39</v>
      </c>
      <c r="G2017" s="2" t="s">
        <v>31</v>
      </c>
      <c r="H2017" s="1">
        <v>31.693999999999999</v>
      </c>
    </row>
    <row r="2018" spans="1:8" x14ac:dyDescent="0.3">
      <c r="A2018" s="2">
        <v>615</v>
      </c>
      <c r="B2018" t="s">
        <v>2254</v>
      </c>
      <c r="C2018" t="s">
        <v>3219</v>
      </c>
      <c r="D2018" s="2">
        <v>1</v>
      </c>
      <c r="E2018" s="11" t="s">
        <v>2251</v>
      </c>
      <c r="F2018" t="s">
        <v>36</v>
      </c>
      <c r="G2018" s="2" t="s">
        <v>23</v>
      </c>
      <c r="H2018" s="1">
        <v>169.49400000000003</v>
      </c>
    </row>
    <row r="2019" spans="1:8" x14ac:dyDescent="0.3">
      <c r="A2019" s="2">
        <v>615</v>
      </c>
      <c r="B2019" t="s">
        <v>2052</v>
      </c>
      <c r="C2019" t="s">
        <v>3224</v>
      </c>
      <c r="D2019" s="2">
        <v>1</v>
      </c>
      <c r="E2019" s="11" t="s">
        <v>191</v>
      </c>
      <c r="F2019" t="s">
        <v>36</v>
      </c>
      <c r="G2019" s="2" t="s">
        <v>4</v>
      </c>
      <c r="H2019" s="1">
        <v>63.494000000000007</v>
      </c>
    </row>
    <row r="2020" spans="1:8" x14ac:dyDescent="0.3">
      <c r="A2020" s="2">
        <v>615</v>
      </c>
      <c r="B2020" t="s">
        <v>2526</v>
      </c>
      <c r="C2020" t="s">
        <v>3225</v>
      </c>
      <c r="D2020" s="2">
        <v>1</v>
      </c>
      <c r="E2020" s="11" t="s">
        <v>2511</v>
      </c>
      <c r="F2020" t="s">
        <v>28</v>
      </c>
      <c r="G2020" s="2" t="s">
        <v>4</v>
      </c>
      <c r="H2020" s="1">
        <v>164.19400000000002</v>
      </c>
    </row>
    <row r="2021" spans="1:8" x14ac:dyDescent="0.3">
      <c r="A2021" s="2">
        <v>615</v>
      </c>
      <c r="B2021" t="s">
        <v>1654</v>
      </c>
      <c r="C2021" t="s">
        <v>1</v>
      </c>
      <c r="D2021" s="2">
        <v>1</v>
      </c>
      <c r="E2021" s="11" t="s">
        <v>1653</v>
      </c>
      <c r="F2021" t="s">
        <v>28</v>
      </c>
      <c r="G2021" s="2" t="s">
        <v>4</v>
      </c>
      <c r="H2021" s="1">
        <v>79.394000000000005</v>
      </c>
    </row>
    <row r="2022" spans="1:8" x14ac:dyDescent="0.3">
      <c r="A2022" s="2">
        <v>615</v>
      </c>
      <c r="B2022" t="s">
        <v>878</v>
      </c>
      <c r="C2022" t="s">
        <v>1</v>
      </c>
      <c r="D2022" s="2">
        <v>1</v>
      </c>
      <c r="E2022" s="11" t="s">
        <v>189</v>
      </c>
      <c r="F2022" t="s">
        <v>28</v>
      </c>
      <c r="G2022" s="2" t="s">
        <v>4</v>
      </c>
      <c r="H2022" s="1">
        <v>63.494000000000007</v>
      </c>
    </row>
    <row r="2023" spans="1:8" x14ac:dyDescent="0.3">
      <c r="A2023" s="2">
        <v>615</v>
      </c>
      <c r="B2023" t="s">
        <v>875</v>
      </c>
      <c r="C2023" t="s">
        <v>1</v>
      </c>
      <c r="D2023" s="2">
        <v>1</v>
      </c>
      <c r="E2023" s="11" t="s">
        <v>189</v>
      </c>
      <c r="F2023" t="s">
        <v>28</v>
      </c>
      <c r="G2023" s="2" t="s">
        <v>23</v>
      </c>
      <c r="H2023" s="1">
        <v>63.494000000000007</v>
      </c>
    </row>
    <row r="2024" spans="1:8" x14ac:dyDescent="0.3">
      <c r="A2024" s="2">
        <v>616</v>
      </c>
      <c r="B2024" t="s">
        <v>1766</v>
      </c>
      <c r="C2024" t="s">
        <v>3</v>
      </c>
      <c r="D2024" s="2">
        <v>1</v>
      </c>
      <c r="E2024" s="11" t="s">
        <v>1761</v>
      </c>
      <c r="F2024" t="s">
        <v>65</v>
      </c>
      <c r="G2024" s="2" t="s">
        <v>4</v>
      </c>
      <c r="H2024" s="1">
        <v>105.89400000000001</v>
      </c>
    </row>
    <row r="2025" spans="1:8" x14ac:dyDescent="0.3">
      <c r="A2025" s="2">
        <v>616</v>
      </c>
      <c r="B2025" t="s">
        <v>2438</v>
      </c>
      <c r="C2025" t="s">
        <v>3</v>
      </c>
      <c r="D2025" s="2">
        <v>2</v>
      </c>
      <c r="E2025" s="11" t="s">
        <v>1761</v>
      </c>
      <c r="F2025" t="s">
        <v>65</v>
      </c>
      <c r="G2025" s="2" t="s">
        <v>31</v>
      </c>
      <c r="H2025" s="1">
        <v>105.89400000000001</v>
      </c>
    </row>
    <row r="2026" spans="1:8" x14ac:dyDescent="0.3">
      <c r="A2026" s="2">
        <v>616</v>
      </c>
      <c r="B2026" t="s">
        <v>1765</v>
      </c>
      <c r="C2026" t="s">
        <v>3</v>
      </c>
      <c r="D2026" s="2">
        <v>1</v>
      </c>
      <c r="E2026" s="11" t="s">
        <v>1761</v>
      </c>
      <c r="F2026" t="s">
        <v>65</v>
      </c>
      <c r="G2026" s="2" t="s">
        <v>23</v>
      </c>
      <c r="H2026" s="1">
        <v>105.89400000000001</v>
      </c>
    </row>
    <row r="2027" spans="1:8" x14ac:dyDescent="0.3">
      <c r="A2027" s="2">
        <v>616</v>
      </c>
      <c r="B2027" t="s">
        <v>2525</v>
      </c>
      <c r="C2027" t="s">
        <v>3220</v>
      </c>
      <c r="D2027" s="2">
        <v>1</v>
      </c>
      <c r="E2027" s="11" t="s">
        <v>2517</v>
      </c>
      <c r="F2027" t="s">
        <v>65</v>
      </c>
      <c r="G2027" s="2" t="s">
        <v>23</v>
      </c>
      <c r="H2027" s="1">
        <v>89.994000000000014</v>
      </c>
    </row>
    <row r="2028" spans="1:8" x14ac:dyDescent="0.3">
      <c r="A2028" s="2">
        <v>616</v>
      </c>
      <c r="B2028" t="s">
        <v>2524</v>
      </c>
      <c r="C2028" t="s">
        <v>3</v>
      </c>
      <c r="D2028" s="2">
        <v>1</v>
      </c>
      <c r="E2028" s="11" t="s">
        <v>1761</v>
      </c>
      <c r="F2028" t="s">
        <v>28</v>
      </c>
      <c r="G2028" s="2" t="s">
        <v>31</v>
      </c>
      <c r="H2028" s="1">
        <v>105.89400000000001</v>
      </c>
    </row>
    <row r="2029" spans="1:8" x14ac:dyDescent="0.3">
      <c r="A2029" s="2">
        <v>616</v>
      </c>
      <c r="B2029" t="s">
        <v>2523</v>
      </c>
      <c r="C2029" t="s">
        <v>3</v>
      </c>
      <c r="D2029" s="2">
        <v>1</v>
      </c>
      <c r="E2029" s="11" t="s">
        <v>1761</v>
      </c>
      <c r="F2029" t="s">
        <v>28</v>
      </c>
      <c r="G2029" s="2" t="s">
        <v>23</v>
      </c>
      <c r="H2029" s="1">
        <v>105.89400000000001</v>
      </c>
    </row>
    <row r="2030" spans="1:8" x14ac:dyDescent="0.3">
      <c r="A2030" s="2">
        <v>616</v>
      </c>
      <c r="B2030" t="s">
        <v>2137</v>
      </c>
      <c r="C2030" t="s">
        <v>1</v>
      </c>
      <c r="D2030" s="2">
        <v>1</v>
      </c>
      <c r="E2030" s="11" t="s">
        <v>2136</v>
      </c>
      <c r="F2030" t="s">
        <v>28</v>
      </c>
      <c r="G2030" s="2" t="s">
        <v>4</v>
      </c>
      <c r="H2030" s="1">
        <v>52.893999999999998</v>
      </c>
    </row>
    <row r="2031" spans="1:8" x14ac:dyDescent="0.3">
      <c r="A2031" s="2">
        <v>616</v>
      </c>
      <c r="B2031" t="s">
        <v>2522</v>
      </c>
      <c r="C2031" t="s">
        <v>1</v>
      </c>
      <c r="D2031" s="2">
        <v>1</v>
      </c>
      <c r="E2031" s="11" t="s">
        <v>2136</v>
      </c>
      <c r="F2031" t="s">
        <v>28</v>
      </c>
      <c r="G2031" s="2" t="s">
        <v>31</v>
      </c>
      <c r="H2031" s="1">
        <v>52.893999999999998</v>
      </c>
    </row>
    <row r="2032" spans="1:8" x14ac:dyDescent="0.3">
      <c r="A2032" s="2">
        <v>616</v>
      </c>
      <c r="B2032" t="s">
        <v>2521</v>
      </c>
      <c r="C2032" t="s">
        <v>1</v>
      </c>
      <c r="D2032" s="2">
        <v>1</v>
      </c>
      <c r="E2032" s="11" t="s">
        <v>2136</v>
      </c>
      <c r="F2032" t="s">
        <v>28</v>
      </c>
      <c r="G2032" s="2" t="s">
        <v>23</v>
      </c>
      <c r="H2032" s="1">
        <v>52.893999999999998</v>
      </c>
    </row>
    <row r="2033" spans="1:8" x14ac:dyDescent="0.3">
      <c r="A2033" s="2">
        <v>616</v>
      </c>
      <c r="B2033" t="s">
        <v>2520</v>
      </c>
      <c r="C2033" t="s">
        <v>3</v>
      </c>
      <c r="D2033" s="2">
        <v>1</v>
      </c>
      <c r="E2033" s="11" t="s">
        <v>1761</v>
      </c>
      <c r="F2033" t="s">
        <v>55</v>
      </c>
      <c r="G2033" s="2" t="s">
        <v>23</v>
      </c>
      <c r="H2033" s="1">
        <v>105.89400000000001</v>
      </c>
    </row>
    <row r="2034" spans="1:8" x14ac:dyDescent="0.3">
      <c r="A2034" s="2">
        <v>616</v>
      </c>
      <c r="B2034" t="s">
        <v>2519</v>
      </c>
      <c r="C2034" t="s">
        <v>3220</v>
      </c>
      <c r="D2034" s="2">
        <v>1</v>
      </c>
      <c r="E2034" s="11" t="s">
        <v>2517</v>
      </c>
      <c r="F2034" t="s">
        <v>28</v>
      </c>
      <c r="G2034" s="2" t="s">
        <v>4</v>
      </c>
      <c r="H2034" s="1">
        <v>89.994000000000014</v>
      </c>
    </row>
    <row r="2035" spans="1:8" x14ac:dyDescent="0.3">
      <c r="A2035" s="2">
        <v>616</v>
      </c>
      <c r="B2035" t="s">
        <v>1953</v>
      </c>
      <c r="C2035" t="s">
        <v>3</v>
      </c>
      <c r="D2035" s="2">
        <v>1</v>
      </c>
      <c r="E2035" s="11" t="s">
        <v>1761</v>
      </c>
      <c r="F2035" t="s">
        <v>114</v>
      </c>
      <c r="G2035" s="2" t="s">
        <v>23</v>
      </c>
      <c r="H2035" s="1">
        <v>105.89400000000001</v>
      </c>
    </row>
    <row r="2036" spans="1:8" x14ac:dyDescent="0.3">
      <c r="A2036" s="2">
        <v>616</v>
      </c>
      <c r="B2036" t="s">
        <v>2518</v>
      </c>
      <c r="C2036" t="s">
        <v>3220</v>
      </c>
      <c r="D2036" s="2">
        <v>1</v>
      </c>
      <c r="E2036" s="11" t="s">
        <v>2517</v>
      </c>
      <c r="F2036" t="s">
        <v>114</v>
      </c>
      <c r="G2036" s="2" t="s">
        <v>31</v>
      </c>
      <c r="H2036" s="1">
        <v>89.994000000000014</v>
      </c>
    </row>
    <row r="2037" spans="1:8" x14ac:dyDescent="0.3">
      <c r="A2037" s="2">
        <v>616</v>
      </c>
      <c r="B2037" t="s">
        <v>2516</v>
      </c>
      <c r="C2037" t="s">
        <v>3219</v>
      </c>
      <c r="D2037" s="2">
        <v>1</v>
      </c>
      <c r="E2037" s="11" t="s">
        <v>1845</v>
      </c>
      <c r="F2037" t="s">
        <v>39</v>
      </c>
      <c r="G2037" s="2" t="s">
        <v>4</v>
      </c>
      <c r="H2037" s="1">
        <v>180.09400000000002</v>
      </c>
    </row>
    <row r="2038" spans="1:8" x14ac:dyDescent="0.3">
      <c r="A2038" s="2">
        <v>616</v>
      </c>
      <c r="B2038" t="s">
        <v>2515</v>
      </c>
      <c r="C2038" t="s">
        <v>3224</v>
      </c>
      <c r="D2038" s="2">
        <v>1</v>
      </c>
      <c r="E2038" s="11" t="s">
        <v>1982</v>
      </c>
      <c r="F2038" t="s">
        <v>28</v>
      </c>
      <c r="G2038" s="2" t="s">
        <v>4</v>
      </c>
      <c r="H2038" s="1">
        <v>111.19400000000002</v>
      </c>
    </row>
    <row r="2039" spans="1:8" x14ac:dyDescent="0.3">
      <c r="A2039" s="2">
        <v>616</v>
      </c>
      <c r="B2039" t="s">
        <v>2514</v>
      </c>
      <c r="C2039" t="s">
        <v>3</v>
      </c>
      <c r="D2039" s="2">
        <v>1</v>
      </c>
      <c r="E2039" s="11" t="s">
        <v>1544</v>
      </c>
      <c r="F2039" t="s">
        <v>28</v>
      </c>
      <c r="G2039" s="2" t="s">
        <v>4</v>
      </c>
      <c r="H2039" s="1">
        <v>95.294000000000011</v>
      </c>
    </row>
    <row r="2040" spans="1:8" x14ac:dyDescent="0.3">
      <c r="A2040" s="2">
        <v>617</v>
      </c>
      <c r="B2040" t="s">
        <v>1999</v>
      </c>
      <c r="C2040" t="s">
        <v>3224</v>
      </c>
      <c r="D2040" s="2">
        <v>1</v>
      </c>
      <c r="E2040" s="11" t="s">
        <v>1951</v>
      </c>
      <c r="F2040" t="s">
        <v>65</v>
      </c>
      <c r="G2040" s="2" t="s">
        <v>23</v>
      </c>
      <c r="H2040" s="1">
        <v>100.59400000000001</v>
      </c>
    </row>
    <row r="2041" spans="1:8" x14ac:dyDescent="0.3">
      <c r="A2041" s="2">
        <v>617</v>
      </c>
      <c r="B2041" t="s">
        <v>2513</v>
      </c>
      <c r="C2041" t="s">
        <v>3225</v>
      </c>
      <c r="D2041" s="2">
        <v>1</v>
      </c>
      <c r="E2041" s="11" t="s">
        <v>2511</v>
      </c>
      <c r="F2041" t="s">
        <v>126</v>
      </c>
      <c r="G2041" s="2" t="s">
        <v>23</v>
      </c>
      <c r="H2041" s="1">
        <v>164.19400000000002</v>
      </c>
    </row>
    <row r="2042" spans="1:8" x14ac:dyDescent="0.3">
      <c r="A2042" s="2">
        <v>617</v>
      </c>
      <c r="B2042" t="s">
        <v>2252</v>
      </c>
      <c r="C2042" t="s">
        <v>3219</v>
      </c>
      <c r="D2042" s="2">
        <v>1</v>
      </c>
      <c r="E2042" s="11" t="s">
        <v>2251</v>
      </c>
      <c r="F2042" t="s">
        <v>126</v>
      </c>
      <c r="G2042" s="2" t="s">
        <v>4</v>
      </c>
      <c r="H2042" s="1">
        <v>169.49400000000003</v>
      </c>
    </row>
    <row r="2043" spans="1:8" x14ac:dyDescent="0.3">
      <c r="A2043" s="2">
        <v>617</v>
      </c>
      <c r="B2043" t="s">
        <v>2250</v>
      </c>
      <c r="C2043" t="s">
        <v>3224</v>
      </c>
      <c r="D2043" s="2">
        <v>1</v>
      </c>
      <c r="E2043" s="11" t="s">
        <v>191</v>
      </c>
      <c r="F2043" t="s">
        <v>126</v>
      </c>
      <c r="G2043" s="2" t="s">
        <v>4</v>
      </c>
      <c r="H2043" s="1">
        <v>63.494000000000007</v>
      </c>
    </row>
    <row r="2044" spans="1:8" x14ac:dyDescent="0.3">
      <c r="A2044" s="2">
        <v>617</v>
      </c>
      <c r="B2044" t="s">
        <v>2182</v>
      </c>
      <c r="C2044" t="s">
        <v>3224</v>
      </c>
      <c r="D2044" s="2">
        <v>1</v>
      </c>
      <c r="E2044" s="11" t="s">
        <v>1951</v>
      </c>
      <c r="F2044" t="s">
        <v>55</v>
      </c>
      <c r="G2044" s="2" t="s">
        <v>31</v>
      </c>
      <c r="H2044" s="1">
        <v>100.59400000000001</v>
      </c>
    </row>
    <row r="2045" spans="1:8" x14ac:dyDescent="0.3">
      <c r="A2045" s="2">
        <v>617</v>
      </c>
      <c r="B2045" t="s">
        <v>1947</v>
      </c>
      <c r="C2045" t="s">
        <v>3225</v>
      </c>
      <c r="D2045" s="2">
        <v>1</v>
      </c>
      <c r="E2045" s="11" t="s">
        <v>831</v>
      </c>
      <c r="F2045" t="s">
        <v>47</v>
      </c>
      <c r="G2045" s="2" t="s">
        <v>31</v>
      </c>
      <c r="H2045" s="1">
        <v>190.69400000000002</v>
      </c>
    </row>
    <row r="2046" spans="1:8" x14ac:dyDescent="0.3">
      <c r="A2046" s="2">
        <v>617</v>
      </c>
      <c r="B2046" t="s">
        <v>2512</v>
      </c>
      <c r="C2046" t="s">
        <v>3225</v>
      </c>
      <c r="D2046" s="2">
        <v>1</v>
      </c>
      <c r="E2046" s="11" t="s">
        <v>2511</v>
      </c>
      <c r="F2046" t="s">
        <v>39</v>
      </c>
      <c r="G2046" s="2" t="s">
        <v>4</v>
      </c>
      <c r="H2046" s="1">
        <v>164.19400000000002</v>
      </c>
    </row>
    <row r="2047" spans="1:8" x14ac:dyDescent="0.3">
      <c r="A2047" s="2">
        <v>617</v>
      </c>
      <c r="B2047" t="s">
        <v>1695</v>
      </c>
      <c r="C2047" t="s">
        <v>3219</v>
      </c>
      <c r="D2047" s="2">
        <v>1</v>
      </c>
      <c r="E2047" s="11" t="s">
        <v>977</v>
      </c>
      <c r="F2047" t="s">
        <v>39</v>
      </c>
      <c r="G2047" s="2" t="s">
        <v>4</v>
      </c>
      <c r="H2047" s="1">
        <v>116.49400000000001</v>
      </c>
    </row>
    <row r="2048" spans="1:8" x14ac:dyDescent="0.3">
      <c r="A2048" s="2">
        <v>617</v>
      </c>
      <c r="B2048" t="s">
        <v>2510</v>
      </c>
      <c r="C2048" t="s">
        <v>0</v>
      </c>
      <c r="D2048" s="2">
        <v>1</v>
      </c>
      <c r="E2048" s="11" t="s">
        <v>2509</v>
      </c>
      <c r="F2048" t="s">
        <v>39</v>
      </c>
      <c r="G2048" s="2" t="s">
        <v>31</v>
      </c>
      <c r="H2048" s="1">
        <v>153.59400000000002</v>
      </c>
    </row>
    <row r="2049" spans="1:8" x14ac:dyDescent="0.3">
      <c r="A2049" s="2">
        <v>617</v>
      </c>
      <c r="B2049" t="s">
        <v>2508</v>
      </c>
      <c r="C2049" t="s">
        <v>3225</v>
      </c>
      <c r="D2049" s="2">
        <v>1</v>
      </c>
      <c r="E2049" s="11" t="s">
        <v>2507</v>
      </c>
      <c r="F2049" t="s">
        <v>39</v>
      </c>
      <c r="G2049" s="2" t="s">
        <v>4</v>
      </c>
      <c r="H2049" s="1">
        <v>211.89400000000001</v>
      </c>
    </row>
    <row r="2050" spans="1:8" x14ac:dyDescent="0.3">
      <c r="A2050" s="2">
        <v>617</v>
      </c>
      <c r="B2050" t="s">
        <v>2277</v>
      </c>
      <c r="C2050" t="s">
        <v>3224</v>
      </c>
      <c r="D2050" s="2">
        <v>1</v>
      </c>
      <c r="E2050" s="11" t="s">
        <v>1982</v>
      </c>
      <c r="F2050" t="s">
        <v>28</v>
      </c>
      <c r="G2050" s="2" t="s">
        <v>23</v>
      </c>
      <c r="H2050" s="1">
        <v>111.19400000000002</v>
      </c>
    </row>
    <row r="2051" spans="1:8" x14ac:dyDescent="0.3">
      <c r="A2051" s="2">
        <v>617</v>
      </c>
      <c r="B2051" t="s">
        <v>2276</v>
      </c>
      <c r="C2051" t="s">
        <v>3</v>
      </c>
      <c r="D2051" s="2">
        <v>1</v>
      </c>
      <c r="E2051" s="11" t="s">
        <v>1544</v>
      </c>
      <c r="F2051" t="s">
        <v>28</v>
      </c>
      <c r="G2051" s="2" t="s">
        <v>23</v>
      </c>
      <c r="H2051" s="1">
        <v>95.294000000000011</v>
      </c>
    </row>
    <row r="2052" spans="1:8" x14ac:dyDescent="0.3">
      <c r="A2052" s="2">
        <v>618</v>
      </c>
      <c r="B2052" t="s">
        <v>2506</v>
      </c>
      <c r="C2052" t="s">
        <v>3224</v>
      </c>
      <c r="D2052" s="2">
        <v>1</v>
      </c>
      <c r="E2052" s="11" t="s">
        <v>2180</v>
      </c>
      <c r="F2052" t="s">
        <v>114</v>
      </c>
      <c r="G2052" s="2" t="s">
        <v>31</v>
      </c>
      <c r="H2052" s="1">
        <v>84.694000000000017</v>
      </c>
    </row>
    <row r="2053" spans="1:8" x14ac:dyDescent="0.3">
      <c r="A2053" s="2">
        <v>618</v>
      </c>
      <c r="B2053" t="s">
        <v>2505</v>
      </c>
      <c r="C2053" t="s">
        <v>3</v>
      </c>
      <c r="D2053" s="2">
        <v>1</v>
      </c>
      <c r="E2053" s="11" t="s">
        <v>2178</v>
      </c>
      <c r="F2053" t="s">
        <v>114</v>
      </c>
      <c r="G2053" s="2" t="s">
        <v>31</v>
      </c>
      <c r="H2053" s="1">
        <v>111.19400000000002</v>
      </c>
    </row>
    <row r="2054" spans="1:8" x14ac:dyDescent="0.3">
      <c r="A2054" s="2">
        <v>618</v>
      </c>
      <c r="B2054" t="s">
        <v>2265</v>
      </c>
      <c r="C2054" t="s">
        <v>3221</v>
      </c>
      <c r="D2054" s="2">
        <v>1</v>
      </c>
      <c r="E2054" s="11" t="s">
        <v>642</v>
      </c>
      <c r="F2054" t="s">
        <v>28</v>
      </c>
      <c r="G2054" s="2" t="s">
        <v>23</v>
      </c>
      <c r="H2054" s="1">
        <v>95.294000000000011</v>
      </c>
    </row>
    <row r="2055" spans="1:8" x14ac:dyDescent="0.3">
      <c r="A2055" s="2">
        <v>618</v>
      </c>
      <c r="B2055" t="s">
        <v>2504</v>
      </c>
      <c r="C2055" t="s">
        <v>3219</v>
      </c>
      <c r="D2055" s="2">
        <v>1</v>
      </c>
      <c r="E2055" s="11" t="s">
        <v>2133</v>
      </c>
      <c r="F2055" t="s">
        <v>62</v>
      </c>
      <c r="G2055" s="2" t="s">
        <v>23</v>
      </c>
      <c r="H2055" s="1">
        <v>132.39400000000001</v>
      </c>
    </row>
    <row r="2056" spans="1:8" x14ac:dyDescent="0.3">
      <c r="A2056" s="2">
        <v>618</v>
      </c>
      <c r="B2056" t="s">
        <v>2503</v>
      </c>
      <c r="C2056" t="s">
        <v>3224</v>
      </c>
      <c r="D2056" s="2">
        <v>2</v>
      </c>
      <c r="E2056" s="11" t="s">
        <v>2001</v>
      </c>
      <c r="F2056" t="s">
        <v>62</v>
      </c>
      <c r="G2056" s="2" t="s">
        <v>23</v>
      </c>
      <c r="H2056" s="1">
        <v>95.294000000000011</v>
      </c>
    </row>
    <row r="2057" spans="1:8" x14ac:dyDescent="0.3">
      <c r="A2057" s="2">
        <v>618</v>
      </c>
      <c r="B2057" t="s">
        <v>2265</v>
      </c>
      <c r="C2057" t="s">
        <v>3221</v>
      </c>
      <c r="D2057" s="2">
        <v>1</v>
      </c>
      <c r="E2057" s="11" t="s">
        <v>642</v>
      </c>
      <c r="F2057" t="s">
        <v>28</v>
      </c>
      <c r="G2057" s="2" t="s">
        <v>23</v>
      </c>
      <c r="H2057" s="1">
        <v>95.294000000000011</v>
      </c>
    </row>
    <row r="2058" spans="1:8" x14ac:dyDescent="0.3">
      <c r="A2058" s="2">
        <v>618</v>
      </c>
      <c r="B2058" t="s">
        <v>651</v>
      </c>
      <c r="C2058" t="s">
        <v>3221</v>
      </c>
      <c r="D2058" s="2">
        <v>1</v>
      </c>
      <c r="E2058" s="11" t="s">
        <v>642</v>
      </c>
      <c r="F2058" t="s">
        <v>55</v>
      </c>
      <c r="G2058" s="2" t="s">
        <v>31</v>
      </c>
      <c r="H2058" s="1">
        <v>95.294000000000011</v>
      </c>
    </row>
    <row r="2059" spans="1:8" x14ac:dyDescent="0.3">
      <c r="A2059" s="2">
        <v>618</v>
      </c>
      <c r="B2059" t="s">
        <v>2502</v>
      </c>
      <c r="C2059" t="s">
        <v>3221</v>
      </c>
      <c r="D2059" s="2">
        <v>1</v>
      </c>
      <c r="E2059" s="11" t="s">
        <v>642</v>
      </c>
      <c r="F2059" t="s">
        <v>241</v>
      </c>
      <c r="G2059" s="2" t="s">
        <v>23</v>
      </c>
      <c r="H2059" s="1">
        <v>95.294000000000011</v>
      </c>
    </row>
    <row r="2060" spans="1:8" x14ac:dyDescent="0.3">
      <c r="A2060" s="2">
        <v>618</v>
      </c>
      <c r="B2060" t="s">
        <v>2501</v>
      </c>
      <c r="C2060" t="s">
        <v>3219</v>
      </c>
      <c r="D2060" s="2">
        <v>1</v>
      </c>
      <c r="E2060" s="11" t="s">
        <v>2313</v>
      </c>
      <c r="F2060" t="s">
        <v>47</v>
      </c>
      <c r="G2060" s="2" t="s">
        <v>4</v>
      </c>
      <c r="H2060" s="1">
        <v>158.89400000000001</v>
      </c>
    </row>
    <row r="2061" spans="1:8" x14ac:dyDescent="0.3">
      <c r="A2061" s="2">
        <v>618</v>
      </c>
      <c r="B2061" t="s">
        <v>2500</v>
      </c>
      <c r="C2061" t="s">
        <v>3219</v>
      </c>
      <c r="D2061" s="2">
        <v>1</v>
      </c>
      <c r="E2061" s="11" t="s">
        <v>2172</v>
      </c>
      <c r="F2061" t="s">
        <v>47</v>
      </c>
      <c r="G2061" s="2" t="s">
        <v>23</v>
      </c>
      <c r="H2061" s="1">
        <v>142.994</v>
      </c>
    </row>
    <row r="2062" spans="1:8" x14ac:dyDescent="0.3">
      <c r="A2062" s="2">
        <v>618</v>
      </c>
      <c r="B2062" t="s">
        <v>1448</v>
      </c>
      <c r="C2062" t="s">
        <v>3224</v>
      </c>
      <c r="D2062" s="2">
        <v>1</v>
      </c>
      <c r="E2062" s="11" t="s">
        <v>1248</v>
      </c>
      <c r="F2062" t="s">
        <v>47</v>
      </c>
      <c r="G2062" s="2" t="s">
        <v>31</v>
      </c>
      <c r="H2062" s="1">
        <v>95.294000000000011</v>
      </c>
    </row>
    <row r="2063" spans="1:8" x14ac:dyDescent="0.3">
      <c r="A2063" s="2">
        <v>618</v>
      </c>
      <c r="B2063" t="s">
        <v>2499</v>
      </c>
      <c r="C2063" t="s">
        <v>3219</v>
      </c>
      <c r="D2063" s="2">
        <v>1</v>
      </c>
      <c r="E2063" s="11" t="s">
        <v>1561</v>
      </c>
      <c r="F2063" t="s">
        <v>47</v>
      </c>
      <c r="G2063" s="2" t="s">
        <v>31</v>
      </c>
      <c r="H2063" s="1">
        <v>148.29400000000001</v>
      </c>
    </row>
    <row r="2064" spans="1:8" x14ac:dyDescent="0.3">
      <c r="A2064" s="2">
        <v>618</v>
      </c>
      <c r="B2064" t="s">
        <v>1528</v>
      </c>
      <c r="C2064" t="s">
        <v>3221</v>
      </c>
      <c r="D2064" s="2">
        <v>1</v>
      </c>
      <c r="E2064" s="11" t="s">
        <v>642</v>
      </c>
      <c r="F2064" t="s">
        <v>47</v>
      </c>
      <c r="G2064" s="2" t="s">
        <v>31</v>
      </c>
      <c r="H2064" s="1">
        <v>95.294000000000011</v>
      </c>
    </row>
    <row r="2065" spans="1:8" x14ac:dyDescent="0.3">
      <c r="A2065" s="2">
        <v>618</v>
      </c>
      <c r="B2065" t="s">
        <v>1800</v>
      </c>
      <c r="C2065" t="s">
        <v>3221</v>
      </c>
      <c r="D2065" s="2">
        <v>1</v>
      </c>
      <c r="E2065" s="11" t="s">
        <v>642</v>
      </c>
      <c r="F2065" t="s">
        <v>47</v>
      </c>
      <c r="G2065" s="2" t="s">
        <v>23</v>
      </c>
      <c r="H2065" s="1">
        <v>95.294000000000011</v>
      </c>
    </row>
    <row r="2066" spans="1:8" x14ac:dyDescent="0.3">
      <c r="A2066" s="2">
        <v>618</v>
      </c>
      <c r="B2066" t="s">
        <v>2314</v>
      </c>
      <c r="C2066" t="s">
        <v>3219</v>
      </c>
      <c r="D2066" s="2">
        <v>1</v>
      </c>
      <c r="E2066" s="11" t="s">
        <v>2313</v>
      </c>
      <c r="F2066" t="s">
        <v>28</v>
      </c>
      <c r="G2066" s="2" t="s">
        <v>31</v>
      </c>
      <c r="H2066" s="1">
        <v>158.89400000000001</v>
      </c>
    </row>
    <row r="2067" spans="1:8" x14ac:dyDescent="0.3">
      <c r="A2067" s="2">
        <v>618</v>
      </c>
      <c r="B2067" t="s">
        <v>1643</v>
      </c>
      <c r="C2067" t="s">
        <v>3221</v>
      </c>
      <c r="D2067" s="2">
        <v>1</v>
      </c>
      <c r="E2067" s="11" t="s">
        <v>642</v>
      </c>
      <c r="F2067" t="s">
        <v>28</v>
      </c>
      <c r="G2067" s="2" t="s">
        <v>203</v>
      </c>
      <c r="H2067" s="1">
        <v>95.294000000000011</v>
      </c>
    </row>
    <row r="2068" spans="1:8" x14ac:dyDescent="0.3">
      <c r="A2068" s="2">
        <v>618</v>
      </c>
      <c r="B2068" t="s">
        <v>2262</v>
      </c>
      <c r="C2068" t="s">
        <v>3221</v>
      </c>
      <c r="D2068" s="2">
        <v>1</v>
      </c>
      <c r="E2068" s="11" t="s">
        <v>642</v>
      </c>
      <c r="F2068" t="s">
        <v>24</v>
      </c>
      <c r="G2068" s="2" t="s">
        <v>31</v>
      </c>
      <c r="H2068" s="1">
        <v>95.294000000000011</v>
      </c>
    </row>
    <row r="2069" spans="1:8" x14ac:dyDescent="0.3">
      <c r="A2069" s="2">
        <v>619</v>
      </c>
      <c r="B2069" t="s">
        <v>2498</v>
      </c>
      <c r="C2069" t="s">
        <v>3220</v>
      </c>
      <c r="D2069" s="2">
        <v>1</v>
      </c>
      <c r="E2069" s="11" t="s">
        <v>2492</v>
      </c>
      <c r="F2069" t="s">
        <v>65</v>
      </c>
      <c r="G2069" s="2" t="s">
        <v>23</v>
      </c>
      <c r="H2069" s="1">
        <v>36.994</v>
      </c>
    </row>
    <row r="2070" spans="1:8" x14ac:dyDescent="0.3">
      <c r="A2070" s="2">
        <v>619</v>
      </c>
      <c r="B2070" t="s">
        <v>2497</v>
      </c>
      <c r="C2070" t="s">
        <v>3224</v>
      </c>
      <c r="D2070" s="2">
        <v>1</v>
      </c>
      <c r="E2070" s="11" t="s">
        <v>2495</v>
      </c>
      <c r="F2070" t="s">
        <v>65</v>
      </c>
      <c r="G2070" s="2" t="s">
        <v>31</v>
      </c>
      <c r="H2070" s="1">
        <v>95.294000000000011</v>
      </c>
    </row>
    <row r="2071" spans="1:8" x14ac:dyDescent="0.3">
      <c r="A2071" s="2">
        <v>619</v>
      </c>
      <c r="B2071" t="s">
        <v>724</v>
      </c>
      <c r="C2071" t="s">
        <v>1</v>
      </c>
      <c r="D2071" s="2">
        <v>1</v>
      </c>
      <c r="E2071" s="11" t="s">
        <v>222</v>
      </c>
      <c r="F2071" t="s">
        <v>28</v>
      </c>
      <c r="G2071" s="2" t="s">
        <v>4</v>
      </c>
      <c r="H2071" s="1">
        <v>52.893999999999998</v>
      </c>
    </row>
    <row r="2072" spans="1:8" x14ac:dyDescent="0.3">
      <c r="A2072" s="2">
        <v>619</v>
      </c>
      <c r="B2072" t="s">
        <v>2362</v>
      </c>
      <c r="C2072" t="s">
        <v>1</v>
      </c>
      <c r="D2072" s="2">
        <v>1</v>
      </c>
      <c r="E2072" s="11" t="s">
        <v>222</v>
      </c>
      <c r="F2072" t="s">
        <v>28</v>
      </c>
      <c r="G2072" s="2" t="s">
        <v>203</v>
      </c>
      <c r="H2072" s="1">
        <v>52.893999999999998</v>
      </c>
    </row>
    <row r="2073" spans="1:8" x14ac:dyDescent="0.3">
      <c r="A2073" s="2">
        <v>619</v>
      </c>
      <c r="B2073" t="s">
        <v>723</v>
      </c>
      <c r="C2073" t="s">
        <v>1</v>
      </c>
      <c r="D2073" s="2">
        <v>1</v>
      </c>
      <c r="E2073" s="11" t="s">
        <v>222</v>
      </c>
      <c r="F2073" t="s">
        <v>28</v>
      </c>
      <c r="G2073" s="2" t="s">
        <v>31</v>
      </c>
      <c r="H2073" s="1">
        <v>52.893999999999998</v>
      </c>
    </row>
    <row r="2074" spans="1:8" x14ac:dyDescent="0.3">
      <c r="A2074" s="2">
        <v>619</v>
      </c>
      <c r="B2074" t="s">
        <v>2496</v>
      </c>
      <c r="C2074" t="s">
        <v>3224</v>
      </c>
      <c r="D2074" s="2">
        <v>1</v>
      </c>
      <c r="E2074" s="11" t="s">
        <v>2495</v>
      </c>
      <c r="F2074" t="s">
        <v>114</v>
      </c>
      <c r="G2074" s="2" t="s">
        <v>23</v>
      </c>
      <c r="H2074" s="1">
        <v>95.294000000000011</v>
      </c>
    </row>
    <row r="2075" spans="1:8" x14ac:dyDescent="0.3">
      <c r="A2075" s="2">
        <v>619</v>
      </c>
      <c r="B2075" t="s">
        <v>2494</v>
      </c>
      <c r="C2075" t="s">
        <v>3220</v>
      </c>
      <c r="D2075" s="2">
        <v>1</v>
      </c>
      <c r="E2075" s="11" t="s">
        <v>2318</v>
      </c>
      <c r="F2075" t="s">
        <v>36</v>
      </c>
      <c r="G2075" s="2" t="s">
        <v>31</v>
      </c>
      <c r="H2075" s="1">
        <v>42.294000000000004</v>
      </c>
    </row>
    <row r="2076" spans="1:8" x14ac:dyDescent="0.3">
      <c r="A2076" s="2">
        <v>619</v>
      </c>
      <c r="B2076" t="s">
        <v>713</v>
      </c>
      <c r="C2076" t="s">
        <v>1</v>
      </c>
      <c r="D2076" s="2">
        <v>1</v>
      </c>
      <c r="E2076" s="11" t="s">
        <v>222</v>
      </c>
      <c r="F2076" t="s">
        <v>47</v>
      </c>
      <c r="G2076" s="2" t="s">
        <v>4</v>
      </c>
      <c r="H2076" s="1">
        <v>52.893999999999998</v>
      </c>
    </row>
    <row r="2077" spans="1:8" x14ac:dyDescent="0.3">
      <c r="A2077" s="2">
        <v>619</v>
      </c>
      <c r="B2077" t="s">
        <v>1817</v>
      </c>
      <c r="C2077" t="s">
        <v>1</v>
      </c>
      <c r="D2077" s="2">
        <v>1</v>
      </c>
      <c r="E2077" s="11" t="s">
        <v>222</v>
      </c>
      <c r="F2077" t="s">
        <v>47</v>
      </c>
      <c r="G2077" s="2" t="s">
        <v>31</v>
      </c>
      <c r="H2077" s="1">
        <v>52.893999999999998</v>
      </c>
    </row>
    <row r="2078" spans="1:8" x14ac:dyDescent="0.3">
      <c r="A2078" s="2">
        <v>619</v>
      </c>
      <c r="B2078" t="s">
        <v>2493</v>
      </c>
      <c r="C2078" t="s">
        <v>3220</v>
      </c>
      <c r="D2078" s="2">
        <v>1</v>
      </c>
      <c r="E2078" s="11" t="s">
        <v>2492</v>
      </c>
      <c r="F2078" t="s">
        <v>39</v>
      </c>
      <c r="G2078" s="2" t="s">
        <v>4</v>
      </c>
      <c r="H2078" s="1">
        <v>36.994</v>
      </c>
    </row>
    <row r="2079" spans="1:8" x14ac:dyDescent="0.3">
      <c r="A2079" s="2">
        <v>619</v>
      </c>
      <c r="B2079" t="s">
        <v>2491</v>
      </c>
      <c r="C2079" t="s">
        <v>3220</v>
      </c>
      <c r="D2079" s="2">
        <v>1</v>
      </c>
      <c r="E2079" s="11" t="s">
        <v>2402</v>
      </c>
      <c r="F2079" t="s">
        <v>39</v>
      </c>
      <c r="G2079" s="2" t="s">
        <v>31</v>
      </c>
      <c r="H2079" s="1">
        <v>42.294000000000004</v>
      </c>
    </row>
    <row r="2080" spans="1:8" x14ac:dyDescent="0.3">
      <c r="A2080" s="2">
        <v>619</v>
      </c>
      <c r="B2080" t="s">
        <v>2490</v>
      </c>
      <c r="C2080" t="s">
        <v>3220</v>
      </c>
      <c r="D2080" s="2">
        <v>1</v>
      </c>
      <c r="E2080" s="11" t="s">
        <v>2402</v>
      </c>
      <c r="F2080" t="s">
        <v>39</v>
      </c>
      <c r="G2080" s="2" t="s">
        <v>23</v>
      </c>
      <c r="H2080" s="1">
        <v>42.294000000000004</v>
      </c>
    </row>
    <row r="2081" spans="1:8" x14ac:dyDescent="0.3">
      <c r="A2081" s="2">
        <v>619</v>
      </c>
      <c r="B2081" t="s">
        <v>2489</v>
      </c>
      <c r="C2081" t="s">
        <v>1</v>
      </c>
      <c r="D2081" s="2">
        <v>1</v>
      </c>
      <c r="E2081" s="11" t="s">
        <v>222</v>
      </c>
      <c r="F2081" t="s">
        <v>39</v>
      </c>
      <c r="G2081" s="2" t="s">
        <v>23</v>
      </c>
      <c r="H2081" s="1">
        <v>52.893999999999998</v>
      </c>
    </row>
    <row r="2082" spans="1:8" x14ac:dyDescent="0.3">
      <c r="A2082" s="2">
        <v>619</v>
      </c>
      <c r="B2082" t="s">
        <v>2371</v>
      </c>
      <c r="C2082" t="s">
        <v>3</v>
      </c>
      <c r="D2082" s="2">
        <v>1</v>
      </c>
      <c r="E2082" s="11" t="s">
        <v>1544</v>
      </c>
      <c r="F2082" t="s">
        <v>39</v>
      </c>
      <c r="G2082" s="2" t="s">
        <v>23</v>
      </c>
      <c r="H2082" s="1">
        <v>95.294000000000011</v>
      </c>
    </row>
    <row r="2083" spans="1:8" x14ac:dyDescent="0.3">
      <c r="A2083" s="2">
        <v>619</v>
      </c>
      <c r="B2083" t="s">
        <v>2488</v>
      </c>
      <c r="C2083" t="s">
        <v>3220</v>
      </c>
      <c r="D2083" s="2">
        <v>1</v>
      </c>
      <c r="E2083" s="11" t="s">
        <v>2402</v>
      </c>
      <c r="F2083" t="s">
        <v>28</v>
      </c>
      <c r="G2083" s="2" t="s">
        <v>4</v>
      </c>
      <c r="H2083" s="1">
        <v>42.294000000000004</v>
      </c>
    </row>
    <row r="2084" spans="1:8" x14ac:dyDescent="0.3">
      <c r="A2084" s="2">
        <v>620</v>
      </c>
      <c r="B2084" t="s">
        <v>2487</v>
      </c>
      <c r="C2084" t="s">
        <v>3334</v>
      </c>
      <c r="D2084" s="2">
        <v>1</v>
      </c>
      <c r="E2084" s="11" t="s">
        <v>2486</v>
      </c>
      <c r="F2084" t="s">
        <v>55</v>
      </c>
      <c r="G2084" s="2" t="s">
        <v>4</v>
      </c>
      <c r="H2084" s="1">
        <v>105.89400000000001</v>
      </c>
    </row>
    <row r="2085" spans="1:8" x14ac:dyDescent="0.3">
      <c r="A2085" s="2">
        <v>620</v>
      </c>
      <c r="B2085" t="s">
        <v>2485</v>
      </c>
      <c r="C2085" t="s">
        <v>3224</v>
      </c>
      <c r="D2085" s="2">
        <v>1</v>
      </c>
      <c r="E2085" s="11" t="s">
        <v>2381</v>
      </c>
      <c r="F2085" t="s">
        <v>65</v>
      </c>
      <c r="G2085" s="2" t="s">
        <v>4</v>
      </c>
      <c r="H2085" s="1">
        <v>36.994</v>
      </c>
    </row>
    <row r="2086" spans="1:8" x14ac:dyDescent="0.3">
      <c r="A2086" s="2">
        <v>620</v>
      </c>
      <c r="B2086" t="s">
        <v>2484</v>
      </c>
      <c r="C2086" t="s">
        <v>0</v>
      </c>
      <c r="D2086" s="2">
        <v>1</v>
      </c>
      <c r="E2086" s="11" t="s">
        <v>2483</v>
      </c>
      <c r="F2086" t="s">
        <v>65</v>
      </c>
      <c r="G2086" s="2" t="s">
        <v>23</v>
      </c>
      <c r="H2086" s="1">
        <v>148.29400000000001</v>
      </c>
    </row>
    <row r="2087" spans="1:8" x14ac:dyDescent="0.3">
      <c r="A2087" s="2">
        <v>620</v>
      </c>
      <c r="B2087" t="s">
        <v>2102</v>
      </c>
      <c r="C2087" t="s">
        <v>2</v>
      </c>
      <c r="D2087" s="2">
        <v>1</v>
      </c>
      <c r="E2087" s="11" t="s">
        <v>2081</v>
      </c>
      <c r="F2087" t="s">
        <v>28</v>
      </c>
      <c r="G2087" s="2" t="s">
        <v>4</v>
      </c>
      <c r="H2087" s="1">
        <v>74.094000000000008</v>
      </c>
    </row>
    <row r="2088" spans="1:8" x14ac:dyDescent="0.3">
      <c r="A2088" s="2">
        <v>620</v>
      </c>
      <c r="B2088" t="s">
        <v>2482</v>
      </c>
      <c r="C2088" t="s">
        <v>3224</v>
      </c>
      <c r="D2088" s="2">
        <v>1</v>
      </c>
      <c r="E2088" s="11" t="s">
        <v>2475</v>
      </c>
      <c r="F2088" t="s">
        <v>55</v>
      </c>
      <c r="G2088" s="2" t="s">
        <v>31</v>
      </c>
      <c r="H2088" s="1">
        <v>36.994</v>
      </c>
    </row>
    <row r="2089" spans="1:8" x14ac:dyDescent="0.3">
      <c r="A2089" s="2">
        <v>620</v>
      </c>
      <c r="B2089" t="s">
        <v>2481</v>
      </c>
      <c r="C2089" t="s">
        <v>3224</v>
      </c>
      <c r="D2089" s="2">
        <v>1</v>
      </c>
      <c r="E2089" s="11" t="s">
        <v>2381</v>
      </c>
      <c r="F2089" t="s">
        <v>114</v>
      </c>
      <c r="G2089" s="2" t="s">
        <v>31</v>
      </c>
      <c r="H2089" s="1">
        <v>36.994</v>
      </c>
    </row>
    <row r="2090" spans="1:8" x14ac:dyDescent="0.3">
      <c r="A2090" s="2">
        <v>620</v>
      </c>
      <c r="B2090" t="s">
        <v>2211</v>
      </c>
      <c r="C2090" t="s">
        <v>3224</v>
      </c>
      <c r="D2090" s="2">
        <v>1</v>
      </c>
      <c r="E2090" s="11" t="s">
        <v>193</v>
      </c>
      <c r="F2090" t="s">
        <v>114</v>
      </c>
      <c r="G2090" s="2" t="s">
        <v>4</v>
      </c>
      <c r="H2090" s="1">
        <v>100.59400000000001</v>
      </c>
    </row>
    <row r="2091" spans="1:8" x14ac:dyDescent="0.3">
      <c r="A2091" s="2">
        <v>620</v>
      </c>
      <c r="B2091" t="s">
        <v>2480</v>
      </c>
      <c r="C2091" t="s">
        <v>0</v>
      </c>
      <c r="D2091" s="2">
        <v>1</v>
      </c>
      <c r="E2091" s="11" t="s">
        <v>2479</v>
      </c>
      <c r="F2091" t="s">
        <v>683</v>
      </c>
      <c r="G2091" s="2" t="s">
        <v>4</v>
      </c>
      <c r="H2091" s="1">
        <v>132.39400000000001</v>
      </c>
    </row>
    <row r="2092" spans="1:8" x14ac:dyDescent="0.3">
      <c r="A2092" s="2">
        <v>620</v>
      </c>
      <c r="B2092" t="s">
        <v>2478</v>
      </c>
      <c r="C2092" t="s">
        <v>3224</v>
      </c>
      <c r="D2092" s="2">
        <v>1</v>
      </c>
      <c r="E2092" s="11" t="s">
        <v>2381</v>
      </c>
      <c r="F2092" t="s">
        <v>47</v>
      </c>
      <c r="G2092" s="2" t="s">
        <v>23</v>
      </c>
      <c r="H2092" s="1">
        <v>36.994</v>
      </c>
    </row>
    <row r="2093" spans="1:8" x14ac:dyDescent="0.3">
      <c r="A2093" s="2">
        <v>620</v>
      </c>
      <c r="B2093" t="s">
        <v>2477</v>
      </c>
      <c r="C2093" t="s">
        <v>3219</v>
      </c>
      <c r="D2093" s="2">
        <v>1</v>
      </c>
      <c r="E2093" s="11" t="s">
        <v>109</v>
      </c>
      <c r="F2093" t="s">
        <v>47</v>
      </c>
      <c r="G2093" s="2" t="s">
        <v>31</v>
      </c>
      <c r="H2093" s="1">
        <v>158.89400000000001</v>
      </c>
    </row>
    <row r="2094" spans="1:8" x14ac:dyDescent="0.3">
      <c r="A2094" s="2">
        <v>620</v>
      </c>
      <c r="B2094" t="s">
        <v>162</v>
      </c>
      <c r="C2094" t="s">
        <v>2</v>
      </c>
      <c r="D2094" s="2">
        <v>1</v>
      </c>
      <c r="E2094" s="11" t="s">
        <v>60</v>
      </c>
      <c r="F2094" t="s">
        <v>47</v>
      </c>
      <c r="G2094" s="2" t="s">
        <v>23</v>
      </c>
      <c r="H2094" s="1">
        <v>68.794000000000011</v>
      </c>
    </row>
    <row r="2095" spans="1:8" x14ac:dyDescent="0.3">
      <c r="A2095" s="2">
        <v>620</v>
      </c>
      <c r="B2095" t="s">
        <v>2476</v>
      </c>
      <c r="C2095" t="s">
        <v>3224</v>
      </c>
      <c r="D2095" s="2">
        <v>1</v>
      </c>
      <c r="E2095" s="11" t="s">
        <v>2475</v>
      </c>
      <c r="F2095" t="s">
        <v>39</v>
      </c>
      <c r="G2095" s="2" t="s">
        <v>23</v>
      </c>
      <c r="H2095" s="1">
        <v>36.994</v>
      </c>
    </row>
    <row r="2096" spans="1:8" x14ac:dyDescent="0.3">
      <c r="A2096" s="2">
        <v>620</v>
      </c>
      <c r="B2096" t="s">
        <v>1577</v>
      </c>
      <c r="C2096" t="s">
        <v>3224</v>
      </c>
      <c r="D2096" s="2">
        <v>1</v>
      </c>
      <c r="E2096" s="11" t="s">
        <v>193</v>
      </c>
      <c r="F2096" t="s">
        <v>39</v>
      </c>
      <c r="G2096" s="2" t="s">
        <v>23</v>
      </c>
      <c r="H2096" s="1">
        <v>100.59400000000001</v>
      </c>
    </row>
    <row r="2097" spans="1:8" x14ac:dyDescent="0.3">
      <c r="A2097" s="2">
        <v>620</v>
      </c>
      <c r="B2097" t="s">
        <v>2474</v>
      </c>
      <c r="C2097" t="s">
        <v>0</v>
      </c>
      <c r="D2097" s="2">
        <v>1</v>
      </c>
      <c r="E2097" s="11" t="s">
        <v>2278</v>
      </c>
      <c r="F2097" t="s">
        <v>39</v>
      </c>
      <c r="G2097" s="2" t="s">
        <v>31</v>
      </c>
      <c r="H2097" s="1">
        <v>164.19400000000002</v>
      </c>
    </row>
    <row r="2098" spans="1:8" x14ac:dyDescent="0.3">
      <c r="A2098" s="2">
        <v>620</v>
      </c>
      <c r="B2098" t="s">
        <v>2112</v>
      </c>
      <c r="C2098" t="s">
        <v>3224</v>
      </c>
      <c r="D2098" s="2">
        <v>1</v>
      </c>
      <c r="E2098" s="11" t="s">
        <v>1248</v>
      </c>
      <c r="F2098" t="s">
        <v>39</v>
      </c>
      <c r="G2098" s="2" t="s">
        <v>31</v>
      </c>
      <c r="H2098" s="1">
        <v>95.294000000000011</v>
      </c>
    </row>
    <row r="2099" spans="1:8" x14ac:dyDescent="0.3">
      <c r="A2099" s="2">
        <v>620</v>
      </c>
      <c r="B2099" t="s">
        <v>100</v>
      </c>
      <c r="C2099" t="s">
        <v>2</v>
      </c>
      <c r="D2099" s="2">
        <v>1</v>
      </c>
      <c r="E2099" s="11" t="s">
        <v>60</v>
      </c>
      <c r="F2099" t="s">
        <v>39</v>
      </c>
      <c r="G2099" s="2" t="s">
        <v>31</v>
      </c>
      <c r="H2099" s="1">
        <v>68.794000000000011</v>
      </c>
    </row>
    <row r="2100" spans="1:8" x14ac:dyDescent="0.3">
      <c r="A2100" s="2">
        <v>620</v>
      </c>
      <c r="B2100" t="s">
        <v>2195</v>
      </c>
      <c r="C2100" t="s">
        <v>3219</v>
      </c>
      <c r="D2100" s="2">
        <v>1</v>
      </c>
      <c r="E2100" s="11" t="s">
        <v>1561</v>
      </c>
      <c r="F2100" t="s">
        <v>39</v>
      </c>
      <c r="G2100" s="2" t="s">
        <v>31</v>
      </c>
      <c r="H2100" s="1">
        <v>148.29400000000001</v>
      </c>
    </row>
    <row r="2101" spans="1:8" x14ac:dyDescent="0.3">
      <c r="A2101" s="2">
        <v>620</v>
      </c>
      <c r="B2101" t="s">
        <v>979</v>
      </c>
      <c r="C2101" t="s">
        <v>3224</v>
      </c>
      <c r="D2101" s="2">
        <v>1</v>
      </c>
      <c r="E2101" s="11" t="s">
        <v>193</v>
      </c>
      <c r="F2101" t="s">
        <v>36</v>
      </c>
      <c r="G2101" s="2" t="s">
        <v>31</v>
      </c>
      <c r="H2101" s="1">
        <v>100.59400000000001</v>
      </c>
    </row>
    <row r="2102" spans="1:8" x14ac:dyDescent="0.3">
      <c r="A2102" s="2">
        <v>620</v>
      </c>
      <c r="B2102" t="s">
        <v>2473</v>
      </c>
      <c r="C2102" t="s">
        <v>0</v>
      </c>
      <c r="D2102" s="2">
        <v>1</v>
      </c>
      <c r="E2102" s="11" t="s">
        <v>2285</v>
      </c>
      <c r="F2102" t="s">
        <v>28</v>
      </c>
      <c r="G2102" s="2" t="s">
        <v>4</v>
      </c>
      <c r="H2102" s="1">
        <v>158.89400000000001</v>
      </c>
    </row>
    <row r="2103" spans="1:8" x14ac:dyDescent="0.3">
      <c r="A2103" s="2">
        <v>620</v>
      </c>
      <c r="B2103" t="s">
        <v>2400</v>
      </c>
      <c r="C2103" t="s">
        <v>3219</v>
      </c>
      <c r="D2103" s="2">
        <v>1</v>
      </c>
      <c r="E2103" s="11" t="s">
        <v>109</v>
      </c>
      <c r="F2103" t="s">
        <v>28</v>
      </c>
      <c r="G2103" s="2" t="s">
        <v>23</v>
      </c>
      <c r="H2103" s="1">
        <v>158.89400000000001</v>
      </c>
    </row>
    <row r="2104" spans="1:8" x14ac:dyDescent="0.3">
      <c r="A2104" s="2">
        <v>620</v>
      </c>
      <c r="B2104" t="s">
        <v>2277</v>
      </c>
      <c r="C2104" t="s">
        <v>3224</v>
      </c>
      <c r="D2104" s="2">
        <v>1</v>
      </c>
      <c r="E2104" s="11" t="s">
        <v>1982</v>
      </c>
      <c r="F2104" t="s">
        <v>28</v>
      </c>
      <c r="G2104" s="2" t="s">
        <v>23</v>
      </c>
      <c r="H2104" s="1">
        <v>111.19400000000002</v>
      </c>
    </row>
    <row r="2105" spans="1:8" x14ac:dyDescent="0.3">
      <c r="A2105" s="2">
        <v>620</v>
      </c>
      <c r="B2105" t="s">
        <v>2276</v>
      </c>
      <c r="C2105" t="s">
        <v>3</v>
      </c>
      <c r="D2105" s="2">
        <v>1</v>
      </c>
      <c r="E2105" s="11" t="s">
        <v>1544</v>
      </c>
      <c r="F2105" t="s">
        <v>28</v>
      </c>
      <c r="G2105" s="2" t="s">
        <v>23</v>
      </c>
      <c r="H2105" s="1">
        <v>95.294000000000011</v>
      </c>
    </row>
    <row r="2106" spans="1:8" x14ac:dyDescent="0.3">
      <c r="A2106" s="2">
        <v>621</v>
      </c>
      <c r="B2106" t="s">
        <v>2174</v>
      </c>
      <c r="C2106" t="s">
        <v>3219</v>
      </c>
      <c r="D2106" s="2">
        <v>1</v>
      </c>
      <c r="E2106" s="11" t="s">
        <v>2172</v>
      </c>
      <c r="F2106" t="s">
        <v>55</v>
      </c>
      <c r="G2106" s="2" t="s">
        <v>23</v>
      </c>
      <c r="H2106" s="1">
        <v>142.994</v>
      </c>
    </row>
    <row r="2107" spans="1:8" x14ac:dyDescent="0.3">
      <c r="A2107" s="2">
        <v>621</v>
      </c>
      <c r="B2107" t="s">
        <v>2472</v>
      </c>
      <c r="C2107" t="s">
        <v>0</v>
      </c>
      <c r="D2107" s="2">
        <v>1</v>
      </c>
      <c r="E2107" s="11" t="s">
        <v>2463</v>
      </c>
      <c r="F2107" t="s">
        <v>65</v>
      </c>
      <c r="G2107" s="2" t="s">
        <v>4</v>
      </c>
      <c r="H2107" s="1">
        <v>158.89400000000001</v>
      </c>
    </row>
    <row r="2108" spans="1:8" x14ac:dyDescent="0.3">
      <c r="A2108" s="2">
        <v>621</v>
      </c>
      <c r="B2108" t="s">
        <v>2300</v>
      </c>
      <c r="C2108" t="s">
        <v>0</v>
      </c>
      <c r="D2108" s="2">
        <v>1</v>
      </c>
      <c r="E2108" s="11" t="s">
        <v>2060</v>
      </c>
      <c r="F2108" t="s">
        <v>65</v>
      </c>
      <c r="G2108" s="2" t="s">
        <v>23</v>
      </c>
      <c r="H2108" s="1">
        <v>158.89400000000001</v>
      </c>
    </row>
    <row r="2109" spans="1:8" x14ac:dyDescent="0.3">
      <c r="A2109" s="2">
        <v>621</v>
      </c>
      <c r="B2109" t="s">
        <v>2042</v>
      </c>
      <c r="C2109" t="s">
        <v>1</v>
      </c>
      <c r="D2109" s="2">
        <v>1</v>
      </c>
      <c r="E2109" s="11" t="s">
        <v>2018</v>
      </c>
      <c r="F2109" t="s">
        <v>126</v>
      </c>
      <c r="G2109" s="2" t="s">
        <v>31</v>
      </c>
      <c r="H2109" s="1">
        <v>79.394000000000005</v>
      </c>
    </row>
    <row r="2110" spans="1:8" x14ac:dyDescent="0.3">
      <c r="A2110" s="2">
        <v>621</v>
      </c>
      <c r="B2110" t="s">
        <v>2471</v>
      </c>
      <c r="C2110" t="s">
        <v>3219</v>
      </c>
      <c r="D2110" s="2">
        <v>1</v>
      </c>
      <c r="E2110" s="11" t="s">
        <v>2455</v>
      </c>
      <c r="F2110" t="s">
        <v>126</v>
      </c>
      <c r="G2110" s="2" t="s">
        <v>31</v>
      </c>
      <c r="H2110" s="1">
        <v>142.994</v>
      </c>
    </row>
    <row r="2111" spans="1:8" x14ac:dyDescent="0.3">
      <c r="A2111" s="2">
        <v>621</v>
      </c>
      <c r="B2111" t="s">
        <v>2470</v>
      </c>
      <c r="C2111" t="s">
        <v>3224</v>
      </c>
      <c r="D2111" s="2">
        <v>1</v>
      </c>
      <c r="E2111" s="11" t="s">
        <v>2407</v>
      </c>
      <c r="F2111" t="s">
        <v>28</v>
      </c>
      <c r="G2111" s="2" t="s">
        <v>31</v>
      </c>
      <c r="H2111" s="1">
        <v>84.694000000000017</v>
      </c>
    </row>
    <row r="2112" spans="1:8" x14ac:dyDescent="0.3">
      <c r="A2112" s="2">
        <v>621</v>
      </c>
      <c r="B2112" t="s">
        <v>2469</v>
      </c>
      <c r="C2112" t="s">
        <v>3219</v>
      </c>
      <c r="D2112" s="2">
        <v>1</v>
      </c>
      <c r="E2112" s="11" t="s">
        <v>2316</v>
      </c>
      <c r="F2112" t="s">
        <v>28</v>
      </c>
      <c r="G2112" s="2" t="s">
        <v>31</v>
      </c>
      <c r="H2112" s="1">
        <v>164.19400000000002</v>
      </c>
    </row>
    <row r="2113" spans="1:8" x14ac:dyDescent="0.3">
      <c r="A2113" s="2">
        <v>621</v>
      </c>
      <c r="B2113" t="s">
        <v>723</v>
      </c>
      <c r="C2113" t="s">
        <v>1</v>
      </c>
      <c r="D2113" s="2">
        <v>1</v>
      </c>
      <c r="E2113" s="11" t="s">
        <v>222</v>
      </c>
      <c r="F2113" t="s">
        <v>28</v>
      </c>
      <c r="G2113" s="2" t="s">
        <v>31</v>
      </c>
      <c r="H2113" s="1">
        <v>52.893999999999998</v>
      </c>
    </row>
    <row r="2114" spans="1:8" x14ac:dyDescent="0.3">
      <c r="A2114" s="2">
        <v>621</v>
      </c>
      <c r="B2114" t="s">
        <v>2468</v>
      </c>
      <c r="C2114" t="s">
        <v>3219</v>
      </c>
      <c r="D2114" s="2">
        <v>1</v>
      </c>
      <c r="E2114" s="11" t="s">
        <v>2313</v>
      </c>
      <c r="F2114" t="s">
        <v>114</v>
      </c>
      <c r="G2114" s="2" t="s">
        <v>31</v>
      </c>
      <c r="H2114" s="1">
        <v>158.89400000000001</v>
      </c>
    </row>
    <row r="2115" spans="1:8" x14ac:dyDescent="0.3">
      <c r="A2115" s="2">
        <v>621</v>
      </c>
      <c r="B2115" t="s">
        <v>2467</v>
      </c>
      <c r="C2115" t="s">
        <v>3224</v>
      </c>
      <c r="D2115" s="2">
        <v>1</v>
      </c>
      <c r="E2115" s="11" t="s">
        <v>2407</v>
      </c>
      <c r="F2115" t="s">
        <v>36</v>
      </c>
      <c r="G2115" s="2" t="s">
        <v>23</v>
      </c>
      <c r="H2115" s="1">
        <v>84.694000000000017</v>
      </c>
    </row>
    <row r="2116" spans="1:8" x14ac:dyDescent="0.3">
      <c r="A2116" s="2">
        <v>621</v>
      </c>
      <c r="B2116" t="s">
        <v>2317</v>
      </c>
      <c r="C2116" t="s">
        <v>3219</v>
      </c>
      <c r="D2116" s="2">
        <v>1</v>
      </c>
      <c r="E2116" s="11" t="s">
        <v>2316</v>
      </c>
      <c r="F2116" t="s">
        <v>36</v>
      </c>
      <c r="G2116" s="2" t="s">
        <v>23</v>
      </c>
      <c r="H2116" s="1">
        <v>164.19400000000002</v>
      </c>
    </row>
    <row r="2117" spans="1:8" x14ac:dyDescent="0.3">
      <c r="A2117" s="2">
        <v>621</v>
      </c>
      <c r="B2117" t="s">
        <v>2466</v>
      </c>
      <c r="C2117" t="s">
        <v>3219</v>
      </c>
      <c r="D2117" s="2">
        <v>1</v>
      </c>
      <c r="E2117" s="11" t="s">
        <v>2455</v>
      </c>
      <c r="F2117" t="s">
        <v>47</v>
      </c>
      <c r="G2117" s="2" t="s">
        <v>31</v>
      </c>
      <c r="H2117" s="1">
        <v>142.994</v>
      </c>
    </row>
    <row r="2118" spans="1:8" x14ac:dyDescent="0.3">
      <c r="A2118" s="2">
        <v>621</v>
      </c>
      <c r="B2118" t="s">
        <v>2465</v>
      </c>
      <c r="C2118" t="s">
        <v>1</v>
      </c>
      <c r="D2118" s="2">
        <v>1</v>
      </c>
      <c r="E2118" s="11" t="s">
        <v>2018</v>
      </c>
      <c r="F2118" t="s">
        <v>47</v>
      </c>
      <c r="G2118" s="2" t="s">
        <v>23</v>
      </c>
      <c r="H2118" s="1">
        <v>79.394000000000005</v>
      </c>
    </row>
    <row r="2119" spans="1:8" x14ac:dyDescent="0.3">
      <c r="A2119" s="2">
        <v>621</v>
      </c>
      <c r="B2119" t="s">
        <v>2464</v>
      </c>
      <c r="C2119" t="s">
        <v>0</v>
      </c>
      <c r="D2119" s="2">
        <v>1</v>
      </c>
      <c r="E2119" s="11" t="s">
        <v>2463</v>
      </c>
      <c r="F2119" t="s">
        <v>47</v>
      </c>
      <c r="G2119" s="2" t="s">
        <v>31</v>
      </c>
      <c r="H2119" s="1">
        <v>158.89400000000001</v>
      </c>
    </row>
    <row r="2120" spans="1:8" x14ac:dyDescent="0.3">
      <c r="A2120" s="2">
        <v>621</v>
      </c>
      <c r="B2120" t="s">
        <v>2462</v>
      </c>
      <c r="C2120" t="s">
        <v>3219</v>
      </c>
      <c r="D2120" s="2">
        <v>1</v>
      </c>
      <c r="E2120" s="11" t="s">
        <v>2123</v>
      </c>
      <c r="F2120" t="s">
        <v>39</v>
      </c>
      <c r="G2120" s="2" t="s">
        <v>4</v>
      </c>
      <c r="H2120" s="1">
        <v>142.994</v>
      </c>
    </row>
    <row r="2121" spans="1:8" x14ac:dyDescent="0.3">
      <c r="A2121" s="2">
        <v>621</v>
      </c>
      <c r="B2121" t="s">
        <v>2461</v>
      </c>
      <c r="C2121" t="s">
        <v>3</v>
      </c>
      <c r="D2121" s="2">
        <v>1</v>
      </c>
      <c r="E2121" s="11" t="s">
        <v>2460</v>
      </c>
      <c r="F2121" t="s">
        <v>39</v>
      </c>
      <c r="G2121" s="2" t="s">
        <v>23</v>
      </c>
      <c r="H2121" s="1">
        <v>95.294000000000011</v>
      </c>
    </row>
    <row r="2122" spans="1:8" x14ac:dyDescent="0.3">
      <c r="A2122" s="2">
        <v>621</v>
      </c>
      <c r="B2122" t="s">
        <v>2459</v>
      </c>
      <c r="C2122" t="s">
        <v>3217</v>
      </c>
      <c r="D2122" s="2">
        <v>1</v>
      </c>
      <c r="E2122" s="11" t="s">
        <v>2458</v>
      </c>
      <c r="F2122" t="s">
        <v>39</v>
      </c>
      <c r="G2122" s="2" t="s">
        <v>23</v>
      </c>
      <c r="H2122" s="1">
        <v>89.994000000000014</v>
      </c>
    </row>
    <row r="2123" spans="1:8" x14ac:dyDescent="0.3">
      <c r="A2123" s="2">
        <v>621</v>
      </c>
      <c r="B2123" t="s">
        <v>2457</v>
      </c>
      <c r="C2123" t="s">
        <v>3219</v>
      </c>
      <c r="D2123" s="2">
        <v>1</v>
      </c>
      <c r="E2123" s="11" t="s">
        <v>2455</v>
      </c>
      <c r="F2123" t="s">
        <v>39</v>
      </c>
      <c r="G2123" s="2" t="s">
        <v>4</v>
      </c>
      <c r="H2123" s="1">
        <v>142.994</v>
      </c>
    </row>
    <row r="2124" spans="1:8" x14ac:dyDescent="0.3">
      <c r="A2124" s="2">
        <v>621</v>
      </c>
      <c r="B2124" t="s">
        <v>2456</v>
      </c>
      <c r="C2124" t="s">
        <v>3219</v>
      </c>
      <c r="D2124" s="2">
        <v>1</v>
      </c>
      <c r="E2124" s="11" t="s">
        <v>2455</v>
      </c>
      <c r="F2124" t="s">
        <v>39</v>
      </c>
      <c r="G2124" s="2" t="s">
        <v>23</v>
      </c>
      <c r="H2124" s="1">
        <v>142.994</v>
      </c>
    </row>
    <row r="2125" spans="1:8" x14ac:dyDescent="0.3">
      <c r="A2125" s="2">
        <v>621</v>
      </c>
      <c r="B2125" t="s">
        <v>2454</v>
      </c>
      <c r="C2125" t="s">
        <v>3224</v>
      </c>
      <c r="D2125" s="2">
        <v>1</v>
      </c>
      <c r="E2125" s="11" t="s">
        <v>2372</v>
      </c>
      <c r="F2125" t="s">
        <v>39</v>
      </c>
      <c r="G2125" s="2" t="s">
        <v>31</v>
      </c>
      <c r="H2125" s="1">
        <v>95.294000000000011</v>
      </c>
    </row>
    <row r="2126" spans="1:8" x14ac:dyDescent="0.3">
      <c r="A2126" s="2">
        <v>621</v>
      </c>
      <c r="B2126" t="s">
        <v>2453</v>
      </c>
      <c r="C2126" t="s">
        <v>3219</v>
      </c>
      <c r="D2126" s="2">
        <v>1</v>
      </c>
      <c r="E2126" s="11" t="s">
        <v>2271</v>
      </c>
      <c r="F2126" t="s">
        <v>28</v>
      </c>
      <c r="G2126" s="2" t="s">
        <v>31</v>
      </c>
      <c r="H2126" s="1">
        <v>121.79400000000001</v>
      </c>
    </row>
    <row r="2127" spans="1:8" x14ac:dyDescent="0.3">
      <c r="A2127" s="2">
        <v>622</v>
      </c>
      <c r="B2127" t="s">
        <v>2452</v>
      </c>
      <c r="C2127" t="s">
        <v>0</v>
      </c>
      <c r="D2127" s="2">
        <v>1</v>
      </c>
      <c r="E2127" s="11" t="s">
        <v>2442</v>
      </c>
      <c r="F2127" t="s">
        <v>65</v>
      </c>
      <c r="G2127" s="2" t="s">
        <v>4</v>
      </c>
      <c r="H2127" s="1">
        <v>180.09400000000002</v>
      </c>
    </row>
    <row r="2128" spans="1:8" x14ac:dyDescent="0.3">
      <c r="A2128" s="2">
        <v>622</v>
      </c>
      <c r="B2128" t="s">
        <v>2451</v>
      </c>
      <c r="C2128" t="s">
        <v>0</v>
      </c>
      <c r="D2128" s="2">
        <v>1</v>
      </c>
      <c r="E2128" s="11" t="s">
        <v>2442</v>
      </c>
      <c r="F2128" t="s">
        <v>65</v>
      </c>
      <c r="G2128" s="2" t="s">
        <v>23</v>
      </c>
      <c r="H2128" s="1">
        <v>180.09400000000002</v>
      </c>
    </row>
    <row r="2129" spans="1:8" x14ac:dyDescent="0.3">
      <c r="A2129" s="2">
        <v>622</v>
      </c>
      <c r="B2129" t="s">
        <v>1780</v>
      </c>
      <c r="C2129" t="s">
        <v>3219</v>
      </c>
      <c r="D2129" s="2">
        <v>1</v>
      </c>
      <c r="E2129" s="11" t="s">
        <v>102</v>
      </c>
      <c r="F2129" t="s">
        <v>126</v>
      </c>
      <c r="G2129" s="2" t="s">
        <v>4</v>
      </c>
      <c r="H2129" s="1">
        <v>121.79400000000001</v>
      </c>
    </row>
    <row r="2130" spans="1:8" x14ac:dyDescent="0.3">
      <c r="A2130" s="2">
        <v>622</v>
      </c>
      <c r="B2130" t="s">
        <v>2450</v>
      </c>
      <c r="C2130" t="s">
        <v>3219</v>
      </c>
      <c r="D2130" s="2">
        <v>1</v>
      </c>
      <c r="E2130" s="11" t="s">
        <v>102</v>
      </c>
      <c r="F2130" t="s">
        <v>126</v>
      </c>
      <c r="G2130" s="2" t="s">
        <v>31</v>
      </c>
      <c r="H2130" s="1">
        <v>121.79400000000001</v>
      </c>
    </row>
    <row r="2131" spans="1:8" x14ac:dyDescent="0.3">
      <c r="A2131" s="2">
        <v>622</v>
      </c>
      <c r="B2131" t="s">
        <v>2449</v>
      </c>
      <c r="C2131" t="s">
        <v>3219</v>
      </c>
      <c r="D2131" s="2">
        <v>2</v>
      </c>
      <c r="E2131" s="11" t="s">
        <v>102</v>
      </c>
      <c r="F2131" t="s">
        <v>126</v>
      </c>
      <c r="G2131" s="2" t="s">
        <v>23</v>
      </c>
      <c r="H2131" s="1">
        <v>121.79400000000001</v>
      </c>
    </row>
    <row r="2132" spans="1:8" x14ac:dyDescent="0.3">
      <c r="A2132" s="2">
        <v>622</v>
      </c>
      <c r="B2132" t="s">
        <v>2448</v>
      </c>
      <c r="C2132" t="s">
        <v>0</v>
      </c>
      <c r="D2132" s="2">
        <v>1</v>
      </c>
      <c r="E2132" s="11" t="s">
        <v>2060</v>
      </c>
      <c r="F2132" t="s">
        <v>28</v>
      </c>
      <c r="G2132" s="2" t="s">
        <v>4</v>
      </c>
      <c r="H2132" s="1">
        <v>158.89400000000001</v>
      </c>
    </row>
    <row r="2133" spans="1:8" x14ac:dyDescent="0.3">
      <c r="A2133" s="2">
        <v>622</v>
      </c>
      <c r="B2133" t="s">
        <v>2447</v>
      </c>
      <c r="C2133" t="s">
        <v>0</v>
      </c>
      <c r="D2133" s="2">
        <v>1</v>
      </c>
      <c r="E2133" s="11" t="s">
        <v>2060</v>
      </c>
      <c r="F2133" t="s">
        <v>28</v>
      </c>
      <c r="G2133" s="2" t="s">
        <v>31</v>
      </c>
      <c r="H2133" s="1">
        <v>158.89400000000001</v>
      </c>
    </row>
    <row r="2134" spans="1:8" x14ac:dyDescent="0.3">
      <c r="A2134" s="2">
        <v>622</v>
      </c>
      <c r="B2134" t="s">
        <v>2436</v>
      </c>
      <c r="C2134" t="s">
        <v>0</v>
      </c>
      <c r="D2134" s="2">
        <v>1</v>
      </c>
      <c r="E2134" s="11" t="s">
        <v>2060</v>
      </c>
      <c r="F2134" t="s">
        <v>28</v>
      </c>
      <c r="G2134" s="2" t="s">
        <v>23</v>
      </c>
      <c r="H2134" s="1">
        <v>158.89400000000001</v>
      </c>
    </row>
    <row r="2135" spans="1:8" x14ac:dyDescent="0.3">
      <c r="A2135" s="2">
        <v>622</v>
      </c>
      <c r="B2135" t="s">
        <v>2446</v>
      </c>
      <c r="C2135" t="s">
        <v>3219</v>
      </c>
      <c r="D2135" s="2">
        <v>1</v>
      </c>
      <c r="E2135" s="11" t="s">
        <v>102</v>
      </c>
      <c r="F2135" t="s">
        <v>2021</v>
      </c>
      <c r="G2135" s="2" t="s">
        <v>4</v>
      </c>
      <c r="H2135" s="1">
        <v>121.79400000000001</v>
      </c>
    </row>
    <row r="2136" spans="1:8" x14ac:dyDescent="0.3">
      <c r="A2136" s="2">
        <v>622</v>
      </c>
      <c r="B2136" t="s">
        <v>1579</v>
      </c>
      <c r="C2136" t="s">
        <v>3219</v>
      </c>
      <c r="D2136" s="2">
        <v>1</v>
      </c>
      <c r="E2136" s="11" t="s">
        <v>102</v>
      </c>
      <c r="F2136" t="s">
        <v>47</v>
      </c>
      <c r="G2136" s="2" t="s">
        <v>23</v>
      </c>
      <c r="H2136" s="1">
        <v>121.79400000000001</v>
      </c>
    </row>
    <row r="2137" spans="1:8" x14ac:dyDescent="0.3">
      <c r="A2137" s="2">
        <v>622</v>
      </c>
      <c r="B2137" t="s">
        <v>2445</v>
      </c>
      <c r="C2137" t="s">
        <v>0</v>
      </c>
      <c r="D2137" s="2">
        <v>1</v>
      </c>
      <c r="E2137" s="11" t="s">
        <v>2442</v>
      </c>
      <c r="F2137" t="s">
        <v>39</v>
      </c>
      <c r="G2137" s="2" t="s">
        <v>4</v>
      </c>
      <c r="H2137" s="1">
        <v>180.09400000000002</v>
      </c>
    </row>
    <row r="2138" spans="1:8" x14ac:dyDescent="0.3">
      <c r="A2138" s="2">
        <v>622</v>
      </c>
      <c r="B2138" t="s">
        <v>2444</v>
      </c>
      <c r="C2138" t="s">
        <v>0</v>
      </c>
      <c r="D2138" s="2">
        <v>1</v>
      </c>
      <c r="E2138" s="11" t="s">
        <v>2442</v>
      </c>
      <c r="F2138" t="s">
        <v>39</v>
      </c>
      <c r="G2138" s="2" t="s">
        <v>31</v>
      </c>
      <c r="H2138" s="1">
        <v>180.09400000000002</v>
      </c>
    </row>
    <row r="2139" spans="1:8" x14ac:dyDescent="0.3">
      <c r="A2139" s="2">
        <v>622</v>
      </c>
      <c r="B2139" t="s">
        <v>2443</v>
      </c>
      <c r="C2139" t="s">
        <v>0</v>
      </c>
      <c r="D2139" s="2">
        <v>1</v>
      </c>
      <c r="E2139" s="11" t="s">
        <v>2442</v>
      </c>
      <c r="F2139" t="s">
        <v>39</v>
      </c>
      <c r="G2139" s="2" t="s">
        <v>23</v>
      </c>
      <c r="H2139" s="1">
        <v>180.09400000000002</v>
      </c>
    </row>
    <row r="2140" spans="1:8" x14ac:dyDescent="0.3">
      <c r="A2140" s="2">
        <v>623</v>
      </c>
      <c r="B2140" t="s">
        <v>2441</v>
      </c>
      <c r="C2140" t="s">
        <v>3225</v>
      </c>
      <c r="D2140" s="2">
        <v>1</v>
      </c>
      <c r="E2140" s="11" t="s">
        <v>2440</v>
      </c>
      <c r="F2140" t="s">
        <v>55</v>
      </c>
      <c r="G2140" s="2" t="s">
        <v>4</v>
      </c>
      <c r="H2140" s="1">
        <v>206.59400000000002</v>
      </c>
    </row>
    <row r="2141" spans="1:8" x14ac:dyDescent="0.3">
      <c r="A2141" s="2">
        <v>623</v>
      </c>
      <c r="B2141" t="s">
        <v>2439</v>
      </c>
      <c r="C2141" t="s">
        <v>3224</v>
      </c>
      <c r="D2141" s="2">
        <v>1</v>
      </c>
      <c r="E2141" s="11" t="s">
        <v>2150</v>
      </c>
      <c r="F2141" t="s">
        <v>55</v>
      </c>
      <c r="G2141" s="2" t="s">
        <v>4</v>
      </c>
      <c r="H2141" s="1">
        <v>74.094000000000008</v>
      </c>
    </row>
    <row r="2142" spans="1:8" x14ac:dyDescent="0.3">
      <c r="A2142" s="2">
        <v>623</v>
      </c>
      <c r="B2142" t="s">
        <v>2438</v>
      </c>
      <c r="C2142" t="s">
        <v>3</v>
      </c>
      <c r="D2142" s="2">
        <v>1</v>
      </c>
      <c r="E2142" s="11" t="s">
        <v>1761</v>
      </c>
      <c r="F2142" t="s">
        <v>65</v>
      </c>
      <c r="G2142" s="2" t="s">
        <v>31</v>
      </c>
      <c r="H2142" s="1">
        <v>105.89400000000001</v>
      </c>
    </row>
    <row r="2143" spans="1:8" x14ac:dyDescent="0.3">
      <c r="A2143" s="2">
        <v>623</v>
      </c>
      <c r="B2143" t="s">
        <v>2437</v>
      </c>
      <c r="C2143" t="s">
        <v>3224</v>
      </c>
      <c r="D2143" s="2">
        <v>1</v>
      </c>
      <c r="E2143" s="11" t="s">
        <v>2407</v>
      </c>
      <c r="F2143" t="s">
        <v>28</v>
      </c>
      <c r="G2143" s="2" t="s">
        <v>4</v>
      </c>
      <c r="H2143" s="1">
        <v>84.694000000000017</v>
      </c>
    </row>
    <row r="2144" spans="1:8" x14ac:dyDescent="0.3">
      <c r="A2144" s="2">
        <v>623</v>
      </c>
      <c r="B2144" t="s">
        <v>1988</v>
      </c>
      <c r="C2144" t="s">
        <v>3</v>
      </c>
      <c r="D2144" s="2">
        <v>1</v>
      </c>
      <c r="E2144" s="11" t="s">
        <v>1761</v>
      </c>
      <c r="F2144" t="s">
        <v>55</v>
      </c>
      <c r="G2144" s="2" t="s">
        <v>4</v>
      </c>
      <c r="H2144" s="1">
        <v>105.89400000000001</v>
      </c>
    </row>
    <row r="2145" spans="1:8" x14ac:dyDescent="0.3">
      <c r="A2145" s="2">
        <v>623</v>
      </c>
      <c r="B2145" t="s">
        <v>2436</v>
      </c>
      <c r="C2145" t="s">
        <v>0</v>
      </c>
      <c r="D2145" s="2">
        <v>1</v>
      </c>
      <c r="E2145" s="11" t="s">
        <v>2060</v>
      </c>
      <c r="F2145" t="s">
        <v>28</v>
      </c>
      <c r="G2145" s="2" t="s">
        <v>23</v>
      </c>
      <c r="H2145" s="1">
        <v>158.89400000000001</v>
      </c>
    </row>
    <row r="2146" spans="1:8" x14ac:dyDescent="0.3">
      <c r="A2146" s="2">
        <v>623</v>
      </c>
      <c r="B2146" t="s">
        <v>1238</v>
      </c>
      <c r="C2146" t="s">
        <v>3261</v>
      </c>
      <c r="D2146" s="2">
        <v>1</v>
      </c>
      <c r="E2146" s="11" t="s">
        <v>1225</v>
      </c>
      <c r="F2146" t="s">
        <v>47</v>
      </c>
      <c r="G2146" s="2" t="s">
        <v>23</v>
      </c>
      <c r="H2146" s="1">
        <v>52.893999999999998</v>
      </c>
    </row>
    <row r="2147" spans="1:8" x14ac:dyDescent="0.3">
      <c r="A2147" s="2">
        <v>623</v>
      </c>
      <c r="B2147" t="s">
        <v>2206</v>
      </c>
      <c r="C2147" t="s">
        <v>2</v>
      </c>
      <c r="D2147" s="2">
        <v>1</v>
      </c>
      <c r="E2147" s="11" t="s">
        <v>60</v>
      </c>
      <c r="F2147" t="s">
        <v>47</v>
      </c>
      <c r="G2147" s="2" t="s">
        <v>31</v>
      </c>
      <c r="H2147" s="1">
        <v>68.794000000000011</v>
      </c>
    </row>
    <row r="2148" spans="1:8" x14ac:dyDescent="0.3">
      <c r="A2148" s="2">
        <v>623</v>
      </c>
      <c r="B2148" t="s">
        <v>643</v>
      </c>
      <c r="C2148" t="s">
        <v>3221</v>
      </c>
      <c r="D2148" s="2">
        <v>1</v>
      </c>
      <c r="E2148" s="11" t="s">
        <v>642</v>
      </c>
      <c r="F2148" t="s">
        <v>47</v>
      </c>
      <c r="G2148" s="2" t="s">
        <v>4</v>
      </c>
      <c r="H2148" s="1">
        <v>95.294000000000011</v>
      </c>
    </row>
    <row r="2149" spans="1:8" x14ac:dyDescent="0.3">
      <c r="A2149" s="2">
        <v>623</v>
      </c>
      <c r="B2149" t="s">
        <v>1528</v>
      </c>
      <c r="C2149" t="s">
        <v>3221</v>
      </c>
      <c r="D2149" s="2">
        <v>1</v>
      </c>
      <c r="E2149" s="11" t="s">
        <v>642</v>
      </c>
      <c r="F2149" t="s">
        <v>47</v>
      </c>
      <c r="G2149" s="2" t="s">
        <v>31</v>
      </c>
      <c r="H2149" s="1">
        <v>95.294000000000011</v>
      </c>
    </row>
    <row r="2150" spans="1:8" x14ac:dyDescent="0.3">
      <c r="A2150" s="2">
        <v>623</v>
      </c>
      <c r="B2150" t="s">
        <v>949</v>
      </c>
      <c r="C2150" t="s">
        <v>3221</v>
      </c>
      <c r="D2150" s="2">
        <v>1</v>
      </c>
      <c r="E2150" s="11" t="s">
        <v>642</v>
      </c>
      <c r="F2150" t="s">
        <v>39</v>
      </c>
      <c r="G2150" s="2" t="s">
        <v>31</v>
      </c>
      <c r="H2150" s="1">
        <v>95.294000000000011</v>
      </c>
    </row>
    <row r="2151" spans="1:8" x14ac:dyDescent="0.3">
      <c r="A2151" s="2">
        <v>623</v>
      </c>
      <c r="B2151" t="s">
        <v>2435</v>
      </c>
      <c r="C2151" t="s">
        <v>3221</v>
      </c>
      <c r="D2151" s="2">
        <v>1</v>
      </c>
      <c r="E2151" s="11" t="s">
        <v>642</v>
      </c>
      <c r="F2151" t="s">
        <v>24</v>
      </c>
      <c r="G2151" s="2" t="s">
        <v>4</v>
      </c>
      <c r="H2151" s="1">
        <v>95.294000000000011</v>
      </c>
    </row>
    <row r="2152" spans="1:8" x14ac:dyDescent="0.3">
      <c r="A2152" s="2">
        <v>624</v>
      </c>
      <c r="B2152" t="s">
        <v>2434</v>
      </c>
      <c r="C2152" t="s">
        <v>2</v>
      </c>
      <c r="D2152" s="2">
        <v>1</v>
      </c>
      <c r="E2152" s="11" t="s">
        <v>2128</v>
      </c>
      <c r="F2152" t="s">
        <v>65</v>
      </c>
      <c r="G2152" s="2" t="s">
        <v>31</v>
      </c>
      <c r="H2152" s="1">
        <v>116.49400000000001</v>
      </c>
    </row>
    <row r="2153" spans="1:8" x14ac:dyDescent="0.3">
      <c r="A2153" s="2">
        <v>624</v>
      </c>
      <c r="B2153" t="s">
        <v>2433</v>
      </c>
      <c r="C2153" t="s">
        <v>0</v>
      </c>
      <c r="D2153" s="2">
        <v>1</v>
      </c>
      <c r="E2153" s="11" t="s">
        <v>2285</v>
      </c>
      <c r="F2153" t="s">
        <v>65</v>
      </c>
      <c r="G2153" s="2" t="s">
        <v>31</v>
      </c>
      <c r="H2153" s="1">
        <v>158.89400000000001</v>
      </c>
    </row>
    <row r="2154" spans="1:8" x14ac:dyDescent="0.3">
      <c r="A2154" s="2">
        <v>624</v>
      </c>
      <c r="B2154" t="s">
        <v>2432</v>
      </c>
      <c r="C2154" t="s">
        <v>3</v>
      </c>
      <c r="D2154" s="2">
        <v>1</v>
      </c>
      <c r="E2154" s="11" t="s">
        <v>2431</v>
      </c>
      <c r="F2154" t="s">
        <v>65</v>
      </c>
      <c r="G2154" s="2" t="s">
        <v>23</v>
      </c>
      <c r="H2154" s="1">
        <v>100.59400000000001</v>
      </c>
    </row>
    <row r="2155" spans="1:8" x14ac:dyDescent="0.3">
      <c r="A2155" s="2">
        <v>624</v>
      </c>
      <c r="B2155" t="s">
        <v>2430</v>
      </c>
      <c r="C2155" t="s">
        <v>3365</v>
      </c>
      <c r="D2155" s="2">
        <v>1</v>
      </c>
      <c r="E2155" s="11" t="s">
        <v>2429</v>
      </c>
      <c r="F2155" t="s">
        <v>126</v>
      </c>
      <c r="G2155" s="2" t="s">
        <v>31</v>
      </c>
      <c r="H2155" s="1">
        <v>153.59400000000002</v>
      </c>
    </row>
    <row r="2156" spans="1:8" x14ac:dyDescent="0.3">
      <c r="A2156" s="2">
        <v>624</v>
      </c>
      <c r="B2156" t="s">
        <v>2428</v>
      </c>
      <c r="C2156" t="s">
        <v>2</v>
      </c>
      <c r="D2156" s="2">
        <v>1</v>
      </c>
      <c r="E2156" s="11" t="s">
        <v>2126</v>
      </c>
      <c r="F2156" t="s">
        <v>126</v>
      </c>
      <c r="G2156" s="2" t="s">
        <v>23</v>
      </c>
      <c r="H2156" s="1">
        <v>95.294000000000011</v>
      </c>
    </row>
    <row r="2157" spans="1:8" x14ac:dyDescent="0.3">
      <c r="A2157" s="2">
        <v>624</v>
      </c>
      <c r="B2157" t="s">
        <v>2412</v>
      </c>
      <c r="C2157" t="s">
        <v>0</v>
      </c>
      <c r="D2157" s="2">
        <v>1</v>
      </c>
      <c r="E2157" s="11" t="s">
        <v>2411</v>
      </c>
      <c r="F2157" t="s">
        <v>126</v>
      </c>
      <c r="G2157" s="2" t="s">
        <v>23</v>
      </c>
      <c r="H2157" s="1">
        <v>153.59400000000002</v>
      </c>
    </row>
    <row r="2158" spans="1:8" x14ac:dyDescent="0.3">
      <c r="A2158" s="2">
        <v>624</v>
      </c>
      <c r="B2158" t="s">
        <v>2427</v>
      </c>
      <c r="C2158" t="s">
        <v>3224</v>
      </c>
      <c r="D2158" s="2">
        <v>1</v>
      </c>
      <c r="E2158" s="11" t="s">
        <v>2426</v>
      </c>
      <c r="F2158" t="s">
        <v>126</v>
      </c>
      <c r="G2158" s="2" t="s">
        <v>23</v>
      </c>
      <c r="H2158" s="1">
        <v>95.294000000000011</v>
      </c>
    </row>
    <row r="2159" spans="1:8" x14ac:dyDescent="0.3">
      <c r="A2159" s="2">
        <v>624</v>
      </c>
      <c r="B2159" t="s">
        <v>2425</v>
      </c>
      <c r="C2159" t="s">
        <v>3224</v>
      </c>
      <c r="D2159" s="2">
        <v>1</v>
      </c>
      <c r="E2159" s="11" t="s">
        <v>2424</v>
      </c>
      <c r="F2159" t="s">
        <v>126</v>
      </c>
      <c r="G2159" s="2" t="s">
        <v>31</v>
      </c>
      <c r="H2159" s="1">
        <v>89.994000000000014</v>
      </c>
    </row>
    <row r="2160" spans="1:8" x14ac:dyDescent="0.3">
      <c r="A2160" s="2">
        <v>624</v>
      </c>
      <c r="B2160" t="s">
        <v>2423</v>
      </c>
      <c r="C2160" t="s">
        <v>3224</v>
      </c>
      <c r="D2160" s="2">
        <v>1</v>
      </c>
      <c r="E2160" s="11" t="s">
        <v>2422</v>
      </c>
      <c r="F2160" t="s">
        <v>62</v>
      </c>
      <c r="G2160" s="2" t="s">
        <v>23</v>
      </c>
      <c r="H2160" s="1">
        <v>63.494000000000007</v>
      </c>
    </row>
    <row r="2161" spans="1:8" x14ac:dyDescent="0.3">
      <c r="A2161" s="2">
        <v>624</v>
      </c>
      <c r="B2161" t="s">
        <v>2421</v>
      </c>
      <c r="C2161" t="s">
        <v>3224</v>
      </c>
      <c r="D2161" s="2">
        <v>1</v>
      </c>
      <c r="E2161" s="11" t="s">
        <v>1951</v>
      </c>
      <c r="F2161" t="s">
        <v>55</v>
      </c>
      <c r="G2161" s="2" t="s">
        <v>23</v>
      </c>
      <c r="H2161" s="1">
        <v>100.59400000000001</v>
      </c>
    </row>
    <row r="2162" spans="1:8" x14ac:dyDescent="0.3">
      <c r="A2162" s="2">
        <v>624</v>
      </c>
      <c r="B2162" t="s">
        <v>2420</v>
      </c>
      <c r="C2162" t="s">
        <v>3220</v>
      </c>
      <c r="D2162" s="2">
        <v>1</v>
      </c>
      <c r="E2162" s="11" t="s">
        <v>2419</v>
      </c>
      <c r="F2162" t="s">
        <v>959</v>
      </c>
      <c r="G2162" s="2" t="s">
        <v>4</v>
      </c>
      <c r="H2162" s="1">
        <v>47.594000000000001</v>
      </c>
    </row>
    <row r="2163" spans="1:8" x14ac:dyDescent="0.3">
      <c r="A2163" s="2">
        <v>624</v>
      </c>
      <c r="B2163" t="s">
        <v>2418</v>
      </c>
      <c r="C2163" t="s">
        <v>3</v>
      </c>
      <c r="D2163" s="2">
        <v>1</v>
      </c>
      <c r="E2163" s="11" t="s">
        <v>2417</v>
      </c>
      <c r="F2163" t="s">
        <v>959</v>
      </c>
      <c r="G2163" s="2" t="s">
        <v>31</v>
      </c>
      <c r="H2163" s="1">
        <v>74.094000000000008</v>
      </c>
    </row>
    <row r="2164" spans="1:8" x14ac:dyDescent="0.3">
      <c r="A2164" s="2">
        <v>624</v>
      </c>
      <c r="B2164" t="s">
        <v>2202</v>
      </c>
      <c r="C2164" t="s">
        <v>2</v>
      </c>
      <c r="D2164" s="2">
        <v>1</v>
      </c>
      <c r="E2164" s="11" t="s">
        <v>2128</v>
      </c>
      <c r="F2164" t="s">
        <v>39</v>
      </c>
      <c r="G2164" s="2" t="s">
        <v>23</v>
      </c>
      <c r="H2164" s="1">
        <v>116.49400000000001</v>
      </c>
    </row>
    <row r="2165" spans="1:8" x14ac:dyDescent="0.3">
      <c r="A2165" s="2">
        <v>624</v>
      </c>
      <c r="B2165" t="s">
        <v>2290</v>
      </c>
      <c r="C2165" t="s">
        <v>0</v>
      </c>
      <c r="D2165" s="2">
        <v>1</v>
      </c>
      <c r="E2165" s="11" t="s">
        <v>2288</v>
      </c>
      <c r="F2165" t="s">
        <v>39</v>
      </c>
      <c r="G2165" s="2" t="s">
        <v>31</v>
      </c>
      <c r="H2165" s="1">
        <v>142.994</v>
      </c>
    </row>
    <row r="2166" spans="1:8" x14ac:dyDescent="0.3">
      <c r="A2166" s="2">
        <v>624</v>
      </c>
      <c r="B2166" t="s">
        <v>1992</v>
      </c>
      <c r="C2166" t="s">
        <v>3224</v>
      </c>
      <c r="D2166" s="2">
        <v>1</v>
      </c>
      <c r="E2166" s="11" t="s">
        <v>1982</v>
      </c>
      <c r="F2166" t="s">
        <v>39</v>
      </c>
      <c r="G2166" s="2" t="s">
        <v>23</v>
      </c>
      <c r="H2166" s="1">
        <v>111.19400000000002</v>
      </c>
    </row>
    <row r="2167" spans="1:8" x14ac:dyDescent="0.3">
      <c r="A2167" s="2">
        <v>624</v>
      </c>
      <c r="B2167" t="s">
        <v>2348</v>
      </c>
      <c r="C2167" t="s">
        <v>3224</v>
      </c>
      <c r="D2167" s="2">
        <v>1</v>
      </c>
      <c r="E2167" s="11" t="s">
        <v>2003</v>
      </c>
      <c r="F2167" t="s">
        <v>28</v>
      </c>
      <c r="G2167" s="2" t="s">
        <v>23</v>
      </c>
      <c r="H2167" s="1">
        <v>89.994000000000014</v>
      </c>
    </row>
    <row r="2168" spans="1:8" x14ac:dyDescent="0.3">
      <c r="A2168" s="2">
        <v>624</v>
      </c>
      <c r="B2168" t="s">
        <v>2368</v>
      </c>
      <c r="C2168" t="s">
        <v>3224</v>
      </c>
      <c r="D2168" s="2">
        <v>1</v>
      </c>
      <c r="E2168" s="11" t="s">
        <v>2367</v>
      </c>
      <c r="F2168" t="s">
        <v>28</v>
      </c>
      <c r="G2168" s="2" t="s">
        <v>31</v>
      </c>
      <c r="H2168" s="1">
        <v>58.19400000000001</v>
      </c>
    </row>
    <row r="2169" spans="1:8" x14ac:dyDescent="0.3">
      <c r="A2169" s="2">
        <v>624</v>
      </c>
      <c r="B2169" t="s">
        <v>2416</v>
      </c>
      <c r="C2169" t="s">
        <v>3</v>
      </c>
      <c r="D2169" s="2">
        <v>1</v>
      </c>
      <c r="E2169" s="11" t="s">
        <v>2324</v>
      </c>
      <c r="F2169" t="s">
        <v>28</v>
      </c>
      <c r="G2169" s="2" t="s">
        <v>4</v>
      </c>
      <c r="H2169" s="1">
        <v>111.19400000000002</v>
      </c>
    </row>
    <row r="2170" spans="1:8" x14ac:dyDescent="0.3">
      <c r="A2170" s="2">
        <v>624</v>
      </c>
      <c r="B2170" t="s">
        <v>2415</v>
      </c>
      <c r="C2170" t="s">
        <v>3220</v>
      </c>
      <c r="D2170" s="2">
        <v>1</v>
      </c>
      <c r="E2170" s="11" t="s">
        <v>2402</v>
      </c>
      <c r="F2170" t="s">
        <v>28</v>
      </c>
      <c r="G2170" s="2" t="s">
        <v>31</v>
      </c>
      <c r="H2170" s="1">
        <v>42.294000000000004</v>
      </c>
    </row>
    <row r="2171" spans="1:8" x14ac:dyDescent="0.3">
      <c r="A2171" s="2">
        <v>625</v>
      </c>
      <c r="B2171" t="s">
        <v>2414</v>
      </c>
      <c r="C2171" t="s">
        <v>3219</v>
      </c>
      <c r="D2171" s="2">
        <v>1</v>
      </c>
      <c r="E2171" s="11" t="s">
        <v>1497</v>
      </c>
      <c r="F2171" t="s">
        <v>65</v>
      </c>
      <c r="G2171" s="2" t="s">
        <v>23</v>
      </c>
      <c r="H2171" s="1">
        <v>158.89400000000001</v>
      </c>
    </row>
    <row r="2172" spans="1:8" x14ac:dyDescent="0.3">
      <c r="A2172" s="2">
        <v>625</v>
      </c>
      <c r="B2172" t="s">
        <v>2413</v>
      </c>
      <c r="C2172" t="s">
        <v>3</v>
      </c>
      <c r="D2172" s="2">
        <v>1</v>
      </c>
      <c r="E2172" s="11" t="s">
        <v>2324</v>
      </c>
      <c r="F2172" t="s">
        <v>65</v>
      </c>
      <c r="G2172" s="2" t="s">
        <v>23</v>
      </c>
      <c r="H2172" s="1">
        <v>111.19400000000002</v>
      </c>
    </row>
    <row r="2173" spans="1:8" x14ac:dyDescent="0.3">
      <c r="A2173" s="2">
        <v>625</v>
      </c>
      <c r="B2173" t="s">
        <v>2412</v>
      </c>
      <c r="C2173" t="s">
        <v>0</v>
      </c>
      <c r="D2173" s="2">
        <v>1</v>
      </c>
      <c r="E2173" s="11" t="s">
        <v>2411</v>
      </c>
      <c r="F2173" t="s">
        <v>126</v>
      </c>
      <c r="G2173" s="2" t="s">
        <v>23</v>
      </c>
      <c r="H2173" s="1">
        <v>153.59400000000002</v>
      </c>
    </row>
    <row r="2174" spans="1:8" x14ac:dyDescent="0.3">
      <c r="A2174" s="2">
        <v>625</v>
      </c>
      <c r="B2174" t="s">
        <v>2410</v>
      </c>
      <c r="C2174" t="s">
        <v>0</v>
      </c>
      <c r="D2174" s="2">
        <v>1</v>
      </c>
      <c r="E2174" s="11" t="s">
        <v>2409</v>
      </c>
      <c r="F2174" t="s">
        <v>62</v>
      </c>
      <c r="G2174" s="2" t="s">
        <v>23</v>
      </c>
      <c r="H2174" s="1">
        <v>137.69400000000002</v>
      </c>
    </row>
    <row r="2175" spans="1:8" x14ac:dyDescent="0.3">
      <c r="A2175" s="2">
        <v>625</v>
      </c>
      <c r="B2175" t="s">
        <v>2408</v>
      </c>
      <c r="C2175" t="s">
        <v>3224</v>
      </c>
      <c r="D2175" s="2">
        <v>1</v>
      </c>
      <c r="E2175" s="11" t="s">
        <v>2407</v>
      </c>
      <c r="F2175" t="s">
        <v>28</v>
      </c>
      <c r="G2175" s="2" t="s">
        <v>23</v>
      </c>
      <c r="H2175" s="1">
        <v>84.694000000000017</v>
      </c>
    </row>
    <row r="2176" spans="1:8" x14ac:dyDescent="0.3">
      <c r="A2176" s="2">
        <v>625</v>
      </c>
      <c r="B2176" t="s">
        <v>1421</v>
      </c>
      <c r="C2176" t="s">
        <v>1</v>
      </c>
      <c r="D2176" s="2">
        <v>1</v>
      </c>
      <c r="E2176" s="11" t="s">
        <v>76</v>
      </c>
      <c r="F2176" t="s">
        <v>62</v>
      </c>
      <c r="G2176" s="2" t="s">
        <v>23</v>
      </c>
      <c r="H2176" s="1">
        <v>63.494</v>
      </c>
    </row>
    <row r="2177" spans="1:8" x14ac:dyDescent="0.3">
      <c r="A2177" s="2">
        <v>625</v>
      </c>
      <c r="B2177" t="s">
        <v>2173</v>
      </c>
      <c r="C2177" t="s">
        <v>3219</v>
      </c>
      <c r="D2177" s="2">
        <v>1</v>
      </c>
      <c r="E2177" s="11" t="s">
        <v>2172</v>
      </c>
      <c r="F2177" t="s">
        <v>114</v>
      </c>
      <c r="G2177" s="2" t="s">
        <v>23</v>
      </c>
      <c r="H2177" s="1">
        <v>142.994</v>
      </c>
    </row>
    <row r="2178" spans="1:8" x14ac:dyDescent="0.3">
      <c r="A2178" s="2">
        <v>625</v>
      </c>
      <c r="B2178" t="s">
        <v>2383</v>
      </c>
      <c r="C2178" t="s">
        <v>3224</v>
      </c>
      <c r="D2178" s="2">
        <v>1</v>
      </c>
      <c r="E2178" s="11" t="s">
        <v>2320</v>
      </c>
      <c r="F2178" t="s">
        <v>114</v>
      </c>
      <c r="G2178" s="2" t="s">
        <v>23</v>
      </c>
      <c r="H2178" s="1">
        <v>89.994000000000014</v>
      </c>
    </row>
    <row r="2179" spans="1:8" x14ac:dyDescent="0.3">
      <c r="A2179" s="2">
        <v>625</v>
      </c>
      <c r="B2179" t="s">
        <v>2095</v>
      </c>
      <c r="C2179" t="s">
        <v>1</v>
      </c>
      <c r="D2179" s="2">
        <v>1</v>
      </c>
      <c r="E2179" s="11" t="s">
        <v>76</v>
      </c>
      <c r="F2179" t="s">
        <v>78</v>
      </c>
      <c r="G2179" s="2" t="s">
        <v>23</v>
      </c>
      <c r="H2179" s="1">
        <v>63.494</v>
      </c>
    </row>
    <row r="2180" spans="1:8" x14ac:dyDescent="0.3">
      <c r="A2180" s="2">
        <v>625</v>
      </c>
      <c r="B2180" t="s">
        <v>2406</v>
      </c>
      <c r="C2180" t="s">
        <v>3219</v>
      </c>
      <c r="D2180" s="2">
        <v>1</v>
      </c>
      <c r="E2180" s="11" t="s">
        <v>2172</v>
      </c>
      <c r="F2180" t="s">
        <v>47</v>
      </c>
      <c r="G2180" s="2" t="s">
        <v>31</v>
      </c>
      <c r="H2180" s="1">
        <v>142.994</v>
      </c>
    </row>
    <row r="2181" spans="1:8" x14ac:dyDescent="0.3">
      <c r="A2181" s="2">
        <v>625</v>
      </c>
      <c r="B2181" t="s">
        <v>2352</v>
      </c>
      <c r="C2181" t="s">
        <v>1</v>
      </c>
      <c r="D2181" s="2">
        <v>1</v>
      </c>
      <c r="E2181" s="11" t="s">
        <v>189</v>
      </c>
      <c r="F2181" t="s">
        <v>47</v>
      </c>
      <c r="G2181" s="2" t="s">
        <v>23</v>
      </c>
      <c r="H2181" s="1">
        <v>63.494000000000007</v>
      </c>
    </row>
    <row r="2182" spans="1:8" x14ac:dyDescent="0.3">
      <c r="A2182" s="2">
        <v>625</v>
      </c>
      <c r="B2182" t="s">
        <v>2405</v>
      </c>
      <c r="C2182" t="s">
        <v>1</v>
      </c>
      <c r="D2182" s="2">
        <v>1</v>
      </c>
      <c r="E2182" s="11" t="s">
        <v>2018</v>
      </c>
      <c r="F2182" t="s">
        <v>39</v>
      </c>
      <c r="G2182" s="2" t="s">
        <v>23</v>
      </c>
      <c r="H2182" s="1">
        <v>79.394000000000005</v>
      </c>
    </row>
    <row r="2183" spans="1:8" x14ac:dyDescent="0.3">
      <c r="A2183" s="2">
        <v>625</v>
      </c>
      <c r="B2183" t="s">
        <v>2404</v>
      </c>
      <c r="C2183" t="s">
        <v>2</v>
      </c>
      <c r="D2183" s="2">
        <v>1</v>
      </c>
      <c r="E2183" s="11" t="s">
        <v>2128</v>
      </c>
      <c r="F2183" t="s">
        <v>28</v>
      </c>
      <c r="G2183" s="2" t="s">
        <v>23</v>
      </c>
      <c r="H2183" s="1">
        <v>116.49400000000001</v>
      </c>
    </row>
    <row r="2184" spans="1:8" x14ac:dyDescent="0.3">
      <c r="A2184" s="2">
        <v>625</v>
      </c>
      <c r="B2184" t="s">
        <v>2403</v>
      </c>
      <c r="C2184" t="s">
        <v>3220</v>
      </c>
      <c r="D2184" s="2">
        <v>1</v>
      </c>
      <c r="E2184" s="11" t="s">
        <v>2402</v>
      </c>
      <c r="F2184" t="s">
        <v>28</v>
      </c>
      <c r="G2184" s="2" t="s">
        <v>23</v>
      </c>
      <c r="H2184" s="1">
        <v>42.294000000000004</v>
      </c>
    </row>
    <row r="2185" spans="1:8" x14ac:dyDescent="0.3">
      <c r="A2185" s="2">
        <v>625</v>
      </c>
      <c r="B2185" t="s">
        <v>2401</v>
      </c>
      <c r="C2185" t="s">
        <v>3217</v>
      </c>
      <c r="D2185" s="2">
        <v>1</v>
      </c>
      <c r="E2185" s="11" t="s">
        <v>1948</v>
      </c>
      <c r="F2185" t="s">
        <v>28</v>
      </c>
      <c r="G2185" s="2" t="s">
        <v>23</v>
      </c>
      <c r="H2185" s="1">
        <v>63.494000000000007</v>
      </c>
    </row>
    <row r="2186" spans="1:8" x14ac:dyDescent="0.3">
      <c r="A2186" s="2">
        <v>625</v>
      </c>
      <c r="B2186" t="s">
        <v>2400</v>
      </c>
      <c r="C2186" t="s">
        <v>3219</v>
      </c>
      <c r="D2186" s="2">
        <v>1</v>
      </c>
      <c r="E2186" s="11" t="s">
        <v>109</v>
      </c>
      <c r="F2186" t="s">
        <v>28</v>
      </c>
      <c r="G2186" s="2" t="s">
        <v>23</v>
      </c>
      <c r="H2186" s="1">
        <v>158.89400000000001</v>
      </c>
    </row>
    <row r="2187" spans="1:8" x14ac:dyDescent="0.3">
      <c r="A2187" s="2">
        <v>626</v>
      </c>
      <c r="B2187" t="s">
        <v>2399</v>
      </c>
      <c r="C2187" t="s">
        <v>1</v>
      </c>
      <c r="D2187" s="2">
        <v>2</v>
      </c>
      <c r="E2187" s="11" t="s">
        <v>285</v>
      </c>
      <c r="F2187" t="s">
        <v>65</v>
      </c>
      <c r="G2187" s="2" t="s">
        <v>31</v>
      </c>
      <c r="H2187" s="1">
        <v>68.794000000000011</v>
      </c>
    </row>
    <row r="2188" spans="1:8" x14ac:dyDescent="0.3">
      <c r="A2188" s="2">
        <v>626</v>
      </c>
      <c r="B2188" t="s">
        <v>2275</v>
      </c>
      <c r="C2188" t="s">
        <v>1</v>
      </c>
      <c r="D2188" s="2">
        <v>1</v>
      </c>
      <c r="E2188" s="11" t="s">
        <v>243</v>
      </c>
      <c r="F2188" t="s">
        <v>65</v>
      </c>
      <c r="G2188" s="2" t="s">
        <v>4</v>
      </c>
      <c r="H2188" s="1">
        <v>31.693999999999999</v>
      </c>
    </row>
    <row r="2189" spans="1:8" x14ac:dyDescent="0.3">
      <c r="A2189" s="2">
        <v>626</v>
      </c>
      <c r="B2189" t="s">
        <v>723</v>
      </c>
      <c r="C2189" t="s">
        <v>1</v>
      </c>
      <c r="D2189" s="2">
        <v>1</v>
      </c>
      <c r="E2189" s="11" t="s">
        <v>222</v>
      </c>
      <c r="F2189" t="s">
        <v>28</v>
      </c>
      <c r="G2189" s="2" t="s">
        <v>31</v>
      </c>
      <c r="H2189" s="1">
        <v>52.893999999999998</v>
      </c>
    </row>
    <row r="2190" spans="1:8" x14ac:dyDescent="0.3">
      <c r="A2190" s="2">
        <v>626</v>
      </c>
      <c r="B2190" t="s">
        <v>2100</v>
      </c>
      <c r="C2190" t="s">
        <v>1</v>
      </c>
      <c r="D2190" s="2">
        <v>2</v>
      </c>
      <c r="E2190" s="11" t="s">
        <v>76</v>
      </c>
      <c r="F2190" t="s">
        <v>62</v>
      </c>
      <c r="G2190" s="2" t="s">
        <v>31</v>
      </c>
      <c r="H2190" s="1">
        <v>63.494</v>
      </c>
    </row>
    <row r="2191" spans="1:8" x14ac:dyDescent="0.3">
      <c r="A2191" s="2">
        <v>626</v>
      </c>
      <c r="B2191" t="s">
        <v>1079</v>
      </c>
      <c r="C2191" t="s">
        <v>1</v>
      </c>
      <c r="D2191" s="2">
        <v>1</v>
      </c>
      <c r="E2191" s="11" t="s">
        <v>189</v>
      </c>
      <c r="F2191" t="s">
        <v>62</v>
      </c>
      <c r="G2191" s="2" t="s">
        <v>31</v>
      </c>
      <c r="H2191" s="1">
        <v>63.494000000000007</v>
      </c>
    </row>
    <row r="2192" spans="1:8" x14ac:dyDescent="0.3">
      <c r="A2192" s="2">
        <v>626</v>
      </c>
      <c r="B2192" t="s">
        <v>2098</v>
      </c>
      <c r="C2192" t="s">
        <v>1</v>
      </c>
      <c r="D2192" s="2">
        <v>1</v>
      </c>
      <c r="E2192" s="11" t="s">
        <v>243</v>
      </c>
      <c r="F2192" t="s">
        <v>241</v>
      </c>
      <c r="G2192" s="2" t="s">
        <v>23</v>
      </c>
      <c r="H2192" s="1">
        <v>31.693999999999999</v>
      </c>
    </row>
    <row r="2193" spans="1:8" x14ac:dyDescent="0.3">
      <c r="A2193" s="2">
        <v>626</v>
      </c>
      <c r="B2193" t="s">
        <v>1435</v>
      </c>
      <c r="C2193" t="s">
        <v>1</v>
      </c>
      <c r="D2193" s="2">
        <v>1</v>
      </c>
      <c r="E2193" s="11" t="s">
        <v>285</v>
      </c>
      <c r="F2193" t="s">
        <v>28</v>
      </c>
      <c r="G2193" s="2" t="s">
        <v>23</v>
      </c>
      <c r="H2193" s="1">
        <v>68.794000000000011</v>
      </c>
    </row>
    <row r="2194" spans="1:8" x14ac:dyDescent="0.3">
      <c r="A2194" s="2">
        <v>626</v>
      </c>
      <c r="B2194" t="s">
        <v>2342</v>
      </c>
      <c r="C2194" t="s">
        <v>1</v>
      </c>
      <c r="D2194" s="2">
        <v>1</v>
      </c>
      <c r="E2194" s="11" t="s">
        <v>243</v>
      </c>
      <c r="F2194" t="s">
        <v>28</v>
      </c>
      <c r="G2194" s="2" t="s">
        <v>31</v>
      </c>
      <c r="H2194" s="1">
        <v>31.693999999999999</v>
      </c>
    </row>
    <row r="2195" spans="1:8" x14ac:dyDescent="0.3">
      <c r="A2195" s="2">
        <v>626</v>
      </c>
      <c r="B2195" t="s">
        <v>1924</v>
      </c>
      <c r="C2195" t="s">
        <v>1</v>
      </c>
      <c r="D2195" s="2">
        <v>1</v>
      </c>
      <c r="E2195" s="11" t="s">
        <v>222</v>
      </c>
      <c r="F2195" t="s">
        <v>114</v>
      </c>
      <c r="G2195" s="2" t="s">
        <v>4</v>
      </c>
      <c r="H2195" s="1">
        <v>52.893999999999998</v>
      </c>
    </row>
    <row r="2196" spans="1:8" x14ac:dyDescent="0.3">
      <c r="A2196" s="2">
        <v>626</v>
      </c>
      <c r="B2196" t="s">
        <v>1596</v>
      </c>
      <c r="C2196" t="s">
        <v>1</v>
      </c>
      <c r="D2196" s="2">
        <v>1</v>
      </c>
      <c r="E2196" s="11" t="s">
        <v>189</v>
      </c>
      <c r="F2196" t="s">
        <v>114</v>
      </c>
      <c r="G2196" s="2" t="s">
        <v>23</v>
      </c>
      <c r="H2196" s="1">
        <v>63.494000000000007</v>
      </c>
    </row>
    <row r="2197" spans="1:8" x14ac:dyDescent="0.3">
      <c r="A2197" s="2">
        <v>626</v>
      </c>
      <c r="B2197" t="s">
        <v>2095</v>
      </c>
      <c r="C2197" t="s">
        <v>1</v>
      </c>
      <c r="D2197" s="2">
        <v>1</v>
      </c>
      <c r="E2197" s="11" t="s">
        <v>76</v>
      </c>
      <c r="F2197" t="s">
        <v>78</v>
      </c>
      <c r="G2197" s="2" t="s">
        <v>23</v>
      </c>
      <c r="H2197" s="1">
        <v>63.494</v>
      </c>
    </row>
    <row r="2198" spans="1:8" x14ac:dyDescent="0.3">
      <c r="A2198" s="2">
        <v>626</v>
      </c>
      <c r="B2198" t="s">
        <v>2094</v>
      </c>
      <c r="C2198" t="s">
        <v>1</v>
      </c>
      <c r="D2198" s="2">
        <v>1</v>
      </c>
      <c r="E2198" s="11" t="s">
        <v>76</v>
      </c>
      <c r="F2198" t="s">
        <v>47</v>
      </c>
      <c r="G2198" s="2" t="s">
        <v>4</v>
      </c>
      <c r="H2198" s="1">
        <v>63.494</v>
      </c>
    </row>
    <row r="2199" spans="1:8" x14ac:dyDescent="0.3">
      <c r="A2199" s="2">
        <v>626</v>
      </c>
      <c r="B2199" t="s">
        <v>533</v>
      </c>
      <c r="C2199" t="s">
        <v>1</v>
      </c>
      <c r="D2199" s="2">
        <v>1</v>
      </c>
      <c r="E2199" s="11" t="s">
        <v>76</v>
      </c>
      <c r="F2199" t="s">
        <v>47</v>
      </c>
      <c r="G2199" s="2" t="s">
        <v>31</v>
      </c>
      <c r="H2199" s="1">
        <v>63.494</v>
      </c>
    </row>
    <row r="2200" spans="1:8" x14ac:dyDescent="0.3">
      <c r="A2200" s="2">
        <v>626</v>
      </c>
      <c r="B2200" t="s">
        <v>2374</v>
      </c>
      <c r="C2200" t="s">
        <v>1</v>
      </c>
      <c r="D2200" s="2">
        <v>1</v>
      </c>
      <c r="E2200" s="11" t="s">
        <v>279</v>
      </c>
      <c r="F2200" t="s">
        <v>47</v>
      </c>
      <c r="G2200" s="2" t="s">
        <v>23</v>
      </c>
      <c r="H2200" s="1">
        <v>47.594000000000001</v>
      </c>
    </row>
    <row r="2201" spans="1:8" x14ac:dyDescent="0.3">
      <c r="A2201" s="2">
        <v>626</v>
      </c>
      <c r="B2201" t="s">
        <v>1154</v>
      </c>
      <c r="C2201" t="s">
        <v>1</v>
      </c>
      <c r="D2201" s="2">
        <v>1</v>
      </c>
      <c r="E2201" s="11" t="s">
        <v>222</v>
      </c>
      <c r="F2201" t="s">
        <v>39</v>
      </c>
      <c r="G2201" s="2" t="s">
        <v>31</v>
      </c>
      <c r="H2201" s="1">
        <v>52.893999999999998</v>
      </c>
    </row>
    <row r="2202" spans="1:8" x14ac:dyDescent="0.3">
      <c r="A2202" s="2">
        <v>626</v>
      </c>
      <c r="B2202" t="s">
        <v>2337</v>
      </c>
      <c r="C2202" t="s">
        <v>1</v>
      </c>
      <c r="D2202" s="2">
        <v>1</v>
      </c>
      <c r="E2202" s="11" t="s">
        <v>243</v>
      </c>
      <c r="F2202" t="s">
        <v>39</v>
      </c>
      <c r="G2202" s="2" t="s">
        <v>4</v>
      </c>
      <c r="H2202" s="1">
        <v>31.693999999999999</v>
      </c>
    </row>
    <row r="2203" spans="1:8" x14ac:dyDescent="0.3">
      <c r="A2203" s="2">
        <v>626</v>
      </c>
      <c r="B2203" t="s">
        <v>2366</v>
      </c>
      <c r="C2203" t="s">
        <v>1</v>
      </c>
      <c r="D2203" s="2">
        <v>1</v>
      </c>
      <c r="E2203" s="11" t="s">
        <v>279</v>
      </c>
      <c r="F2203" t="s">
        <v>28</v>
      </c>
      <c r="G2203" s="2" t="s">
        <v>23</v>
      </c>
      <c r="H2203" s="1">
        <v>47.594000000000001</v>
      </c>
    </row>
    <row r="2204" spans="1:8" x14ac:dyDescent="0.3">
      <c r="A2204" s="2">
        <v>627</v>
      </c>
      <c r="B2204" t="s">
        <v>1123</v>
      </c>
      <c r="C2204" t="s">
        <v>1</v>
      </c>
      <c r="D2204" s="2">
        <v>1</v>
      </c>
      <c r="E2204" s="11" t="s">
        <v>281</v>
      </c>
      <c r="F2204" t="s">
        <v>55</v>
      </c>
      <c r="G2204" s="2" t="s">
        <v>23</v>
      </c>
      <c r="H2204" s="1">
        <v>58.194000000000003</v>
      </c>
    </row>
    <row r="2205" spans="1:8" x14ac:dyDescent="0.3">
      <c r="A2205" s="2">
        <v>627</v>
      </c>
      <c r="B2205" t="s">
        <v>2399</v>
      </c>
      <c r="C2205" t="s">
        <v>1</v>
      </c>
      <c r="D2205" s="2">
        <v>1</v>
      </c>
      <c r="E2205" s="11" t="s">
        <v>285</v>
      </c>
      <c r="F2205" t="s">
        <v>65</v>
      </c>
      <c r="G2205" s="2" t="s">
        <v>31</v>
      </c>
      <c r="H2205" s="1">
        <v>68.794000000000011</v>
      </c>
    </row>
    <row r="2206" spans="1:8" x14ac:dyDescent="0.3">
      <c r="A2206" s="2">
        <v>627</v>
      </c>
      <c r="B2206" t="s">
        <v>726</v>
      </c>
      <c r="C2206" t="s">
        <v>1</v>
      </c>
      <c r="D2206" s="2">
        <v>1</v>
      </c>
      <c r="E2206" s="11" t="s">
        <v>281</v>
      </c>
      <c r="F2206" t="s">
        <v>65</v>
      </c>
      <c r="G2206" s="2" t="s">
        <v>4</v>
      </c>
      <c r="H2206" s="1">
        <v>58.194000000000003</v>
      </c>
    </row>
    <row r="2207" spans="1:8" x14ac:dyDescent="0.3">
      <c r="A2207" s="2">
        <v>627</v>
      </c>
      <c r="B2207" t="s">
        <v>1125</v>
      </c>
      <c r="C2207" t="s">
        <v>1</v>
      </c>
      <c r="D2207" s="2">
        <v>1</v>
      </c>
      <c r="E2207" s="11" t="s">
        <v>281</v>
      </c>
      <c r="F2207" t="s">
        <v>65</v>
      </c>
      <c r="G2207" s="2" t="s">
        <v>23</v>
      </c>
      <c r="H2207" s="1">
        <v>58.194000000000003</v>
      </c>
    </row>
    <row r="2208" spans="1:8" x14ac:dyDescent="0.3">
      <c r="A2208" s="2">
        <v>627</v>
      </c>
      <c r="B2208" t="s">
        <v>1421</v>
      </c>
      <c r="C2208" t="s">
        <v>1</v>
      </c>
      <c r="D2208" s="2">
        <v>1</v>
      </c>
      <c r="E2208" s="11" t="s">
        <v>76</v>
      </c>
      <c r="F2208" t="s">
        <v>62</v>
      </c>
      <c r="G2208" s="2" t="s">
        <v>23</v>
      </c>
      <c r="H2208" s="1">
        <v>63.494</v>
      </c>
    </row>
    <row r="2209" spans="1:8" x14ac:dyDescent="0.3">
      <c r="A2209" s="2">
        <v>627</v>
      </c>
      <c r="B2209" t="s">
        <v>1861</v>
      </c>
      <c r="C2209" t="s">
        <v>1</v>
      </c>
      <c r="D2209" s="2">
        <v>1</v>
      </c>
      <c r="E2209" s="11" t="s">
        <v>281</v>
      </c>
      <c r="F2209" t="s">
        <v>62</v>
      </c>
      <c r="G2209" s="2" t="s">
        <v>31</v>
      </c>
      <c r="H2209" s="1">
        <v>58.194000000000003</v>
      </c>
    </row>
    <row r="2210" spans="1:8" x14ac:dyDescent="0.3">
      <c r="A2210" s="2">
        <v>627</v>
      </c>
      <c r="B2210" t="s">
        <v>2398</v>
      </c>
      <c r="C2210" t="s">
        <v>1</v>
      </c>
      <c r="D2210" s="2">
        <v>1</v>
      </c>
      <c r="E2210" s="11" t="s">
        <v>281</v>
      </c>
      <c r="F2210" t="s">
        <v>241</v>
      </c>
      <c r="G2210" s="2" t="s">
        <v>4</v>
      </c>
      <c r="H2210" s="1">
        <v>58.194000000000003</v>
      </c>
    </row>
    <row r="2211" spans="1:8" x14ac:dyDescent="0.3">
      <c r="A2211" s="2">
        <v>627</v>
      </c>
      <c r="B2211" t="s">
        <v>1115</v>
      </c>
      <c r="C2211" t="s">
        <v>1</v>
      </c>
      <c r="D2211" s="2">
        <v>1</v>
      </c>
      <c r="E2211" s="11" t="s">
        <v>281</v>
      </c>
      <c r="F2211" t="s">
        <v>28</v>
      </c>
      <c r="G2211" s="2" t="s">
        <v>31</v>
      </c>
      <c r="H2211" s="1">
        <v>58.194000000000003</v>
      </c>
    </row>
    <row r="2212" spans="1:8" x14ac:dyDescent="0.3">
      <c r="A2212" s="2">
        <v>627</v>
      </c>
      <c r="B2212" t="s">
        <v>296</v>
      </c>
      <c r="C2212" t="s">
        <v>1</v>
      </c>
      <c r="D2212" s="2">
        <v>1</v>
      </c>
      <c r="E2212" s="11" t="s">
        <v>281</v>
      </c>
      <c r="F2212" t="s">
        <v>55</v>
      </c>
      <c r="G2212" s="2" t="s">
        <v>31</v>
      </c>
      <c r="H2212" s="1">
        <v>58.194000000000003</v>
      </c>
    </row>
    <row r="2213" spans="1:8" x14ac:dyDescent="0.3">
      <c r="A2213" s="2">
        <v>627</v>
      </c>
      <c r="B2213" t="s">
        <v>1596</v>
      </c>
      <c r="C2213" t="s">
        <v>1</v>
      </c>
      <c r="D2213" s="2">
        <v>1</v>
      </c>
      <c r="E2213" s="11" t="s">
        <v>189</v>
      </c>
      <c r="F2213" t="s">
        <v>114</v>
      </c>
      <c r="G2213" s="2" t="s">
        <v>23</v>
      </c>
      <c r="H2213" s="1">
        <v>63.494000000000007</v>
      </c>
    </row>
    <row r="2214" spans="1:8" x14ac:dyDescent="0.3">
      <c r="A2214" s="2">
        <v>627</v>
      </c>
      <c r="B2214" t="s">
        <v>2397</v>
      </c>
      <c r="C2214" t="s">
        <v>1</v>
      </c>
      <c r="D2214" s="2">
        <v>1</v>
      </c>
      <c r="E2214" s="11" t="s">
        <v>279</v>
      </c>
      <c r="F2214" t="s">
        <v>114</v>
      </c>
      <c r="G2214" s="2" t="s">
        <v>4</v>
      </c>
      <c r="H2214" s="1">
        <v>47.594000000000001</v>
      </c>
    </row>
    <row r="2215" spans="1:8" x14ac:dyDescent="0.3">
      <c r="A2215" s="2">
        <v>627</v>
      </c>
      <c r="B2215" t="s">
        <v>2396</v>
      </c>
      <c r="C2215" t="s">
        <v>1</v>
      </c>
      <c r="D2215" s="2">
        <v>1</v>
      </c>
      <c r="E2215" s="11" t="s">
        <v>281</v>
      </c>
      <c r="F2215" t="s">
        <v>683</v>
      </c>
      <c r="G2215" s="2" t="s">
        <v>23</v>
      </c>
      <c r="H2215" s="1">
        <v>58.194000000000003</v>
      </c>
    </row>
    <row r="2216" spans="1:8" x14ac:dyDescent="0.3">
      <c r="A2216" s="2">
        <v>627</v>
      </c>
      <c r="B2216" t="s">
        <v>1160</v>
      </c>
      <c r="C2216" t="s">
        <v>1</v>
      </c>
      <c r="D2216" s="2">
        <v>1</v>
      </c>
      <c r="E2216" s="11" t="s">
        <v>285</v>
      </c>
      <c r="F2216" t="s">
        <v>47</v>
      </c>
      <c r="G2216" s="2" t="s">
        <v>23</v>
      </c>
      <c r="H2216" s="1">
        <v>68.794000000000011</v>
      </c>
    </row>
    <row r="2217" spans="1:8" x14ac:dyDescent="0.3">
      <c r="A2217" s="2">
        <v>627</v>
      </c>
      <c r="B2217" t="s">
        <v>2020</v>
      </c>
      <c r="C2217" t="s">
        <v>1</v>
      </c>
      <c r="D2217" s="2">
        <v>1</v>
      </c>
      <c r="E2217" s="11" t="s">
        <v>189</v>
      </c>
      <c r="F2217" t="s">
        <v>47</v>
      </c>
      <c r="G2217" s="2" t="s">
        <v>31</v>
      </c>
      <c r="H2217" s="1">
        <v>63.494000000000007</v>
      </c>
    </row>
    <row r="2218" spans="1:8" x14ac:dyDescent="0.3">
      <c r="A2218" s="2">
        <v>627</v>
      </c>
      <c r="B2218" t="s">
        <v>2374</v>
      </c>
      <c r="C2218" t="s">
        <v>1</v>
      </c>
      <c r="D2218" s="2">
        <v>1</v>
      </c>
      <c r="E2218" s="11" t="s">
        <v>279</v>
      </c>
      <c r="F2218" t="s">
        <v>47</v>
      </c>
      <c r="G2218" s="2" t="s">
        <v>23</v>
      </c>
      <c r="H2218" s="1">
        <v>47.594000000000001</v>
      </c>
    </row>
    <row r="2219" spans="1:8" x14ac:dyDescent="0.3">
      <c r="A2219" s="2">
        <v>627</v>
      </c>
      <c r="B2219" t="s">
        <v>1235</v>
      </c>
      <c r="C2219" t="s">
        <v>1</v>
      </c>
      <c r="D2219" s="2">
        <v>1</v>
      </c>
      <c r="E2219" s="11" t="s">
        <v>281</v>
      </c>
      <c r="F2219" t="s">
        <v>39</v>
      </c>
      <c r="G2219" s="2" t="s">
        <v>23</v>
      </c>
      <c r="H2219" s="1">
        <v>58.194000000000003</v>
      </c>
    </row>
    <row r="2220" spans="1:8" x14ac:dyDescent="0.3">
      <c r="A2220" s="2">
        <v>627</v>
      </c>
      <c r="B2220" t="s">
        <v>1308</v>
      </c>
      <c r="C2220" t="s">
        <v>1</v>
      </c>
      <c r="D2220" s="2">
        <v>1</v>
      </c>
      <c r="E2220" s="11" t="s">
        <v>281</v>
      </c>
      <c r="F2220" t="s">
        <v>39</v>
      </c>
      <c r="G2220" s="2" t="s">
        <v>31</v>
      </c>
      <c r="H2220" s="1">
        <v>58.194000000000003</v>
      </c>
    </row>
    <row r="2221" spans="1:8" x14ac:dyDescent="0.3">
      <c r="A2221" s="2">
        <v>628</v>
      </c>
      <c r="B2221" t="s">
        <v>2395</v>
      </c>
      <c r="C2221" t="s">
        <v>3224</v>
      </c>
      <c r="D2221" s="2">
        <v>2</v>
      </c>
      <c r="E2221" s="11" t="s">
        <v>1811</v>
      </c>
      <c r="F2221" t="s">
        <v>114</v>
      </c>
      <c r="G2221" s="2" t="s">
        <v>4</v>
      </c>
      <c r="H2221" s="1">
        <v>100.59400000000001</v>
      </c>
    </row>
    <row r="2222" spans="1:8" x14ac:dyDescent="0.3">
      <c r="A2222" s="2">
        <v>628</v>
      </c>
      <c r="B2222" t="s">
        <v>2224</v>
      </c>
      <c r="C2222" t="s">
        <v>3224</v>
      </c>
      <c r="D2222" s="2">
        <v>2</v>
      </c>
      <c r="E2222" s="11" t="s">
        <v>1811</v>
      </c>
      <c r="F2222" t="s">
        <v>114</v>
      </c>
      <c r="G2222" s="2" t="s">
        <v>31</v>
      </c>
      <c r="H2222" s="1">
        <v>100.59400000000001</v>
      </c>
    </row>
    <row r="2223" spans="1:8" x14ac:dyDescent="0.3">
      <c r="A2223" s="2">
        <v>628</v>
      </c>
      <c r="B2223" t="s">
        <v>2223</v>
      </c>
      <c r="C2223" t="s">
        <v>3224</v>
      </c>
      <c r="D2223" s="2">
        <v>2</v>
      </c>
      <c r="E2223" s="11" t="s">
        <v>1811</v>
      </c>
      <c r="F2223" t="s">
        <v>114</v>
      </c>
      <c r="G2223" s="2" t="s">
        <v>23</v>
      </c>
      <c r="H2223" s="1">
        <v>100.59400000000001</v>
      </c>
    </row>
    <row r="2224" spans="1:8" x14ac:dyDescent="0.3">
      <c r="A2224" s="2">
        <v>629</v>
      </c>
      <c r="B2224" t="s">
        <v>2394</v>
      </c>
      <c r="C2224" t="s">
        <v>3224</v>
      </c>
      <c r="D2224" s="2">
        <v>1</v>
      </c>
      <c r="E2224" s="11" t="s">
        <v>2367</v>
      </c>
      <c r="F2224" t="s">
        <v>55</v>
      </c>
      <c r="G2224" s="2" t="s">
        <v>23</v>
      </c>
      <c r="H2224" s="1">
        <v>58.19400000000001</v>
      </c>
    </row>
    <row r="2225" spans="1:8" x14ac:dyDescent="0.3">
      <c r="A2225" s="2">
        <v>629</v>
      </c>
      <c r="B2225" t="s">
        <v>693</v>
      </c>
      <c r="C2225" t="s">
        <v>3220</v>
      </c>
      <c r="D2225" s="2">
        <v>2</v>
      </c>
      <c r="E2225" s="11" t="s">
        <v>204</v>
      </c>
      <c r="F2225" t="s">
        <v>55</v>
      </c>
      <c r="G2225" s="2" t="s">
        <v>23</v>
      </c>
      <c r="H2225" s="1">
        <v>42.294000000000004</v>
      </c>
    </row>
    <row r="2226" spans="1:8" x14ac:dyDescent="0.3">
      <c r="A2226" s="2">
        <v>629</v>
      </c>
      <c r="B2226" t="s">
        <v>2159</v>
      </c>
      <c r="C2226" t="s">
        <v>3224</v>
      </c>
      <c r="D2226" s="2">
        <v>1</v>
      </c>
      <c r="E2226" s="11" t="s">
        <v>2150</v>
      </c>
      <c r="F2226" t="s">
        <v>55</v>
      </c>
      <c r="G2226" s="2" t="s">
        <v>23</v>
      </c>
      <c r="H2226" s="1">
        <v>74.094000000000008</v>
      </c>
    </row>
    <row r="2227" spans="1:8" x14ac:dyDescent="0.3">
      <c r="A2227" s="2">
        <v>629</v>
      </c>
      <c r="B2227" t="s">
        <v>1130</v>
      </c>
      <c r="C2227" t="s">
        <v>3219</v>
      </c>
      <c r="D2227" s="2">
        <v>1</v>
      </c>
      <c r="E2227" s="11" t="s">
        <v>673</v>
      </c>
      <c r="F2227" t="s">
        <v>55</v>
      </c>
      <c r="G2227" s="2" t="s">
        <v>31</v>
      </c>
      <c r="H2227" s="1">
        <v>89.994000000000014</v>
      </c>
    </row>
    <row r="2228" spans="1:8" x14ac:dyDescent="0.3">
      <c r="A2228" s="2">
        <v>629</v>
      </c>
      <c r="B2228" t="s">
        <v>278</v>
      </c>
      <c r="C2228" t="s">
        <v>3220</v>
      </c>
      <c r="D2228" s="2">
        <v>1</v>
      </c>
      <c r="E2228" s="11" t="s">
        <v>204</v>
      </c>
      <c r="F2228" t="s">
        <v>55</v>
      </c>
      <c r="G2228" s="2" t="s">
        <v>31</v>
      </c>
      <c r="H2228" s="1">
        <v>42.294000000000004</v>
      </c>
    </row>
    <row r="2229" spans="1:8" x14ac:dyDescent="0.3">
      <c r="A2229" s="2">
        <v>629</v>
      </c>
      <c r="B2229" t="s">
        <v>2393</v>
      </c>
      <c r="C2229" t="s">
        <v>3224</v>
      </c>
      <c r="D2229" s="2">
        <v>1</v>
      </c>
      <c r="E2229" s="11" t="s">
        <v>2372</v>
      </c>
      <c r="F2229" t="s">
        <v>28</v>
      </c>
      <c r="G2229" s="2" t="s">
        <v>31</v>
      </c>
      <c r="H2229" s="1">
        <v>95.294000000000011</v>
      </c>
    </row>
    <row r="2230" spans="1:8" x14ac:dyDescent="0.3">
      <c r="A2230" s="2">
        <v>629</v>
      </c>
      <c r="B2230" t="s">
        <v>2392</v>
      </c>
      <c r="C2230" t="s">
        <v>3217</v>
      </c>
      <c r="D2230" s="2">
        <v>1</v>
      </c>
      <c r="E2230" s="11" t="s">
        <v>1285</v>
      </c>
      <c r="F2230" t="s">
        <v>28</v>
      </c>
      <c r="G2230" s="2" t="s">
        <v>31</v>
      </c>
      <c r="H2230" s="1">
        <v>42.294000000000004</v>
      </c>
    </row>
    <row r="2231" spans="1:8" x14ac:dyDescent="0.3">
      <c r="A2231" s="2">
        <v>629</v>
      </c>
      <c r="B2231" t="s">
        <v>2391</v>
      </c>
      <c r="C2231" t="s">
        <v>3224</v>
      </c>
      <c r="D2231" s="2">
        <v>1</v>
      </c>
      <c r="E2231" s="11" t="s">
        <v>2367</v>
      </c>
      <c r="F2231" t="s">
        <v>62</v>
      </c>
      <c r="G2231" s="2" t="s">
        <v>23</v>
      </c>
      <c r="H2231" s="1">
        <v>58.19400000000001</v>
      </c>
    </row>
    <row r="2232" spans="1:8" x14ac:dyDescent="0.3">
      <c r="A2232" s="2">
        <v>629</v>
      </c>
      <c r="B2232" t="s">
        <v>2390</v>
      </c>
      <c r="C2232" t="s">
        <v>3224</v>
      </c>
      <c r="D2232" s="2">
        <v>1</v>
      </c>
      <c r="E2232" s="11" t="s">
        <v>1926</v>
      </c>
      <c r="F2232" t="s">
        <v>62</v>
      </c>
      <c r="G2232" s="2" t="s">
        <v>23</v>
      </c>
      <c r="H2232" s="1">
        <v>116.49400000000001</v>
      </c>
    </row>
    <row r="2233" spans="1:8" x14ac:dyDescent="0.3">
      <c r="A2233" s="2">
        <v>629</v>
      </c>
      <c r="B2233" t="s">
        <v>2389</v>
      </c>
      <c r="C2233" t="s">
        <v>3220</v>
      </c>
      <c r="D2233" s="2">
        <v>1</v>
      </c>
      <c r="E2233" s="11" t="s">
        <v>204</v>
      </c>
      <c r="F2233" t="s">
        <v>62</v>
      </c>
      <c r="G2233" s="2" t="s">
        <v>23</v>
      </c>
      <c r="H2233" s="1">
        <v>42.294000000000004</v>
      </c>
    </row>
    <row r="2234" spans="1:8" x14ac:dyDescent="0.3">
      <c r="A2234" s="2">
        <v>629</v>
      </c>
      <c r="B2234" t="s">
        <v>2388</v>
      </c>
      <c r="C2234" t="s">
        <v>3224</v>
      </c>
      <c r="D2234" s="2">
        <v>1</v>
      </c>
      <c r="E2234" s="11" t="s">
        <v>2379</v>
      </c>
      <c r="F2234" t="s">
        <v>28</v>
      </c>
      <c r="G2234" s="2" t="s">
        <v>23</v>
      </c>
      <c r="H2234" s="1">
        <v>95.294000000000011</v>
      </c>
    </row>
    <row r="2235" spans="1:8" x14ac:dyDescent="0.3">
      <c r="A2235" s="2">
        <v>629</v>
      </c>
      <c r="B2235" t="s">
        <v>289</v>
      </c>
      <c r="C2235" t="s">
        <v>3220</v>
      </c>
      <c r="D2235" s="2">
        <v>1</v>
      </c>
      <c r="E2235" s="11" t="s">
        <v>204</v>
      </c>
      <c r="F2235" t="s">
        <v>28</v>
      </c>
      <c r="G2235" s="2" t="s">
        <v>23</v>
      </c>
      <c r="H2235" s="1">
        <v>42.294000000000004</v>
      </c>
    </row>
    <row r="2236" spans="1:8" x14ac:dyDescent="0.3">
      <c r="A2236" s="2">
        <v>629</v>
      </c>
      <c r="B2236" t="s">
        <v>2387</v>
      </c>
      <c r="C2236" t="s">
        <v>3224</v>
      </c>
      <c r="D2236" s="2">
        <v>1</v>
      </c>
      <c r="E2236" s="11" t="s">
        <v>2381</v>
      </c>
      <c r="F2236" t="s">
        <v>114</v>
      </c>
      <c r="G2236" s="2" t="s">
        <v>23</v>
      </c>
      <c r="H2236" s="1">
        <v>36.994</v>
      </c>
    </row>
    <row r="2237" spans="1:8" x14ac:dyDescent="0.3">
      <c r="A2237" s="2">
        <v>629</v>
      </c>
      <c r="B2237" t="s">
        <v>2386</v>
      </c>
      <c r="C2237" t="s">
        <v>3224</v>
      </c>
      <c r="D2237" s="2">
        <v>1</v>
      </c>
      <c r="E2237" s="11" t="s">
        <v>2379</v>
      </c>
      <c r="F2237" t="s">
        <v>114</v>
      </c>
      <c r="G2237" s="2" t="s">
        <v>23</v>
      </c>
      <c r="H2237" s="1">
        <v>95.294000000000011</v>
      </c>
    </row>
    <row r="2238" spans="1:8" x14ac:dyDescent="0.3">
      <c r="A2238" s="2">
        <v>629</v>
      </c>
      <c r="B2238" t="s">
        <v>2385</v>
      </c>
      <c r="C2238" t="s">
        <v>3224</v>
      </c>
      <c r="D2238" s="2">
        <v>1</v>
      </c>
      <c r="E2238" s="11" t="s">
        <v>2367</v>
      </c>
      <c r="F2238" t="s">
        <v>114</v>
      </c>
      <c r="G2238" s="2" t="s">
        <v>31</v>
      </c>
      <c r="H2238" s="1">
        <v>58.19400000000001</v>
      </c>
    </row>
    <row r="2239" spans="1:8" x14ac:dyDescent="0.3">
      <c r="A2239" s="2">
        <v>629</v>
      </c>
      <c r="B2239" t="s">
        <v>2384</v>
      </c>
      <c r="C2239" t="s">
        <v>3224</v>
      </c>
      <c r="D2239" s="2">
        <v>1</v>
      </c>
      <c r="E2239" s="11" t="s">
        <v>2150</v>
      </c>
      <c r="F2239" t="s">
        <v>114</v>
      </c>
      <c r="G2239" s="2" t="s">
        <v>31</v>
      </c>
      <c r="H2239" s="1">
        <v>74.094000000000008</v>
      </c>
    </row>
    <row r="2240" spans="1:8" x14ac:dyDescent="0.3">
      <c r="A2240" s="2">
        <v>629</v>
      </c>
      <c r="B2240" t="s">
        <v>2224</v>
      </c>
      <c r="C2240" t="s">
        <v>3224</v>
      </c>
      <c r="D2240" s="2">
        <v>1</v>
      </c>
      <c r="E2240" s="11" t="s">
        <v>1811</v>
      </c>
      <c r="F2240" t="s">
        <v>114</v>
      </c>
      <c r="G2240" s="2" t="s">
        <v>31</v>
      </c>
      <c r="H2240" s="1">
        <v>100.59400000000001</v>
      </c>
    </row>
    <row r="2241" spans="1:8" x14ac:dyDescent="0.3">
      <c r="A2241" s="2">
        <v>629</v>
      </c>
      <c r="B2241" t="s">
        <v>1596</v>
      </c>
      <c r="C2241" t="s">
        <v>1</v>
      </c>
      <c r="D2241" s="2">
        <v>1</v>
      </c>
      <c r="E2241" s="11" t="s">
        <v>189</v>
      </c>
      <c r="F2241" t="s">
        <v>114</v>
      </c>
      <c r="G2241" s="2" t="s">
        <v>23</v>
      </c>
      <c r="H2241" s="1">
        <v>63.494000000000007</v>
      </c>
    </row>
    <row r="2242" spans="1:8" x14ac:dyDescent="0.3">
      <c r="A2242" s="2">
        <v>629</v>
      </c>
      <c r="B2242" t="s">
        <v>2383</v>
      </c>
      <c r="C2242" t="s">
        <v>3224</v>
      </c>
      <c r="D2242" s="2">
        <v>1</v>
      </c>
      <c r="E2242" s="11" t="s">
        <v>2320</v>
      </c>
      <c r="F2242" t="s">
        <v>114</v>
      </c>
      <c r="G2242" s="2" t="s">
        <v>23</v>
      </c>
      <c r="H2242" s="1">
        <v>89.994000000000014</v>
      </c>
    </row>
    <row r="2243" spans="1:8" x14ac:dyDescent="0.3">
      <c r="A2243" s="2">
        <v>629</v>
      </c>
      <c r="B2243" t="s">
        <v>2263</v>
      </c>
      <c r="C2243" t="s">
        <v>3220</v>
      </c>
      <c r="D2243" s="2">
        <v>1</v>
      </c>
      <c r="E2243" s="11" t="s">
        <v>204</v>
      </c>
      <c r="F2243" t="s">
        <v>114</v>
      </c>
      <c r="G2243" s="2" t="s">
        <v>31</v>
      </c>
      <c r="H2243" s="1">
        <v>42.294000000000004</v>
      </c>
    </row>
    <row r="2244" spans="1:8" x14ac:dyDescent="0.3">
      <c r="A2244" s="2">
        <v>629</v>
      </c>
      <c r="B2244" t="s">
        <v>2294</v>
      </c>
      <c r="C2244" t="s">
        <v>1</v>
      </c>
      <c r="D2244" s="2">
        <v>1</v>
      </c>
      <c r="E2244" s="11" t="s">
        <v>2269</v>
      </c>
      <c r="F2244" t="s">
        <v>683</v>
      </c>
      <c r="G2244" s="2" t="s">
        <v>31</v>
      </c>
      <c r="H2244" s="1">
        <v>74.094000000000008</v>
      </c>
    </row>
    <row r="2245" spans="1:8" x14ac:dyDescent="0.3">
      <c r="A2245" s="2">
        <v>629</v>
      </c>
      <c r="B2245" t="s">
        <v>283</v>
      </c>
      <c r="C2245" t="s">
        <v>3220</v>
      </c>
      <c r="D2245" s="2">
        <v>1</v>
      </c>
      <c r="E2245" s="11" t="s">
        <v>204</v>
      </c>
      <c r="F2245" t="s">
        <v>276</v>
      </c>
      <c r="G2245" s="2" t="s">
        <v>23</v>
      </c>
      <c r="H2245" s="1">
        <v>42.294000000000004</v>
      </c>
    </row>
    <row r="2246" spans="1:8" x14ac:dyDescent="0.3">
      <c r="A2246" s="2">
        <v>629</v>
      </c>
      <c r="B2246" t="s">
        <v>2382</v>
      </c>
      <c r="C2246" t="s">
        <v>3224</v>
      </c>
      <c r="D2246" s="2">
        <v>1</v>
      </c>
      <c r="E2246" s="11" t="s">
        <v>2381</v>
      </c>
      <c r="F2246" t="s">
        <v>47</v>
      </c>
      <c r="G2246" s="2" t="s">
        <v>31</v>
      </c>
      <c r="H2246" s="1">
        <v>36.994</v>
      </c>
    </row>
    <row r="2247" spans="1:8" x14ac:dyDescent="0.3">
      <c r="A2247" s="2">
        <v>629</v>
      </c>
      <c r="B2247" t="s">
        <v>2380</v>
      </c>
      <c r="C2247" t="s">
        <v>3224</v>
      </c>
      <c r="D2247" s="2">
        <v>1</v>
      </c>
      <c r="E2247" s="11" t="s">
        <v>2379</v>
      </c>
      <c r="F2247" t="s">
        <v>47</v>
      </c>
      <c r="G2247" s="2" t="s">
        <v>31</v>
      </c>
      <c r="H2247" s="1">
        <v>95.294000000000011</v>
      </c>
    </row>
    <row r="2248" spans="1:8" x14ac:dyDescent="0.3">
      <c r="A2248" s="2">
        <v>629</v>
      </c>
      <c r="B2248" t="s">
        <v>2378</v>
      </c>
      <c r="C2248" t="s">
        <v>1</v>
      </c>
      <c r="D2248" s="2">
        <v>1</v>
      </c>
      <c r="E2248" s="11" t="s">
        <v>2269</v>
      </c>
      <c r="F2248" t="s">
        <v>47</v>
      </c>
      <c r="G2248" s="2" t="s">
        <v>23</v>
      </c>
      <c r="H2248" s="1">
        <v>74.094000000000008</v>
      </c>
    </row>
    <row r="2249" spans="1:8" x14ac:dyDescent="0.3">
      <c r="A2249" s="2">
        <v>629</v>
      </c>
      <c r="B2249" t="s">
        <v>2377</v>
      </c>
      <c r="C2249" t="s">
        <v>3224</v>
      </c>
      <c r="D2249" s="2">
        <v>1</v>
      </c>
      <c r="E2249" s="11" t="s">
        <v>2369</v>
      </c>
      <c r="F2249" t="s">
        <v>47</v>
      </c>
      <c r="G2249" s="2" t="s">
        <v>31</v>
      </c>
      <c r="H2249" s="1">
        <v>84.694000000000017</v>
      </c>
    </row>
    <row r="2250" spans="1:8" x14ac:dyDescent="0.3">
      <c r="A2250" s="2">
        <v>629</v>
      </c>
      <c r="B2250" t="s">
        <v>2376</v>
      </c>
      <c r="C2250" t="s">
        <v>3224</v>
      </c>
      <c r="D2250" s="2">
        <v>1</v>
      </c>
      <c r="E2250" s="11" t="s">
        <v>2003</v>
      </c>
      <c r="F2250" t="s">
        <v>47</v>
      </c>
      <c r="G2250" s="2" t="s">
        <v>31</v>
      </c>
      <c r="H2250" s="1">
        <v>89.994000000000014</v>
      </c>
    </row>
    <row r="2251" spans="1:8" x14ac:dyDescent="0.3">
      <c r="A2251" s="2">
        <v>629</v>
      </c>
      <c r="B2251" t="s">
        <v>2148</v>
      </c>
      <c r="C2251" t="s">
        <v>1</v>
      </c>
      <c r="D2251" s="2">
        <v>1</v>
      </c>
      <c r="E2251" s="11" t="s">
        <v>1966</v>
      </c>
      <c r="F2251" t="s">
        <v>47</v>
      </c>
      <c r="G2251" s="2" t="s">
        <v>31</v>
      </c>
      <c r="H2251" s="1">
        <v>52.893999999999998</v>
      </c>
    </row>
    <row r="2252" spans="1:8" x14ac:dyDescent="0.3">
      <c r="A2252" s="2">
        <v>629</v>
      </c>
      <c r="B2252" t="s">
        <v>2375</v>
      </c>
      <c r="C2252" t="s">
        <v>3224</v>
      </c>
      <c r="D2252" s="2">
        <v>1</v>
      </c>
      <c r="E2252" s="11" t="s">
        <v>2320</v>
      </c>
      <c r="F2252" t="s">
        <v>47</v>
      </c>
      <c r="G2252" s="2" t="s">
        <v>31</v>
      </c>
      <c r="H2252" s="1">
        <v>89.994000000000014</v>
      </c>
    </row>
    <row r="2253" spans="1:8" x14ac:dyDescent="0.3">
      <c r="A2253" s="2">
        <v>629</v>
      </c>
      <c r="B2253" t="s">
        <v>266</v>
      </c>
      <c r="C2253" t="s">
        <v>3220</v>
      </c>
      <c r="D2253" s="2">
        <v>1</v>
      </c>
      <c r="E2253" s="11" t="s">
        <v>204</v>
      </c>
      <c r="F2253" t="s">
        <v>47</v>
      </c>
      <c r="G2253" s="2" t="s">
        <v>31</v>
      </c>
      <c r="H2253" s="1">
        <v>42.294000000000004</v>
      </c>
    </row>
    <row r="2254" spans="1:8" x14ac:dyDescent="0.3">
      <c r="A2254" s="2">
        <v>629</v>
      </c>
      <c r="B2254" t="s">
        <v>2374</v>
      </c>
      <c r="C2254" t="s">
        <v>1</v>
      </c>
      <c r="D2254" s="2">
        <v>1</v>
      </c>
      <c r="E2254" s="11" t="s">
        <v>279</v>
      </c>
      <c r="F2254" t="s">
        <v>47</v>
      </c>
      <c r="G2254" s="2" t="s">
        <v>23</v>
      </c>
      <c r="H2254" s="1">
        <v>47.594000000000001</v>
      </c>
    </row>
    <row r="2255" spans="1:8" x14ac:dyDescent="0.3">
      <c r="A2255" s="2">
        <v>629</v>
      </c>
      <c r="B2255" t="s">
        <v>2373</v>
      </c>
      <c r="C2255" t="s">
        <v>3224</v>
      </c>
      <c r="D2255" s="2">
        <v>1</v>
      </c>
      <c r="E2255" s="11" t="s">
        <v>2372</v>
      </c>
      <c r="F2255" t="s">
        <v>39</v>
      </c>
      <c r="G2255" s="2" t="s">
        <v>23</v>
      </c>
      <c r="H2255" s="1">
        <v>95.294000000000011</v>
      </c>
    </row>
    <row r="2256" spans="1:8" x14ac:dyDescent="0.3">
      <c r="A2256" s="2">
        <v>629</v>
      </c>
      <c r="B2256" t="s">
        <v>2202</v>
      </c>
      <c r="C2256" t="s">
        <v>2</v>
      </c>
      <c r="D2256" s="2">
        <v>1</v>
      </c>
      <c r="E2256" s="11" t="s">
        <v>2128</v>
      </c>
      <c r="F2256" t="s">
        <v>39</v>
      </c>
      <c r="G2256" s="2" t="s">
        <v>23</v>
      </c>
      <c r="H2256" s="1">
        <v>116.49400000000001</v>
      </c>
    </row>
    <row r="2257" spans="1:8" x14ac:dyDescent="0.3">
      <c r="A2257" s="2">
        <v>629</v>
      </c>
      <c r="B2257" t="s">
        <v>1812</v>
      </c>
      <c r="C2257" t="s">
        <v>3224</v>
      </c>
      <c r="D2257" s="2">
        <v>1</v>
      </c>
      <c r="E2257" s="11" t="s">
        <v>1811</v>
      </c>
      <c r="F2257" t="s">
        <v>39</v>
      </c>
      <c r="G2257" s="2" t="s">
        <v>23</v>
      </c>
      <c r="H2257" s="1">
        <v>100.59400000000001</v>
      </c>
    </row>
    <row r="2258" spans="1:8" x14ac:dyDescent="0.3">
      <c r="A2258" s="2">
        <v>629</v>
      </c>
      <c r="B2258" t="s">
        <v>2112</v>
      </c>
      <c r="C2258" t="s">
        <v>3224</v>
      </c>
      <c r="D2258" s="2">
        <v>1</v>
      </c>
      <c r="E2258" s="11" t="s">
        <v>1248</v>
      </c>
      <c r="F2258" t="s">
        <v>39</v>
      </c>
      <c r="G2258" s="2" t="s">
        <v>31</v>
      </c>
      <c r="H2258" s="1">
        <v>95.294000000000011</v>
      </c>
    </row>
    <row r="2259" spans="1:8" x14ac:dyDescent="0.3">
      <c r="A2259" s="2">
        <v>629</v>
      </c>
      <c r="B2259" t="s">
        <v>1992</v>
      </c>
      <c r="C2259" t="s">
        <v>3224</v>
      </c>
      <c r="D2259" s="2">
        <v>1</v>
      </c>
      <c r="E2259" s="11" t="s">
        <v>1982</v>
      </c>
      <c r="F2259" t="s">
        <v>39</v>
      </c>
      <c r="G2259" s="2" t="s">
        <v>23</v>
      </c>
      <c r="H2259" s="1">
        <v>111.19400000000002</v>
      </c>
    </row>
    <row r="2260" spans="1:8" x14ac:dyDescent="0.3">
      <c r="A2260" s="2">
        <v>629</v>
      </c>
      <c r="B2260" t="s">
        <v>2371</v>
      </c>
      <c r="C2260" t="s">
        <v>3</v>
      </c>
      <c r="D2260" s="2">
        <v>1</v>
      </c>
      <c r="E2260" s="11" t="s">
        <v>1544</v>
      </c>
      <c r="F2260" t="s">
        <v>39</v>
      </c>
      <c r="G2260" s="2" t="s">
        <v>23</v>
      </c>
      <c r="H2260" s="1">
        <v>95.294000000000011</v>
      </c>
    </row>
    <row r="2261" spans="1:8" x14ac:dyDescent="0.3">
      <c r="A2261" s="2">
        <v>629</v>
      </c>
      <c r="B2261" t="s">
        <v>2327</v>
      </c>
      <c r="C2261" t="s">
        <v>1</v>
      </c>
      <c r="D2261" s="2">
        <v>1</v>
      </c>
      <c r="E2261" s="11" t="s">
        <v>1990</v>
      </c>
      <c r="F2261" t="s">
        <v>39</v>
      </c>
      <c r="G2261" s="2" t="s">
        <v>23</v>
      </c>
      <c r="H2261" s="1">
        <v>58.19400000000001</v>
      </c>
    </row>
    <row r="2262" spans="1:8" x14ac:dyDescent="0.3">
      <c r="A2262" s="2">
        <v>629</v>
      </c>
      <c r="B2262" t="s">
        <v>1308</v>
      </c>
      <c r="C2262" t="s">
        <v>1</v>
      </c>
      <c r="D2262" s="2">
        <v>1</v>
      </c>
      <c r="E2262" s="11" t="s">
        <v>281</v>
      </c>
      <c r="F2262" t="s">
        <v>39</v>
      </c>
      <c r="G2262" s="2" t="s">
        <v>31</v>
      </c>
      <c r="H2262" s="1">
        <v>58.194000000000003</v>
      </c>
    </row>
    <row r="2263" spans="1:8" x14ac:dyDescent="0.3">
      <c r="A2263" s="2">
        <v>629</v>
      </c>
      <c r="B2263" t="s">
        <v>1121</v>
      </c>
      <c r="C2263" t="s">
        <v>3220</v>
      </c>
      <c r="D2263" s="2">
        <v>1</v>
      </c>
      <c r="E2263" s="11" t="s">
        <v>204</v>
      </c>
      <c r="F2263" t="s">
        <v>39</v>
      </c>
      <c r="G2263" s="2" t="s">
        <v>31</v>
      </c>
      <c r="H2263" s="1">
        <v>42.294000000000004</v>
      </c>
    </row>
    <row r="2264" spans="1:8" x14ac:dyDescent="0.3">
      <c r="A2264" s="2">
        <v>629</v>
      </c>
      <c r="B2264" t="s">
        <v>706</v>
      </c>
      <c r="C2264" t="s">
        <v>3220</v>
      </c>
      <c r="D2264" s="2">
        <v>1</v>
      </c>
      <c r="E2264" s="11" t="s">
        <v>204</v>
      </c>
      <c r="F2264" t="s">
        <v>36</v>
      </c>
      <c r="G2264" s="2" t="s">
        <v>23</v>
      </c>
      <c r="H2264" s="1">
        <v>42.294000000000004</v>
      </c>
    </row>
    <row r="2265" spans="1:8" x14ac:dyDescent="0.3">
      <c r="A2265" s="2">
        <v>629</v>
      </c>
      <c r="B2265" t="s">
        <v>2370</v>
      </c>
      <c r="C2265" t="s">
        <v>3224</v>
      </c>
      <c r="D2265" s="2">
        <v>1</v>
      </c>
      <c r="E2265" s="11" t="s">
        <v>2369</v>
      </c>
      <c r="F2265" t="s">
        <v>28</v>
      </c>
      <c r="G2265" s="2" t="s">
        <v>23</v>
      </c>
      <c r="H2265" s="1">
        <v>84.694000000000017</v>
      </c>
    </row>
    <row r="2266" spans="1:8" x14ac:dyDescent="0.3">
      <c r="A2266" s="2">
        <v>629</v>
      </c>
      <c r="B2266" t="s">
        <v>2348</v>
      </c>
      <c r="C2266" t="s">
        <v>3224</v>
      </c>
      <c r="D2266" s="2">
        <v>1</v>
      </c>
      <c r="E2266" s="11" t="s">
        <v>2003</v>
      </c>
      <c r="F2266" t="s">
        <v>28</v>
      </c>
      <c r="G2266" s="2" t="s">
        <v>23</v>
      </c>
      <c r="H2266" s="1">
        <v>89.994000000000014</v>
      </c>
    </row>
    <row r="2267" spans="1:8" x14ac:dyDescent="0.3">
      <c r="A2267" s="2">
        <v>629</v>
      </c>
      <c r="B2267" t="s">
        <v>2368</v>
      </c>
      <c r="C2267" t="s">
        <v>3224</v>
      </c>
      <c r="D2267" s="2">
        <v>1</v>
      </c>
      <c r="E2267" s="11" t="s">
        <v>2367</v>
      </c>
      <c r="F2267" t="s">
        <v>28</v>
      </c>
      <c r="G2267" s="2" t="s">
        <v>31</v>
      </c>
      <c r="H2267" s="1">
        <v>58.19400000000001</v>
      </c>
    </row>
    <row r="2268" spans="1:8" x14ac:dyDescent="0.3">
      <c r="A2268" s="2">
        <v>629</v>
      </c>
      <c r="B2268" t="s">
        <v>2366</v>
      </c>
      <c r="C2268" t="s">
        <v>1</v>
      </c>
      <c r="D2268" s="2">
        <v>1</v>
      </c>
      <c r="E2268" s="11" t="s">
        <v>279</v>
      </c>
      <c r="F2268" t="s">
        <v>28</v>
      </c>
      <c r="G2268" s="2" t="s">
        <v>23</v>
      </c>
      <c r="H2268" s="1">
        <v>47.594000000000001</v>
      </c>
    </row>
    <row r="2269" spans="1:8" x14ac:dyDescent="0.3">
      <c r="A2269" s="2">
        <v>630</v>
      </c>
      <c r="B2269" t="s">
        <v>131</v>
      </c>
      <c r="C2269" t="s">
        <v>3219</v>
      </c>
      <c r="D2269" s="2">
        <v>1</v>
      </c>
      <c r="E2269" s="11" t="s">
        <v>102</v>
      </c>
      <c r="F2269" t="s">
        <v>65</v>
      </c>
      <c r="G2269" s="2" t="s">
        <v>4</v>
      </c>
      <c r="H2269" s="1">
        <v>121.79400000000001</v>
      </c>
    </row>
    <row r="2270" spans="1:8" x14ac:dyDescent="0.3">
      <c r="A2270" s="2">
        <v>630</v>
      </c>
      <c r="B2270" t="s">
        <v>369</v>
      </c>
      <c r="C2270" t="s">
        <v>3219</v>
      </c>
      <c r="D2270" s="2">
        <v>1</v>
      </c>
      <c r="E2270" s="11" t="s">
        <v>102</v>
      </c>
      <c r="F2270" t="s">
        <v>65</v>
      </c>
      <c r="G2270" s="2" t="s">
        <v>31</v>
      </c>
      <c r="H2270" s="1">
        <v>121.79400000000001</v>
      </c>
    </row>
    <row r="2271" spans="1:8" x14ac:dyDescent="0.3">
      <c r="A2271" s="2">
        <v>630</v>
      </c>
      <c r="B2271" t="s">
        <v>1385</v>
      </c>
      <c r="C2271" t="s">
        <v>3219</v>
      </c>
      <c r="D2271" s="2">
        <v>1</v>
      </c>
      <c r="E2271" s="11" t="s">
        <v>102</v>
      </c>
      <c r="F2271" t="s">
        <v>65</v>
      </c>
      <c r="G2271" s="2" t="s">
        <v>23</v>
      </c>
      <c r="H2271" s="1">
        <v>121.79400000000001</v>
      </c>
    </row>
    <row r="2272" spans="1:8" x14ac:dyDescent="0.3">
      <c r="A2272" s="2">
        <v>630</v>
      </c>
      <c r="B2272" t="s">
        <v>2275</v>
      </c>
      <c r="C2272" t="s">
        <v>1</v>
      </c>
      <c r="D2272" s="2">
        <v>1</v>
      </c>
      <c r="E2272" s="11" t="s">
        <v>243</v>
      </c>
      <c r="F2272" t="s">
        <v>65</v>
      </c>
      <c r="G2272" s="2" t="s">
        <v>4</v>
      </c>
      <c r="H2272" s="1">
        <v>31.693999999999999</v>
      </c>
    </row>
    <row r="2273" spans="1:8" x14ac:dyDescent="0.3">
      <c r="A2273" s="2">
        <v>630</v>
      </c>
      <c r="B2273" t="s">
        <v>2365</v>
      </c>
      <c r="C2273" t="s">
        <v>1</v>
      </c>
      <c r="D2273" s="2">
        <v>1</v>
      </c>
      <c r="E2273" s="11" t="s">
        <v>2267</v>
      </c>
      <c r="F2273" t="s">
        <v>28</v>
      </c>
      <c r="G2273" s="2" t="s">
        <v>4</v>
      </c>
      <c r="H2273" s="1">
        <v>89.994000000000014</v>
      </c>
    </row>
    <row r="2274" spans="1:8" x14ac:dyDescent="0.3">
      <c r="A2274" s="2">
        <v>630</v>
      </c>
      <c r="B2274" t="s">
        <v>2364</v>
      </c>
      <c r="C2274" t="s">
        <v>1</v>
      </c>
      <c r="D2274" s="2">
        <v>1</v>
      </c>
      <c r="E2274" s="11" t="s">
        <v>2267</v>
      </c>
      <c r="F2274" t="s">
        <v>28</v>
      </c>
      <c r="G2274" s="2" t="s">
        <v>31</v>
      </c>
      <c r="H2274" s="1">
        <v>89.994000000000014</v>
      </c>
    </row>
    <row r="2275" spans="1:8" x14ac:dyDescent="0.3">
      <c r="A2275" s="2">
        <v>630</v>
      </c>
      <c r="B2275" t="s">
        <v>2363</v>
      </c>
      <c r="C2275" t="s">
        <v>1</v>
      </c>
      <c r="D2275" s="2">
        <v>2</v>
      </c>
      <c r="E2275" s="11" t="s">
        <v>2267</v>
      </c>
      <c r="F2275" t="s">
        <v>28</v>
      </c>
      <c r="G2275" s="2" t="s">
        <v>23</v>
      </c>
      <c r="H2275" s="1">
        <v>89.994000000000014</v>
      </c>
    </row>
    <row r="2276" spans="1:8" x14ac:dyDescent="0.3">
      <c r="A2276" s="2">
        <v>630</v>
      </c>
      <c r="B2276" t="s">
        <v>724</v>
      </c>
      <c r="C2276" t="s">
        <v>1</v>
      </c>
      <c r="D2276" s="2">
        <v>1</v>
      </c>
      <c r="E2276" s="11" t="s">
        <v>222</v>
      </c>
      <c r="F2276" t="s">
        <v>28</v>
      </c>
      <c r="G2276" s="2" t="s">
        <v>4</v>
      </c>
      <c r="H2276" s="1">
        <v>52.893999999999998</v>
      </c>
    </row>
    <row r="2277" spans="1:8" x14ac:dyDescent="0.3">
      <c r="A2277" s="2">
        <v>630</v>
      </c>
      <c r="B2277" t="s">
        <v>2362</v>
      </c>
      <c r="C2277" t="s">
        <v>1</v>
      </c>
      <c r="D2277" s="2">
        <v>1</v>
      </c>
      <c r="E2277" s="11" t="s">
        <v>222</v>
      </c>
      <c r="F2277" t="s">
        <v>28</v>
      </c>
      <c r="G2277" s="2" t="s">
        <v>203</v>
      </c>
      <c r="H2277" s="1">
        <v>52.893999999999998</v>
      </c>
    </row>
    <row r="2278" spans="1:8" x14ac:dyDescent="0.3">
      <c r="A2278" s="2">
        <v>630</v>
      </c>
      <c r="B2278" t="s">
        <v>723</v>
      </c>
      <c r="C2278" t="s">
        <v>1</v>
      </c>
      <c r="D2278" s="2">
        <v>1</v>
      </c>
      <c r="E2278" s="11" t="s">
        <v>222</v>
      </c>
      <c r="F2278" t="s">
        <v>28</v>
      </c>
      <c r="G2278" s="2" t="s">
        <v>31</v>
      </c>
      <c r="H2278" s="1">
        <v>52.893999999999998</v>
      </c>
    </row>
    <row r="2279" spans="1:8" x14ac:dyDescent="0.3">
      <c r="A2279" s="2">
        <v>630</v>
      </c>
      <c r="B2279" t="s">
        <v>722</v>
      </c>
      <c r="C2279" t="s">
        <v>1</v>
      </c>
      <c r="D2279" s="2">
        <v>2</v>
      </c>
      <c r="E2279" s="11" t="s">
        <v>222</v>
      </c>
      <c r="F2279" t="s">
        <v>28</v>
      </c>
      <c r="G2279" s="2" t="s">
        <v>23</v>
      </c>
      <c r="H2279" s="1">
        <v>52.893999999999998</v>
      </c>
    </row>
    <row r="2280" spans="1:8" x14ac:dyDescent="0.3">
      <c r="A2280" s="2">
        <v>630</v>
      </c>
      <c r="B2280" t="s">
        <v>1266</v>
      </c>
      <c r="C2280" t="s">
        <v>1</v>
      </c>
      <c r="D2280" s="2">
        <v>1</v>
      </c>
      <c r="E2280" s="11" t="s">
        <v>189</v>
      </c>
      <c r="F2280" t="s">
        <v>62</v>
      </c>
      <c r="G2280" s="2" t="s">
        <v>4</v>
      </c>
      <c r="H2280" s="1">
        <v>63.494000000000007</v>
      </c>
    </row>
    <row r="2281" spans="1:8" x14ac:dyDescent="0.3">
      <c r="A2281" s="2">
        <v>630</v>
      </c>
      <c r="B2281" t="s">
        <v>1079</v>
      </c>
      <c r="C2281" t="s">
        <v>1</v>
      </c>
      <c r="D2281" s="2">
        <v>1</v>
      </c>
      <c r="E2281" s="11" t="s">
        <v>189</v>
      </c>
      <c r="F2281" t="s">
        <v>62</v>
      </c>
      <c r="G2281" s="2" t="s">
        <v>31</v>
      </c>
      <c r="H2281" s="1">
        <v>63.494000000000007</v>
      </c>
    </row>
    <row r="2282" spans="1:8" x14ac:dyDescent="0.3">
      <c r="A2282" s="2">
        <v>630</v>
      </c>
      <c r="B2282" t="s">
        <v>2098</v>
      </c>
      <c r="C2282" t="s">
        <v>1</v>
      </c>
      <c r="D2282" s="2">
        <v>2</v>
      </c>
      <c r="E2282" s="11" t="s">
        <v>243</v>
      </c>
      <c r="F2282" t="s">
        <v>241</v>
      </c>
      <c r="G2282" s="2" t="s">
        <v>23</v>
      </c>
      <c r="H2282" s="1">
        <v>31.693999999999999</v>
      </c>
    </row>
    <row r="2283" spans="1:8" x14ac:dyDescent="0.3">
      <c r="A2283" s="2">
        <v>630</v>
      </c>
      <c r="B2283" t="s">
        <v>2361</v>
      </c>
      <c r="C2283" t="s">
        <v>3219</v>
      </c>
      <c r="D2283" s="2">
        <v>1</v>
      </c>
      <c r="E2283" s="11" t="s">
        <v>2338</v>
      </c>
      <c r="F2283" t="s">
        <v>114</v>
      </c>
      <c r="G2283" s="2" t="s">
        <v>31</v>
      </c>
      <c r="H2283" s="1">
        <v>153.59400000000002</v>
      </c>
    </row>
    <row r="2284" spans="1:8" x14ac:dyDescent="0.3">
      <c r="A2284" s="2">
        <v>630</v>
      </c>
      <c r="B2284" t="s">
        <v>2360</v>
      </c>
      <c r="C2284" t="s">
        <v>3219</v>
      </c>
      <c r="D2284" s="2">
        <v>1</v>
      </c>
      <c r="E2284" s="11" t="s">
        <v>2338</v>
      </c>
      <c r="F2284" t="s">
        <v>114</v>
      </c>
      <c r="G2284" s="2" t="s">
        <v>23</v>
      </c>
      <c r="H2284" s="1">
        <v>153.59400000000002</v>
      </c>
    </row>
    <row r="2285" spans="1:8" x14ac:dyDescent="0.3">
      <c r="A2285" s="2">
        <v>630</v>
      </c>
      <c r="B2285" t="s">
        <v>2359</v>
      </c>
      <c r="C2285" t="s">
        <v>1</v>
      </c>
      <c r="D2285" s="2">
        <v>1</v>
      </c>
      <c r="E2285" s="11" t="s">
        <v>2267</v>
      </c>
      <c r="F2285" t="s">
        <v>114</v>
      </c>
      <c r="G2285" s="2" t="s">
        <v>31</v>
      </c>
      <c r="H2285" s="1">
        <v>89.994000000000014</v>
      </c>
    </row>
    <row r="2286" spans="1:8" x14ac:dyDescent="0.3">
      <c r="A2286" s="2">
        <v>630</v>
      </c>
      <c r="B2286" t="s">
        <v>2358</v>
      </c>
      <c r="C2286" t="s">
        <v>1</v>
      </c>
      <c r="D2286" s="2">
        <v>2</v>
      </c>
      <c r="E2286" s="11" t="s">
        <v>2267</v>
      </c>
      <c r="F2286" t="s">
        <v>114</v>
      </c>
      <c r="G2286" s="2" t="s">
        <v>23</v>
      </c>
      <c r="H2286" s="1">
        <v>89.994000000000014</v>
      </c>
    </row>
    <row r="2287" spans="1:8" x14ac:dyDescent="0.3">
      <c r="A2287" s="2">
        <v>630</v>
      </c>
      <c r="B2287" t="s">
        <v>2357</v>
      </c>
      <c r="C2287" t="s">
        <v>3224</v>
      </c>
      <c r="D2287" s="2">
        <v>1</v>
      </c>
      <c r="E2287" s="11" t="s">
        <v>1897</v>
      </c>
      <c r="F2287" t="s">
        <v>114</v>
      </c>
      <c r="G2287" s="2" t="s">
        <v>31</v>
      </c>
      <c r="H2287" s="1">
        <v>52.893999999999998</v>
      </c>
    </row>
    <row r="2288" spans="1:8" x14ac:dyDescent="0.3">
      <c r="A2288" s="2">
        <v>630</v>
      </c>
      <c r="B2288" t="s">
        <v>2210</v>
      </c>
      <c r="C2288" t="s">
        <v>3224</v>
      </c>
      <c r="D2288" s="2">
        <v>1</v>
      </c>
      <c r="E2288" s="11" t="s">
        <v>1897</v>
      </c>
      <c r="F2288" t="s">
        <v>114</v>
      </c>
      <c r="G2288" s="2" t="s">
        <v>23</v>
      </c>
      <c r="H2288" s="1">
        <v>52.893999999999998</v>
      </c>
    </row>
    <row r="2289" spans="1:8" x14ac:dyDescent="0.3">
      <c r="A2289" s="2">
        <v>630</v>
      </c>
      <c r="B2289" t="s">
        <v>1415</v>
      </c>
      <c r="C2289" t="s">
        <v>1</v>
      </c>
      <c r="D2289" s="2">
        <v>1</v>
      </c>
      <c r="E2289" s="11" t="s">
        <v>189</v>
      </c>
      <c r="F2289" t="s">
        <v>114</v>
      </c>
      <c r="G2289" s="2" t="s">
        <v>4</v>
      </c>
      <c r="H2289" s="1">
        <v>63.494000000000007</v>
      </c>
    </row>
    <row r="2290" spans="1:8" x14ac:dyDescent="0.3">
      <c r="A2290" s="2">
        <v>630</v>
      </c>
      <c r="B2290" t="s">
        <v>1596</v>
      </c>
      <c r="C2290" t="s">
        <v>1</v>
      </c>
      <c r="D2290" s="2">
        <v>1</v>
      </c>
      <c r="E2290" s="11" t="s">
        <v>189</v>
      </c>
      <c r="F2290" t="s">
        <v>114</v>
      </c>
      <c r="G2290" s="2" t="s">
        <v>23</v>
      </c>
      <c r="H2290" s="1">
        <v>63.494000000000007</v>
      </c>
    </row>
    <row r="2291" spans="1:8" x14ac:dyDescent="0.3">
      <c r="A2291" s="2">
        <v>630</v>
      </c>
      <c r="B2291" t="s">
        <v>2356</v>
      </c>
      <c r="C2291" t="s">
        <v>1</v>
      </c>
      <c r="D2291" s="2">
        <v>1</v>
      </c>
      <c r="E2291" s="11" t="s">
        <v>1774</v>
      </c>
      <c r="F2291" t="s">
        <v>114</v>
      </c>
      <c r="G2291" s="2" t="s">
        <v>31</v>
      </c>
      <c r="H2291" s="1">
        <v>89.994000000000014</v>
      </c>
    </row>
    <row r="2292" spans="1:8" x14ac:dyDescent="0.3">
      <c r="A2292" s="2">
        <v>630</v>
      </c>
      <c r="B2292" t="s">
        <v>2355</v>
      </c>
      <c r="C2292" t="s">
        <v>1</v>
      </c>
      <c r="D2292" s="2">
        <v>2</v>
      </c>
      <c r="E2292" s="11" t="s">
        <v>1774</v>
      </c>
      <c r="F2292" t="s">
        <v>114</v>
      </c>
      <c r="G2292" s="2" t="s">
        <v>23</v>
      </c>
      <c r="H2292" s="1">
        <v>89.994000000000014</v>
      </c>
    </row>
    <row r="2293" spans="1:8" x14ac:dyDescent="0.3">
      <c r="A2293" s="2">
        <v>630</v>
      </c>
      <c r="B2293" t="s">
        <v>54</v>
      </c>
      <c r="C2293" t="s">
        <v>1</v>
      </c>
      <c r="D2293" s="2">
        <v>1</v>
      </c>
      <c r="E2293" s="11" t="s">
        <v>53</v>
      </c>
      <c r="F2293" t="s">
        <v>47</v>
      </c>
      <c r="G2293" s="2" t="s">
        <v>4</v>
      </c>
      <c r="H2293" s="1">
        <v>36.994</v>
      </c>
    </row>
    <row r="2294" spans="1:8" x14ac:dyDescent="0.3">
      <c r="A2294" s="2">
        <v>630</v>
      </c>
      <c r="B2294" t="s">
        <v>1595</v>
      </c>
      <c r="C2294" t="s">
        <v>1</v>
      </c>
      <c r="D2294" s="2">
        <v>1</v>
      </c>
      <c r="E2294" s="11" t="s">
        <v>53</v>
      </c>
      <c r="F2294" t="s">
        <v>47</v>
      </c>
      <c r="G2294" s="2" t="s">
        <v>31</v>
      </c>
      <c r="H2294" s="1">
        <v>36.994</v>
      </c>
    </row>
    <row r="2295" spans="1:8" x14ac:dyDescent="0.3">
      <c r="A2295" s="2">
        <v>630</v>
      </c>
      <c r="B2295" t="s">
        <v>2268</v>
      </c>
      <c r="C2295" t="s">
        <v>1</v>
      </c>
      <c r="D2295" s="2">
        <v>1</v>
      </c>
      <c r="E2295" s="11" t="s">
        <v>2267</v>
      </c>
      <c r="F2295" t="s">
        <v>47</v>
      </c>
      <c r="G2295" s="2" t="s">
        <v>4</v>
      </c>
      <c r="H2295" s="1">
        <v>89.994000000000014</v>
      </c>
    </row>
    <row r="2296" spans="1:8" x14ac:dyDescent="0.3">
      <c r="A2296" s="2">
        <v>630</v>
      </c>
      <c r="B2296" t="s">
        <v>2354</v>
      </c>
      <c r="C2296" t="s">
        <v>1</v>
      </c>
      <c r="D2296" s="2">
        <v>1</v>
      </c>
      <c r="E2296" s="11" t="s">
        <v>2267</v>
      </c>
      <c r="F2296" t="s">
        <v>47</v>
      </c>
      <c r="G2296" s="2" t="s">
        <v>31</v>
      </c>
      <c r="H2296" s="1">
        <v>89.994000000000014</v>
      </c>
    </row>
    <row r="2297" spans="1:8" x14ac:dyDescent="0.3">
      <c r="A2297" s="2">
        <v>630</v>
      </c>
      <c r="B2297" t="s">
        <v>2353</v>
      </c>
      <c r="C2297" t="s">
        <v>1</v>
      </c>
      <c r="D2297" s="2">
        <v>2</v>
      </c>
      <c r="E2297" s="11" t="s">
        <v>2267</v>
      </c>
      <c r="F2297" t="s">
        <v>47</v>
      </c>
      <c r="G2297" s="2" t="s">
        <v>23</v>
      </c>
      <c r="H2297" s="1">
        <v>89.994000000000014</v>
      </c>
    </row>
    <row r="2298" spans="1:8" x14ac:dyDescent="0.3">
      <c r="A2298" s="2">
        <v>630</v>
      </c>
      <c r="B2298" t="s">
        <v>1994</v>
      </c>
      <c r="C2298" t="s">
        <v>1</v>
      </c>
      <c r="D2298" s="2">
        <v>1</v>
      </c>
      <c r="E2298" s="11" t="s">
        <v>189</v>
      </c>
      <c r="F2298" t="s">
        <v>47</v>
      </c>
      <c r="G2298" s="2" t="s">
        <v>4</v>
      </c>
      <c r="H2298" s="1">
        <v>63.494000000000007</v>
      </c>
    </row>
    <row r="2299" spans="1:8" x14ac:dyDescent="0.3">
      <c r="A2299" s="2">
        <v>630</v>
      </c>
      <c r="B2299" t="s">
        <v>2020</v>
      </c>
      <c r="C2299" t="s">
        <v>1</v>
      </c>
      <c r="D2299" s="2">
        <v>1</v>
      </c>
      <c r="E2299" s="11" t="s">
        <v>189</v>
      </c>
      <c r="F2299" t="s">
        <v>47</v>
      </c>
      <c r="G2299" s="2" t="s">
        <v>31</v>
      </c>
      <c r="H2299" s="1">
        <v>63.494000000000007</v>
      </c>
    </row>
    <row r="2300" spans="1:8" x14ac:dyDescent="0.3">
      <c r="A2300" s="2">
        <v>630</v>
      </c>
      <c r="B2300" t="s">
        <v>2352</v>
      </c>
      <c r="C2300" t="s">
        <v>1</v>
      </c>
      <c r="D2300" s="2">
        <v>2</v>
      </c>
      <c r="E2300" s="11" t="s">
        <v>189</v>
      </c>
      <c r="F2300" t="s">
        <v>47</v>
      </c>
      <c r="G2300" s="2" t="s">
        <v>23</v>
      </c>
      <c r="H2300" s="1">
        <v>63.494000000000007</v>
      </c>
    </row>
    <row r="2301" spans="1:8" x14ac:dyDescent="0.3">
      <c r="A2301" s="2">
        <v>630</v>
      </c>
      <c r="B2301" t="s">
        <v>2351</v>
      </c>
      <c r="C2301" t="s">
        <v>1</v>
      </c>
      <c r="D2301" s="2">
        <v>1</v>
      </c>
      <c r="E2301" s="11" t="s">
        <v>1966</v>
      </c>
      <c r="F2301" t="s">
        <v>39</v>
      </c>
      <c r="G2301" s="2" t="s">
        <v>31</v>
      </c>
      <c r="H2301" s="1">
        <v>52.893999999999998</v>
      </c>
    </row>
    <row r="2302" spans="1:8" x14ac:dyDescent="0.3">
      <c r="A2302" s="2">
        <v>630</v>
      </c>
      <c r="B2302" t="s">
        <v>2256</v>
      </c>
      <c r="C2302" t="s">
        <v>1</v>
      </c>
      <c r="D2302" s="2">
        <v>1</v>
      </c>
      <c r="E2302" s="11" t="s">
        <v>1966</v>
      </c>
      <c r="F2302" t="s">
        <v>39</v>
      </c>
      <c r="G2302" s="2" t="s">
        <v>23</v>
      </c>
      <c r="H2302" s="1">
        <v>52.893999999999998</v>
      </c>
    </row>
    <row r="2303" spans="1:8" x14ac:dyDescent="0.3">
      <c r="A2303" s="2">
        <v>630</v>
      </c>
      <c r="B2303" t="s">
        <v>2111</v>
      </c>
      <c r="C2303" t="s">
        <v>1</v>
      </c>
      <c r="D2303" s="2">
        <v>1</v>
      </c>
      <c r="E2303" s="11" t="s">
        <v>1990</v>
      </c>
      <c r="F2303" t="s">
        <v>39</v>
      </c>
      <c r="G2303" s="2" t="s">
        <v>31</v>
      </c>
      <c r="H2303" s="1">
        <v>58.19400000000001</v>
      </c>
    </row>
    <row r="2304" spans="1:8" x14ac:dyDescent="0.3">
      <c r="A2304" s="2">
        <v>630</v>
      </c>
      <c r="B2304" t="s">
        <v>2327</v>
      </c>
      <c r="C2304" t="s">
        <v>1</v>
      </c>
      <c r="D2304" s="2">
        <v>2</v>
      </c>
      <c r="E2304" s="11" t="s">
        <v>1990</v>
      </c>
      <c r="F2304" t="s">
        <v>39</v>
      </c>
      <c r="G2304" s="2" t="s">
        <v>23</v>
      </c>
      <c r="H2304" s="1">
        <v>58.19400000000001</v>
      </c>
    </row>
    <row r="2305" spans="1:8" x14ac:dyDescent="0.3">
      <c r="A2305" s="2">
        <v>630</v>
      </c>
      <c r="B2305" t="s">
        <v>2350</v>
      </c>
      <c r="C2305" t="s">
        <v>1</v>
      </c>
      <c r="D2305" s="2">
        <v>1</v>
      </c>
      <c r="E2305" s="11" t="s">
        <v>1774</v>
      </c>
      <c r="F2305" t="s">
        <v>39</v>
      </c>
      <c r="G2305" s="2" t="s">
        <v>4</v>
      </c>
      <c r="H2305" s="1">
        <v>89.994000000000014</v>
      </c>
    </row>
    <row r="2306" spans="1:8" x14ac:dyDescent="0.3">
      <c r="A2306" s="2">
        <v>630</v>
      </c>
      <c r="B2306" t="s">
        <v>2287</v>
      </c>
      <c r="C2306" t="s">
        <v>1</v>
      </c>
      <c r="D2306" s="2">
        <v>1</v>
      </c>
      <c r="E2306" s="11" t="s">
        <v>1774</v>
      </c>
      <c r="F2306" t="s">
        <v>39</v>
      </c>
      <c r="G2306" s="2" t="s">
        <v>31</v>
      </c>
      <c r="H2306" s="1">
        <v>89.994000000000014</v>
      </c>
    </row>
    <row r="2307" spans="1:8" x14ac:dyDescent="0.3">
      <c r="A2307" s="2">
        <v>630</v>
      </c>
      <c r="B2307" t="s">
        <v>2326</v>
      </c>
      <c r="C2307" t="s">
        <v>1</v>
      </c>
      <c r="D2307" s="2">
        <v>3</v>
      </c>
      <c r="E2307" s="11" t="s">
        <v>1774</v>
      </c>
      <c r="F2307" t="s">
        <v>39</v>
      </c>
      <c r="G2307" s="2" t="s">
        <v>23</v>
      </c>
      <c r="H2307" s="1">
        <v>89.994000000000014</v>
      </c>
    </row>
    <row r="2308" spans="1:8" x14ac:dyDescent="0.3">
      <c r="A2308" s="2">
        <v>630</v>
      </c>
      <c r="B2308" t="s">
        <v>1308</v>
      </c>
      <c r="C2308" t="s">
        <v>1</v>
      </c>
      <c r="D2308" s="2">
        <v>1</v>
      </c>
      <c r="E2308" s="11" t="s">
        <v>281</v>
      </c>
      <c r="F2308" t="s">
        <v>39</v>
      </c>
      <c r="G2308" s="2" t="s">
        <v>31</v>
      </c>
      <c r="H2308" s="1">
        <v>58.194000000000003</v>
      </c>
    </row>
    <row r="2309" spans="1:8" x14ac:dyDescent="0.3">
      <c r="A2309" s="2">
        <v>630</v>
      </c>
      <c r="B2309" t="s">
        <v>1235</v>
      </c>
      <c r="C2309" t="s">
        <v>1</v>
      </c>
      <c r="D2309" s="2">
        <v>2</v>
      </c>
      <c r="E2309" s="11" t="s">
        <v>281</v>
      </c>
      <c r="F2309" t="s">
        <v>39</v>
      </c>
      <c r="G2309" s="2" t="s">
        <v>23</v>
      </c>
      <c r="H2309" s="1">
        <v>58.194000000000003</v>
      </c>
    </row>
    <row r="2310" spans="1:8" x14ac:dyDescent="0.3">
      <c r="A2310" s="2">
        <v>630</v>
      </c>
      <c r="B2310" t="s">
        <v>2301</v>
      </c>
      <c r="C2310" t="s">
        <v>1</v>
      </c>
      <c r="D2310" s="2">
        <v>1</v>
      </c>
      <c r="E2310" s="11" t="s">
        <v>1774</v>
      </c>
      <c r="F2310" t="s">
        <v>36</v>
      </c>
      <c r="G2310" s="2" t="s">
        <v>31</v>
      </c>
      <c r="H2310" s="1">
        <v>89.994000000000014</v>
      </c>
    </row>
    <row r="2311" spans="1:8" x14ac:dyDescent="0.3">
      <c r="A2311" s="2">
        <v>630</v>
      </c>
      <c r="B2311" t="s">
        <v>2070</v>
      </c>
      <c r="C2311" t="s">
        <v>1</v>
      </c>
      <c r="D2311" s="2">
        <v>2</v>
      </c>
      <c r="E2311" s="11" t="s">
        <v>1774</v>
      </c>
      <c r="F2311" t="s">
        <v>36</v>
      </c>
      <c r="G2311" s="2" t="s">
        <v>23</v>
      </c>
      <c r="H2311" s="1">
        <v>89.994000000000014</v>
      </c>
    </row>
    <row r="2312" spans="1:8" x14ac:dyDescent="0.3">
      <c r="A2312" s="2">
        <v>630</v>
      </c>
      <c r="B2312" t="s">
        <v>2349</v>
      </c>
      <c r="C2312" t="s">
        <v>3224</v>
      </c>
      <c r="D2312" s="2">
        <v>1</v>
      </c>
      <c r="E2312" s="11" t="s">
        <v>2003</v>
      </c>
      <c r="F2312" t="s">
        <v>28</v>
      </c>
      <c r="G2312" s="2" t="s">
        <v>31</v>
      </c>
      <c r="H2312" s="1">
        <v>89.994000000000014</v>
      </c>
    </row>
    <row r="2313" spans="1:8" x14ac:dyDescent="0.3">
      <c r="A2313" s="2">
        <v>630</v>
      </c>
      <c r="B2313" t="s">
        <v>2348</v>
      </c>
      <c r="C2313" t="s">
        <v>3224</v>
      </c>
      <c r="D2313" s="2">
        <v>2</v>
      </c>
      <c r="E2313" s="11" t="s">
        <v>2003</v>
      </c>
      <c r="F2313" t="s">
        <v>28</v>
      </c>
      <c r="G2313" s="2" t="s">
        <v>23</v>
      </c>
      <c r="H2313" s="1">
        <v>89.994000000000014</v>
      </c>
    </row>
    <row r="2314" spans="1:8" x14ac:dyDescent="0.3">
      <c r="A2314" s="2">
        <v>630</v>
      </c>
      <c r="B2314" t="s">
        <v>2193</v>
      </c>
      <c r="C2314" t="s">
        <v>3224</v>
      </c>
      <c r="D2314" s="2">
        <v>1</v>
      </c>
      <c r="E2314" s="11" t="s">
        <v>1897</v>
      </c>
      <c r="F2314" t="s">
        <v>28</v>
      </c>
      <c r="G2314" s="2" t="s">
        <v>31</v>
      </c>
      <c r="H2314" s="1">
        <v>52.893999999999998</v>
      </c>
    </row>
    <row r="2315" spans="1:8" x14ac:dyDescent="0.3">
      <c r="A2315" s="2">
        <v>630</v>
      </c>
      <c r="B2315" t="s">
        <v>2347</v>
      </c>
      <c r="C2315" t="s">
        <v>3224</v>
      </c>
      <c r="D2315" s="2">
        <v>1</v>
      </c>
      <c r="E2315" s="11" t="s">
        <v>1897</v>
      </c>
      <c r="F2315" t="s">
        <v>28</v>
      </c>
      <c r="G2315" s="2" t="s">
        <v>23</v>
      </c>
      <c r="H2315" s="1">
        <v>52.893999999999998</v>
      </c>
    </row>
    <row r="2316" spans="1:8" x14ac:dyDescent="0.3">
      <c r="A2316" s="2">
        <v>630</v>
      </c>
      <c r="B2316" t="s">
        <v>1991</v>
      </c>
      <c r="C2316" t="s">
        <v>1</v>
      </c>
      <c r="D2316" s="2">
        <v>1</v>
      </c>
      <c r="E2316" s="11" t="s">
        <v>1990</v>
      </c>
      <c r="F2316" t="s">
        <v>28</v>
      </c>
      <c r="G2316" s="2" t="s">
        <v>31</v>
      </c>
      <c r="H2316" s="1">
        <v>58.19400000000001</v>
      </c>
    </row>
    <row r="2317" spans="1:8" x14ac:dyDescent="0.3">
      <c r="A2317" s="2">
        <v>630</v>
      </c>
      <c r="B2317" t="s">
        <v>2110</v>
      </c>
      <c r="C2317" t="s">
        <v>1</v>
      </c>
      <c r="D2317" s="2">
        <v>2</v>
      </c>
      <c r="E2317" s="11" t="s">
        <v>1990</v>
      </c>
      <c r="F2317" t="s">
        <v>28</v>
      </c>
      <c r="G2317" s="2" t="s">
        <v>23</v>
      </c>
      <c r="H2317" s="1">
        <v>58.19400000000001</v>
      </c>
    </row>
    <row r="2318" spans="1:8" x14ac:dyDescent="0.3">
      <c r="A2318" s="2">
        <v>630</v>
      </c>
      <c r="B2318" t="s">
        <v>1903</v>
      </c>
      <c r="C2318" t="s">
        <v>1</v>
      </c>
      <c r="D2318" s="2">
        <v>1</v>
      </c>
      <c r="E2318" s="11" t="s">
        <v>1774</v>
      </c>
      <c r="F2318" t="s">
        <v>28</v>
      </c>
      <c r="G2318" s="2" t="s">
        <v>4</v>
      </c>
      <c r="H2318" s="1">
        <v>89.994000000000014</v>
      </c>
    </row>
    <row r="2319" spans="1:8" x14ac:dyDescent="0.3">
      <c r="A2319" s="2">
        <v>630</v>
      </c>
      <c r="B2319" t="s">
        <v>1838</v>
      </c>
      <c r="C2319" t="s">
        <v>1</v>
      </c>
      <c r="D2319" s="2">
        <v>1</v>
      </c>
      <c r="E2319" s="11" t="s">
        <v>1774</v>
      </c>
      <c r="F2319" t="s">
        <v>28</v>
      </c>
      <c r="G2319" s="2" t="s">
        <v>31</v>
      </c>
      <c r="H2319" s="1">
        <v>89.994000000000014</v>
      </c>
    </row>
    <row r="2320" spans="1:8" x14ac:dyDescent="0.3">
      <c r="A2320" s="2">
        <v>630</v>
      </c>
      <c r="B2320" t="s">
        <v>1902</v>
      </c>
      <c r="C2320" t="s">
        <v>1</v>
      </c>
      <c r="D2320" s="2">
        <v>3</v>
      </c>
      <c r="E2320" s="11" t="s">
        <v>1774</v>
      </c>
      <c r="F2320" t="s">
        <v>28</v>
      </c>
      <c r="G2320" s="2" t="s">
        <v>23</v>
      </c>
      <c r="H2320" s="1">
        <v>89.994000000000014</v>
      </c>
    </row>
    <row r="2321" spans="1:8" x14ac:dyDescent="0.3">
      <c r="A2321" s="2">
        <v>631</v>
      </c>
      <c r="B2321" t="s">
        <v>2300</v>
      </c>
      <c r="C2321" t="s">
        <v>0</v>
      </c>
      <c r="D2321" s="2">
        <v>1</v>
      </c>
      <c r="E2321" s="11" t="s">
        <v>2060</v>
      </c>
      <c r="F2321" t="s">
        <v>65</v>
      </c>
      <c r="G2321" s="2" t="s">
        <v>23</v>
      </c>
      <c r="H2321" s="1">
        <v>158.89400000000001</v>
      </c>
    </row>
    <row r="2322" spans="1:8" x14ac:dyDescent="0.3">
      <c r="A2322" s="2">
        <v>631</v>
      </c>
      <c r="B2322" t="s">
        <v>727</v>
      </c>
      <c r="C2322" t="s">
        <v>3220</v>
      </c>
      <c r="D2322" s="2">
        <v>1</v>
      </c>
      <c r="E2322" s="11" t="s">
        <v>204</v>
      </c>
      <c r="F2322" t="s">
        <v>65</v>
      </c>
      <c r="G2322" s="2" t="s">
        <v>23</v>
      </c>
      <c r="H2322" s="1">
        <v>42.294000000000004</v>
      </c>
    </row>
    <row r="2323" spans="1:8" x14ac:dyDescent="0.3">
      <c r="A2323" s="2">
        <v>631</v>
      </c>
      <c r="B2323" t="s">
        <v>2299</v>
      </c>
      <c r="C2323" t="s">
        <v>0</v>
      </c>
      <c r="D2323" s="2">
        <v>1</v>
      </c>
      <c r="E2323" s="11" t="s">
        <v>2060</v>
      </c>
      <c r="F2323" t="s">
        <v>55</v>
      </c>
      <c r="G2323" s="2" t="s">
        <v>4</v>
      </c>
      <c r="H2323" s="1">
        <v>158.89400000000001</v>
      </c>
    </row>
    <row r="2324" spans="1:8" x14ac:dyDescent="0.3">
      <c r="A2324" s="2">
        <v>631</v>
      </c>
      <c r="B2324" t="s">
        <v>2298</v>
      </c>
      <c r="C2324" t="s">
        <v>0</v>
      </c>
      <c r="D2324" s="2">
        <v>1</v>
      </c>
      <c r="E2324" s="11" t="s">
        <v>2060</v>
      </c>
      <c r="F2324" t="s">
        <v>55</v>
      </c>
      <c r="G2324" s="2" t="s">
        <v>31</v>
      </c>
      <c r="H2324" s="1">
        <v>158.89400000000001</v>
      </c>
    </row>
    <row r="2325" spans="1:8" x14ac:dyDescent="0.3">
      <c r="A2325" s="2">
        <v>631</v>
      </c>
      <c r="B2325" t="s">
        <v>2297</v>
      </c>
      <c r="C2325" t="s">
        <v>0</v>
      </c>
      <c r="D2325" s="2">
        <v>2</v>
      </c>
      <c r="E2325" s="11" t="s">
        <v>2060</v>
      </c>
      <c r="F2325" t="s">
        <v>55</v>
      </c>
      <c r="G2325" s="2" t="s">
        <v>23</v>
      </c>
      <c r="H2325" s="1">
        <v>158.89400000000001</v>
      </c>
    </row>
    <row r="2326" spans="1:8" x14ac:dyDescent="0.3">
      <c r="A2326" s="2">
        <v>631</v>
      </c>
      <c r="B2326" t="s">
        <v>688</v>
      </c>
      <c r="C2326" t="s">
        <v>3220</v>
      </c>
      <c r="D2326" s="2">
        <v>1</v>
      </c>
      <c r="E2326" s="11" t="s">
        <v>204</v>
      </c>
      <c r="F2326" t="s">
        <v>28</v>
      </c>
      <c r="G2326" s="2" t="s">
        <v>4</v>
      </c>
      <c r="H2326" s="1">
        <v>42.294000000000004</v>
      </c>
    </row>
    <row r="2327" spans="1:8" x14ac:dyDescent="0.3">
      <c r="A2327" s="2">
        <v>631</v>
      </c>
      <c r="B2327" t="s">
        <v>1003</v>
      </c>
      <c r="C2327" t="s">
        <v>3220</v>
      </c>
      <c r="D2327" s="2">
        <v>1</v>
      </c>
      <c r="E2327" s="11" t="s">
        <v>204</v>
      </c>
      <c r="F2327" t="s">
        <v>28</v>
      </c>
      <c r="G2327" s="2" t="s">
        <v>203</v>
      </c>
      <c r="H2327" s="1">
        <v>42.294000000000004</v>
      </c>
    </row>
    <row r="2328" spans="1:8" x14ac:dyDescent="0.3">
      <c r="A2328" s="2">
        <v>631</v>
      </c>
      <c r="B2328" t="s">
        <v>717</v>
      </c>
      <c r="C2328" t="s">
        <v>3220</v>
      </c>
      <c r="D2328" s="2">
        <v>1</v>
      </c>
      <c r="E2328" s="11" t="s">
        <v>204</v>
      </c>
      <c r="F2328" t="s">
        <v>28</v>
      </c>
      <c r="G2328" s="2" t="s">
        <v>31</v>
      </c>
      <c r="H2328" s="1">
        <v>42.294000000000004</v>
      </c>
    </row>
    <row r="2329" spans="1:8" x14ac:dyDescent="0.3">
      <c r="A2329" s="2">
        <v>631</v>
      </c>
      <c r="B2329" t="s">
        <v>289</v>
      </c>
      <c r="C2329" t="s">
        <v>3220</v>
      </c>
      <c r="D2329" s="2">
        <v>1</v>
      </c>
      <c r="E2329" s="11" t="s">
        <v>204</v>
      </c>
      <c r="F2329" t="s">
        <v>28</v>
      </c>
      <c r="G2329" s="2" t="s">
        <v>23</v>
      </c>
      <c r="H2329" s="1">
        <v>42.294000000000004</v>
      </c>
    </row>
    <row r="2330" spans="1:8" x14ac:dyDescent="0.3">
      <c r="A2330" s="2">
        <v>631</v>
      </c>
      <c r="B2330" t="s">
        <v>694</v>
      </c>
      <c r="C2330" t="s">
        <v>3220</v>
      </c>
      <c r="D2330" s="2">
        <v>1</v>
      </c>
      <c r="E2330" s="11" t="s">
        <v>204</v>
      </c>
      <c r="F2330" t="s">
        <v>55</v>
      </c>
      <c r="G2330" s="2" t="s">
        <v>4</v>
      </c>
      <c r="H2330" s="1">
        <v>42.294000000000004</v>
      </c>
    </row>
    <row r="2331" spans="1:8" x14ac:dyDescent="0.3">
      <c r="A2331" s="2">
        <v>631</v>
      </c>
      <c r="B2331" t="s">
        <v>278</v>
      </c>
      <c r="C2331" t="s">
        <v>3220</v>
      </c>
      <c r="D2331" s="2">
        <v>1</v>
      </c>
      <c r="E2331" s="11" t="s">
        <v>204</v>
      </c>
      <c r="F2331" t="s">
        <v>55</v>
      </c>
      <c r="G2331" s="2" t="s">
        <v>31</v>
      </c>
      <c r="H2331" s="1">
        <v>42.294000000000004</v>
      </c>
    </row>
    <row r="2332" spans="1:8" x14ac:dyDescent="0.3">
      <c r="A2332" s="2">
        <v>631</v>
      </c>
      <c r="B2332" t="s">
        <v>693</v>
      </c>
      <c r="C2332" t="s">
        <v>3220</v>
      </c>
      <c r="D2332" s="2">
        <v>1</v>
      </c>
      <c r="E2332" s="11" t="s">
        <v>204</v>
      </c>
      <c r="F2332" t="s">
        <v>55</v>
      </c>
      <c r="G2332" s="2" t="s">
        <v>23</v>
      </c>
      <c r="H2332" s="1">
        <v>42.294000000000004</v>
      </c>
    </row>
    <row r="2333" spans="1:8" x14ac:dyDescent="0.3">
      <c r="A2333" s="2">
        <v>631</v>
      </c>
      <c r="B2333" t="s">
        <v>684</v>
      </c>
      <c r="C2333" t="s">
        <v>3220</v>
      </c>
      <c r="D2333" s="2">
        <v>1</v>
      </c>
      <c r="E2333" s="11" t="s">
        <v>204</v>
      </c>
      <c r="F2333" t="s">
        <v>683</v>
      </c>
      <c r="G2333" s="2" t="s">
        <v>4</v>
      </c>
      <c r="H2333" s="1">
        <v>42.294000000000004</v>
      </c>
    </row>
    <row r="2334" spans="1:8" x14ac:dyDescent="0.3">
      <c r="A2334" s="2">
        <v>631</v>
      </c>
      <c r="B2334" t="s">
        <v>1020</v>
      </c>
      <c r="C2334" t="s">
        <v>3220</v>
      </c>
      <c r="D2334" s="2">
        <v>1</v>
      </c>
      <c r="E2334" s="11" t="s">
        <v>204</v>
      </c>
      <c r="F2334" t="s">
        <v>683</v>
      </c>
      <c r="G2334" s="2" t="s">
        <v>203</v>
      </c>
      <c r="H2334" s="1">
        <v>42.294000000000004</v>
      </c>
    </row>
    <row r="2335" spans="1:8" x14ac:dyDescent="0.3">
      <c r="A2335" s="2">
        <v>631</v>
      </c>
      <c r="B2335" t="s">
        <v>1019</v>
      </c>
      <c r="C2335" t="s">
        <v>3220</v>
      </c>
      <c r="D2335" s="2">
        <v>1</v>
      </c>
      <c r="E2335" s="11" t="s">
        <v>204</v>
      </c>
      <c r="F2335" t="s">
        <v>683</v>
      </c>
      <c r="G2335" s="2" t="s">
        <v>31</v>
      </c>
      <c r="H2335" s="1">
        <v>42.294000000000004</v>
      </c>
    </row>
    <row r="2336" spans="1:8" x14ac:dyDescent="0.3">
      <c r="A2336" s="2">
        <v>631</v>
      </c>
      <c r="B2336" t="s">
        <v>1018</v>
      </c>
      <c r="C2336" t="s">
        <v>3220</v>
      </c>
      <c r="D2336" s="2">
        <v>1</v>
      </c>
      <c r="E2336" s="11" t="s">
        <v>204</v>
      </c>
      <c r="F2336" t="s">
        <v>683</v>
      </c>
      <c r="G2336" s="2" t="s">
        <v>23</v>
      </c>
      <c r="H2336" s="1">
        <v>42.294000000000004</v>
      </c>
    </row>
    <row r="2337" spans="1:8" x14ac:dyDescent="0.3">
      <c r="A2337" s="2">
        <v>632</v>
      </c>
      <c r="B2337" t="s">
        <v>2346</v>
      </c>
      <c r="C2337" t="s">
        <v>3</v>
      </c>
      <c r="D2337" s="2">
        <v>1</v>
      </c>
      <c r="E2337" s="11" t="s">
        <v>2203</v>
      </c>
      <c r="F2337" t="s">
        <v>65</v>
      </c>
      <c r="G2337" s="2" t="s">
        <v>31</v>
      </c>
      <c r="H2337" s="1">
        <v>79.394000000000005</v>
      </c>
    </row>
    <row r="2338" spans="1:8" x14ac:dyDescent="0.3">
      <c r="A2338" s="2">
        <v>632</v>
      </c>
      <c r="B2338" t="s">
        <v>2275</v>
      </c>
      <c r="C2338" t="s">
        <v>1</v>
      </c>
      <c r="D2338" s="2">
        <v>1</v>
      </c>
      <c r="E2338" s="11" t="s">
        <v>243</v>
      </c>
      <c r="F2338" t="s">
        <v>65</v>
      </c>
      <c r="G2338" s="2" t="s">
        <v>4</v>
      </c>
      <c r="H2338" s="1">
        <v>31.693999999999999</v>
      </c>
    </row>
    <row r="2339" spans="1:8" x14ac:dyDescent="0.3">
      <c r="A2339" s="2">
        <v>632</v>
      </c>
      <c r="B2339" t="s">
        <v>295</v>
      </c>
      <c r="C2339" t="s">
        <v>1</v>
      </c>
      <c r="D2339" s="2">
        <v>1</v>
      </c>
      <c r="E2339" s="11" t="s">
        <v>243</v>
      </c>
      <c r="F2339" t="s">
        <v>65</v>
      </c>
      <c r="G2339" s="2" t="s">
        <v>203</v>
      </c>
      <c r="H2339" s="1">
        <v>31.693999999999999</v>
      </c>
    </row>
    <row r="2340" spans="1:8" x14ac:dyDescent="0.3">
      <c r="A2340" s="2">
        <v>632</v>
      </c>
      <c r="B2340" t="s">
        <v>2345</v>
      </c>
      <c r="C2340" t="s">
        <v>3219</v>
      </c>
      <c r="D2340" s="2">
        <v>1</v>
      </c>
      <c r="E2340" s="11" t="s">
        <v>534</v>
      </c>
      <c r="F2340" t="s">
        <v>62</v>
      </c>
      <c r="G2340" s="2" t="s">
        <v>4</v>
      </c>
      <c r="H2340" s="1">
        <v>89.994000000000014</v>
      </c>
    </row>
    <row r="2341" spans="1:8" x14ac:dyDescent="0.3">
      <c r="A2341" s="2">
        <v>632</v>
      </c>
      <c r="B2341" t="s">
        <v>2098</v>
      </c>
      <c r="C2341" t="s">
        <v>1</v>
      </c>
      <c r="D2341" s="2">
        <v>1</v>
      </c>
      <c r="E2341" s="11" t="s">
        <v>243</v>
      </c>
      <c r="F2341" t="s">
        <v>241</v>
      </c>
      <c r="G2341" s="2" t="s">
        <v>23</v>
      </c>
      <c r="H2341" s="1">
        <v>31.693999999999999</v>
      </c>
    </row>
    <row r="2342" spans="1:8" x14ac:dyDescent="0.3">
      <c r="A2342" s="2">
        <v>632</v>
      </c>
      <c r="B2342" t="s">
        <v>1842</v>
      </c>
      <c r="C2342" t="s">
        <v>1</v>
      </c>
      <c r="D2342" s="2">
        <v>1</v>
      </c>
      <c r="E2342" s="11" t="s">
        <v>243</v>
      </c>
      <c r="F2342" t="s">
        <v>55</v>
      </c>
      <c r="G2342" s="2" t="s">
        <v>4</v>
      </c>
      <c r="H2342" s="1">
        <v>31.693999999999999</v>
      </c>
    </row>
    <row r="2343" spans="1:8" x14ac:dyDescent="0.3">
      <c r="A2343" s="2">
        <v>632</v>
      </c>
      <c r="B2343" t="s">
        <v>1840</v>
      </c>
      <c r="C2343" t="s">
        <v>1</v>
      </c>
      <c r="D2343" s="2">
        <v>1</v>
      </c>
      <c r="E2343" s="11" t="s">
        <v>243</v>
      </c>
      <c r="F2343" t="s">
        <v>55</v>
      </c>
      <c r="G2343" s="2" t="s">
        <v>31</v>
      </c>
      <c r="H2343" s="1">
        <v>31.693999999999999</v>
      </c>
    </row>
    <row r="2344" spans="1:8" x14ac:dyDescent="0.3">
      <c r="A2344" s="2">
        <v>632</v>
      </c>
      <c r="B2344" t="s">
        <v>2344</v>
      </c>
      <c r="C2344" t="s">
        <v>1</v>
      </c>
      <c r="D2344" s="2">
        <v>1</v>
      </c>
      <c r="E2344" s="11" t="s">
        <v>243</v>
      </c>
      <c r="F2344" t="s">
        <v>55</v>
      </c>
      <c r="G2344" s="2" t="s">
        <v>23</v>
      </c>
      <c r="H2344" s="1">
        <v>31.693999999999999</v>
      </c>
    </row>
    <row r="2345" spans="1:8" x14ac:dyDescent="0.3">
      <c r="A2345" s="2">
        <v>632</v>
      </c>
      <c r="B2345" t="s">
        <v>2343</v>
      </c>
      <c r="C2345" t="s">
        <v>1</v>
      </c>
      <c r="D2345" s="2">
        <v>1</v>
      </c>
      <c r="E2345" s="11" t="s">
        <v>243</v>
      </c>
      <c r="F2345" t="s">
        <v>28</v>
      </c>
      <c r="G2345" s="2" t="s">
        <v>4</v>
      </c>
      <c r="H2345" s="1">
        <v>31.693999999999999</v>
      </c>
    </row>
    <row r="2346" spans="1:8" x14ac:dyDescent="0.3">
      <c r="A2346" s="2">
        <v>632</v>
      </c>
      <c r="B2346" t="s">
        <v>2342</v>
      </c>
      <c r="C2346" t="s">
        <v>1</v>
      </c>
      <c r="D2346" s="2">
        <v>1</v>
      </c>
      <c r="E2346" s="11" t="s">
        <v>243</v>
      </c>
      <c r="F2346" t="s">
        <v>28</v>
      </c>
      <c r="G2346" s="2" t="s">
        <v>31</v>
      </c>
      <c r="H2346" s="1">
        <v>31.693999999999999</v>
      </c>
    </row>
    <row r="2347" spans="1:8" x14ac:dyDescent="0.3">
      <c r="A2347" s="2">
        <v>632</v>
      </c>
      <c r="B2347" t="s">
        <v>1647</v>
      </c>
      <c r="C2347" t="s">
        <v>3219</v>
      </c>
      <c r="D2347" s="2">
        <v>1</v>
      </c>
      <c r="E2347" s="11" t="s">
        <v>673</v>
      </c>
      <c r="F2347" t="s">
        <v>28</v>
      </c>
      <c r="G2347" s="2" t="s">
        <v>203</v>
      </c>
      <c r="H2347" s="1">
        <v>89.994000000000014</v>
      </c>
    </row>
    <row r="2348" spans="1:8" x14ac:dyDescent="0.3">
      <c r="A2348" s="2">
        <v>632</v>
      </c>
      <c r="B2348" t="s">
        <v>1839</v>
      </c>
      <c r="C2348" t="s">
        <v>1</v>
      </c>
      <c r="D2348" s="2">
        <v>1</v>
      </c>
      <c r="E2348" s="11" t="s">
        <v>243</v>
      </c>
      <c r="F2348" t="s">
        <v>114</v>
      </c>
      <c r="G2348" s="2" t="s">
        <v>4</v>
      </c>
      <c r="H2348" s="1">
        <v>31.693999999999999</v>
      </c>
    </row>
    <row r="2349" spans="1:8" x14ac:dyDescent="0.3">
      <c r="A2349" s="2">
        <v>632</v>
      </c>
      <c r="B2349" t="s">
        <v>2341</v>
      </c>
      <c r="C2349" t="s">
        <v>1</v>
      </c>
      <c r="D2349" s="2">
        <v>1</v>
      </c>
      <c r="E2349" s="11" t="s">
        <v>243</v>
      </c>
      <c r="F2349" t="s">
        <v>683</v>
      </c>
      <c r="G2349" s="2" t="s">
        <v>23</v>
      </c>
      <c r="H2349" s="1">
        <v>31.693999999999999</v>
      </c>
    </row>
    <row r="2350" spans="1:8" x14ac:dyDescent="0.3">
      <c r="A2350" s="2">
        <v>632</v>
      </c>
      <c r="B2350" t="s">
        <v>2340</v>
      </c>
      <c r="C2350" t="s">
        <v>3219</v>
      </c>
      <c r="D2350" s="2">
        <v>1</v>
      </c>
      <c r="E2350" s="11" t="s">
        <v>2338</v>
      </c>
      <c r="F2350" t="s">
        <v>47</v>
      </c>
      <c r="G2350" s="2" t="s">
        <v>4</v>
      </c>
      <c r="H2350" s="1">
        <v>153.59400000000002</v>
      </c>
    </row>
    <row r="2351" spans="1:8" x14ac:dyDescent="0.3">
      <c r="A2351" s="2">
        <v>632</v>
      </c>
      <c r="B2351" t="s">
        <v>2339</v>
      </c>
      <c r="C2351" t="s">
        <v>3219</v>
      </c>
      <c r="D2351" s="2">
        <v>1</v>
      </c>
      <c r="E2351" s="11" t="s">
        <v>2338</v>
      </c>
      <c r="F2351" t="s">
        <v>47</v>
      </c>
      <c r="G2351" s="2" t="s">
        <v>23</v>
      </c>
      <c r="H2351" s="1">
        <v>153.59400000000002</v>
      </c>
    </row>
    <row r="2352" spans="1:8" x14ac:dyDescent="0.3">
      <c r="A2352" s="2">
        <v>632</v>
      </c>
      <c r="B2352" t="s">
        <v>2337</v>
      </c>
      <c r="C2352" t="s">
        <v>1</v>
      </c>
      <c r="D2352" s="2">
        <v>1</v>
      </c>
      <c r="E2352" s="11" t="s">
        <v>243</v>
      </c>
      <c r="F2352" t="s">
        <v>39</v>
      </c>
      <c r="G2352" s="2" t="s">
        <v>4</v>
      </c>
      <c r="H2352" s="1">
        <v>31.693999999999999</v>
      </c>
    </row>
    <row r="2353" spans="1:8" x14ac:dyDescent="0.3">
      <c r="A2353" s="2">
        <v>632</v>
      </c>
      <c r="B2353" t="s">
        <v>2089</v>
      </c>
      <c r="C2353" t="s">
        <v>1</v>
      </c>
      <c r="D2353" s="2">
        <v>1</v>
      </c>
      <c r="E2353" s="11" t="s">
        <v>243</v>
      </c>
      <c r="F2353" t="s">
        <v>39</v>
      </c>
      <c r="G2353" s="2" t="s">
        <v>203</v>
      </c>
      <c r="H2353" s="1">
        <v>31.693999999999999</v>
      </c>
    </row>
    <row r="2354" spans="1:8" x14ac:dyDescent="0.3">
      <c r="A2354" s="2">
        <v>633</v>
      </c>
      <c r="B2354" t="s">
        <v>2336</v>
      </c>
      <c r="C2354" t="s">
        <v>3</v>
      </c>
      <c r="D2354" s="2">
        <v>1</v>
      </c>
      <c r="E2354" s="11" t="s">
        <v>2335</v>
      </c>
      <c r="F2354" t="s">
        <v>55</v>
      </c>
      <c r="G2354" s="2" t="s">
        <v>4</v>
      </c>
      <c r="H2354" s="1">
        <v>100.59400000000001</v>
      </c>
    </row>
    <row r="2355" spans="1:8" x14ac:dyDescent="0.3">
      <c r="A2355" s="2">
        <v>633</v>
      </c>
      <c r="B2355" t="s">
        <v>2334</v>
      </c>
      <c r="C2355" t="s">
        <v>3224</v>
      </c>
      <c r="D2355" s="2">
        <v>1</v>
      </c>
      <c r="E2355" s="11" t="s">
        <v>1982</v>
      </c>
      <c r="F2355" t="s">
        <v>55</v>
      </c>
      <c r="G2355" s="2" t="s">
        <v>23</v>
      </c>
      <c r="H2355" s="1">
        <v>111.19400000000002</v>
      </c>
    </row>
    <row r="2356" spans="1:8" x14ac:dyDescent="0.3">
      <c r="A2356" s="2">
        <v>633</v>
      </c>
      <c r="B2356" t="s">
        <v>2333</v>
      </c>
      <c r="C2356" t="s">
        <v>3</v>
      </c>
      <c r="D2356" s="2">
        <v>1</v>
      </c>
      <c r="E2356" s="11" t="s">
        <v>1544</v>
      </c>
      <c r="F2356" t="s">
        <v>55</v>
      </c>
      <c r="G2356" s="2" t="s">
        <v>23</v>
      </c>
      <c r="H2356" s="1">
        <v>95.294000000000011</v>
      </c>
    </row>
    <row r="2357" spans="1:8" x14ac:dyDescent="0.3">
      <c r="A2357" s="2">
        <v>633</v>
      </c>
      <c r="B2357" t="s">
        <v>2283</v>
      </c>
      <c r="C2357" t="s">
        <v>3225</v>
      </c>
      <c r="D2357" s="2">
        <v>1</v>
      </c>
      <c r="E2357" s="11" t="s">
        <v>2282</v>
      </c>
      <c r="F2357" t="s">
        <v>65</v>
      </c>
      <c r="G2357" s="2" t="s">
        <v>31</v>
      </c>
      <c r="H2357" s="1">
        <v>127.09400000000001</v>
      </c>
    </row>
    <row r="2358" spans="1:8" x14ac:dyDescent="0.3">
      <c r="A2358" s="2">
        <v>633</v>
      </c>
      <c r="B2358" t="s">
        <v>2332</v>
      </c>
      <c r="C2358" t="s">
        <v>3</v>
      </c>
      <c r="D2358" s="2">
        <v>1</v>
      </c>
      <c r="E2358" s="11" t="s">
        <v>2178</v>
      </c>
      <c r="F2358" t="s">
        <v>62</v>
      </c>
      <c r="G2358" s="2" t="s">
        <v>4</v>
      </c>
      <c r="H2358" s="1">
        <v>111.19400000000002</v>
      </c>
    </row>
    <row r="2359" spans="1:8" x14ac:dyDescent="0.3">
      <c r="A2359" s="2">
        <v>633</v>
      </c>
      <c r="B2359" t="s">
        <v>1730</v>
      </c>
      <c r="C2359" t="s">
        <v>3219</v>
      </c>
      <c r="D2359" s="2">
        <v>1</v>
      </c>
      <c r="E2359" s="11" t="s">
        <v>1729</v>
      </c>
      <c r="F2359" t="s">
        <v>62</v>
      </c>
      <c r="G2359" s="2" t="s">
        <v>23</v>
      </c>
      <c r="H2359" s="1">
        <v>148.29400000000001</v>
      </c>
    </row>
    <row r="2360" spans="1:8" x14ac:dyDescent="0.3">
      <c r="A2360" s="2">
        <v>633</v>
      </c>
      <c r="B2360" t="s">
        <v>80</v>
      </c>
      <c r="C2360" t="s">
        <v>1</v>
      </c>
      <c r="D2360" s="2">
        <v>1</v>
      </c>
      <c r="E2360" s="11" t="s">
        <v>76</v>
      </c>
      <c r="F2360" t="s">
        <v>62</v>
      </c>
      <c r="G2360" s="2" t="s">
        <v>4</v>
      </c>
      <c r="H2360" s="1">
        <v>63.494</v>
      </c>
    </row>
    <row r="2361" spans="1:8" x14ac:dyDescent="0.3">
      <c r="A2361" s="2">
        <v>633</v>
      </c>
      <c r="B2361" t="s">
        <v>2331</v>
      </c>
      <c r="C2361" t="s">
        <v>2</v>
      </c>
      <c r="D2361" s="2">
        <v>1</v>
      </c>
      <c r="E2361" s="11" t="s">
        <v>2053</v>
      </c>
      <c r="F2361" t="s">
        <v>62</v>
      </c>
      <c r="G2361" s="2" t="s">
        <v>31</v>
      </c>
      <c r="H2361" s="1">
        <v>121.79400000000001</v>
      </c>
    </row>
    <row r="2362" spans="1:8" x14ac:dyDescent="0.3">
      <c r="A2362" s="2">
        <v>633</v>
      </c>
      <c r="B2362" t="s">
        <v>873</v>
      </c>
      <c r="C2362" t="s">
        <v>1</v>
      </c>
      <c r="D2362" s="2">
        <v>1</v>
      </c>
      <c r="E2362" s="11" t="s">
        <v>53</v>
      </c>
      <c r="F2362" t="s">
        <v>55</v>
      </c>
      <c r="G2362" s="2" t="s">
        <v>4</v>
      </c>
      <c r="H2362" s="1">
        <v>36.994</v>
      </c>
    </row>
    <row r="2363" spans="1:8" x14ac:dyDescent="0.3">
      <c r="A2363" s="2">
        <v>633</v>
      </c>
      <c r="B2363" t="s">
        <v>2229</v>
      </c>
      <c r="C2363" t="s">
        <v>3219</v>
      </c>
      <c r="D2363" s="2">
        <v>1</v>
      </c>
      <c r="E2363" s="11" t="s">
        <v>2228</v>
      </c>
      <c r="F2363" t="s">
        <v>47</v>
      </c>
      <c r="G2363" s="2" t="s">
        <v>4</v>
      </c>
      <c r="H2363" s="1">
        <v>137.69400000000002</v>
      </c>
    </row>
    <row r="2364" spans="1:8" x14ac:dyDescent="0.3">
      <c r="A2364" s="2">
        <v>633</v>
      </c>
      <c r="B2364" t="s">
        <v>2330</v>
      </c>
      <c r="C2364" t="s">
        <v>1</v>
      </c>
      <c r="D2364" s="2">
        <v>1</v>
      </c>
      <c r="E2364" s="11" t="s">
        <v>2018</v>
      </c>
      <c r="F2364" t="s">
        <v>47</v>
      </c>
      <c r="G2364" s="2" t="s">
        <v>4</v>
      </c>
      <c r="H2364" s="1">
        <v>79.394000000000005</v>
      </c>
    </row>
    <row r="2365" spans="1:8" x14ac:dyDescent="0.3">
      <c r="A2365" s="2">
        <v>633</v>
      </c>
      <c r="B2365" t="s">
        <v>1890</v>
      </c>
      <c r="C2365" t="s">
        <v>3</v>
      </c>
      <c r="D2365" s="2">
        <v>1</v>
      </c>
      <c r="E2365" s="11" t="s">
        <v>1863</v>
      </c>
      <c r="F2365" t="s">
        <v>47</v>
      </c>
      <c r="G2365" s="2" t="s">
        <v>4</v>
      </c>
      <c r="H2365" s="1">
        <v>68.794000000000011</v>
      </c>
    </row>
    <row r="2366" spans="1:8" x14ac:dyDescent="0.3">
      <c r="A2366" s="2">
        <v>633</v>
      </c>
      <c r="B2366" t="s">
        <v>2329</v>
      </c>
      <c r="C2366" t="s">
        <v>3</v>
      </c>
      <c r="D2366" s="2">
        <v>1</v>
      </c>
      <c r="E2366" s="11" t="s">
        <v>1863</v>
      </c>
      <c r="F2366" t="s">
        <v>47</v>
      </c>
      <c r="G2366" s="2" t="s">
        <v>31</v>
      </c>
      <c r="H2366" s="1">
        <v>68.794000000000011</v>
      </c>
    </row>
    <row r="2367" spans="1:8" x14ac:dyDescent="0.3">
      <c r="A2367" s="2">
        <v>633</v>
      </c>
      <c r="B2367" t="s">
        <v>2328</v>
      </c>
      <c r="C2367" t="s">
        <v>0</v>
      </c>
      <c r="D2367" s="2">
        <v>1</v>
      </c>
      <c r="E2367" s="11" t="s">
        <v>2079</v>
      </c>
      <c r="F2367" t="s">
        <v>47</v>
      </c>
      <c r="G2367" s="2" t="s">
        <v>31</v>
      </c>
      <c r="H2367" s="1">
        <v>132.39400000000001</v>
      </c>
    </row>
    <row r="2368" spans="1:8" x14ac:dyDescent="0.3">
      <c r="A2368" s="2">
        <v>633</v>
      </c>
      <c r="B2368" t="s">
        <v>955</v>
      </c>
      <c r="C2368" t="s">
        <v>1</v>
      </c>
      <c r="D2368" s="2">
        <v>1</v>
      </c>
      <c r="E2368" s="11" t="s">
        <v>279</v>
      </c>
      <c r="F2368" t="s">
        <v>47</v>
      </c>
      <c r="G2368" s="2" t="s">
        <v>4</v>
      </c>
      <c r="H2368" s="1">
        <v>47.594000000000001</v>
      </c>
    </row>
    <row r="2369" spans="1:8" x14ac:dyDescent="0.3">
      <c r="A2369" s="2">
        <v>633</v>
      </c>
      <c r="B2369" t="s">
        <v>1812</v>
      </c>
      <c r="C2369" t="s">
        <v>3224</v>
      </c>
      <c r="D2369" s="2">
        <v>1</v>
      </c>
      <c r="E2369" s="11" t="s">
        <v>1811</v>
      </c>
      <c r="F2369" t="s">
        <v>39</v>
      </c>
      <c r="G2369" s="2" t="s">
        <v>23</v>
      </c>
      <c r="H2369" s="1">
        <v>100.59400000000001</v>
      </c>
    </row>
    <row r="2370" spans="1:8" x14ac:dyDescent="0.3">
      <c r="A2370" s="2">
        <v>633</v>
      </c>
      <c r="B2370" t="s">
        <v>2327</v>
      </c>
      <c r="C2370" t="s">
        <v>1</v>
      </c>
      <c r="D2370" s="2">
        <v>1</v>
      </c>
      <c r="E2370" s="11" t="s">
        <v>1990</v>
      </c>
      <c r="F2370" t="s">
        <v>39</v>
      </c>
      <c r="G2370" s="2" t="s">
        <v>23</v>
      </c>
      <c r="H2370" s="1">
        <v>58.19400000000001</v>
      </c>
    </row>
    <row r="2371" spans="1:8" x14ac:dyDescent="0.3">
      <c r="A2371" s="2">
        <v>633</v>
      </c>
      <c r="B2371" t="s">
        <v>2326</v>
      </c>
      <c r="C2371" t="s">
        <v>1</v>
      </c>
      <c r="D2371" s="2">
        <v>1</v>
      </c>
      <c r="E2371" s="11" t="s">
        <v>1774</v>
      </c>
      <c r="F2371" t="s">
        <v>39</v>
      </c>
      <c r="G2371" s="2" t="s">
        <v>23</v>
      </c>
      <c r="H2371" s="1">
        <v>89.994000000000014</v>
      </c>
    </row>
    <row r="2372" spans="1:8" x14ac:dyDescent="0.3">
      <c r="A2372" s="2">
        <v>633</v>
      </c>
      <c r="B2372" t="s">
        <v>2325</v>
      </c>
      <c r="C2372" t="s">
        <v>3</v>
      </c>
      <c r="D2372" s="2">
        <v>1</v>
      </c>
      <c r="E2372" s="11" t="s">
        <v>2324</v>
      </c>
      <c r="F2372" t="s">
        <v>28</v>
      </c>
      <c r="G2372" s="2" t="s">
        <v>23</v>
      </c>
      <c r="H2372" s="1">
        <v>111.19400000000002</v>
      </c>
    </row>
    <row r="2373" spans="1:8" x14ac:dyDescent="0.3">
      <c r="A2373" s="2">
        <v>633</v>
      </c>
      <c r="B2373" t="s">
        <v>2323</v>
      </c>
      <c r="C2373" t="s">
        <v>3</v>
      </c>
      <c r="D2373" s="2">
        <v>1</v>
      </c>
      <c r="E2373" s="11" t="s">
        <v>2104</v>
      </c>
      <c r="F2373" t="s">
        <v>28</v>
      </c>
      <c r="G2373" s="2" t="s">
        <v>23</v>
      </c>
      <c r="H2373" s="1">
        <v>100.59400000000001</v>
      </c>
    </row>
    <row r="2374" spans="1:8" x14ac:dyDescent="0.3">
      <c r="A2374" s="2">
        <v>633</v>
      </c>
      <c r="B2374" t="s">
        <v>2322</v>
      </c>
      <c r="C2374" t="s">
        <v>3224</v>
      </c>
      <c r="D2374" s="2">
        <v>1</v>
      </c>
      <c r="E2374" s="11" t="s">
        <v>1926</v>
      </c>
      <c r="F2374" t="s">
        <v>28</v>
      </c>
      <c r="G2374" s="2" t="s">
        <v>23</v>
      </c>
      <c r="H2374" s="1">
        <v>116.49400000000001</v>
      </c>
    </row>
    <row r="2375" spans="1:8" x14ac:dyDescent="0.3">
      <c r="A2375" s="2">
        <v>633</v>
      </c>
      <c r="B2375" t="s">
        <v>2321</v>
      </c>
      <c r="C2375" t="s">
        <v>3224</v>
      </c>
      <c r="D2375" s="2">
        <v>1</v>
      </c>
      <c r="E2375" s="11" t="s">
        <v>2320</v>
      </c>
      <c r="F2375" t="s">
        <v>28</v>
      </c>
      <c r="G2375" s="2" t="s">
        <v>23</v>
      </c>
      <c r="H2375" s="1">
        <v>89.994000000000014</v>
      </c>
    </row>
    <row r="2376" spans="1:8" x14ac:dyDescent="0.3">
      <c r="A2376" s="2">
        <v>633</v>
      </c>
      <c r="B2376" t="s">
        <v>1902</v>
      </c>
      <c r="C2376" t="s">
        <v>1</v>
      </c>
      <c r="D2376" s="2">
        <v>1</v>
      </c>
      <c r="E2376" s="11" t="s">
        <v>1774</v>
      </c>
      <c r="F2376" t="s">
        <v>28</v>
      </c>
      <c r="G2376" s="2" t="s">
        <v>23</v>
      </c>
      <c r="H2376" s="1">
        <v>89.994000000000014</v>
      </c>
    </row>
    <row r="2377" spans="1:8" x14ac:dyDescent="0.3">
      <c r="A2377" s="2">
        <v>634</v>
      </c>
      <c r="B2377" t="s">
        <v>2002</v>
      </c>
      <c r="C2377" t="s">
        <v>3224</v>
      </c>
      <c r="D2377" s="2">
        <v>1</v>
      </c>
      <c r="E2377" s="11" t="s">
        <v>2001</v>
      </c>
      <c r="F2377" t="s">
        <v>114</v>
      </c>
      <c r="G2377" s="2" t="s">
        <v>23</v>
      </c>
      <c r="H2377" s="1">
        <v>95.294000000000011</v>
      </c>
    </row>
    <row r="2378" spans="1:8" x14ac:dyDescent="0.3">
      <c r="A2378" s="2">
        <v>634</v>
      </c>
      <c r="B2378" t="s">
        <v>1896</v>
      </c>
      <c r="C2378" t="s">
        <v>3219</v>
      </c>
      <c r="D2378" s="2">
        <v>1</v>
      </c>
      <c r="E2378" s="11" t="s">
        <v>1886</v>
      </c>
      <c r="F2378" t="s">
        <v>114</v>
      </c>
      <c r="G2378" s="2" t="s">
        <v>31</v>
      </c>
      <c r="H2378" s="1">
        <v>148.29400000000001</v>
      </c>
    </row>
    <row r="2379" spans="1:8" x14ac:dyDescent="0.3">
      <c r="A2379" s="2">
        <v>634</v>
      </c>
      <c r="B2379" t="s">
        <v>1895</v>
      </c>
      <c r="C2379" t="s">
        <v>3219</v>
      </c>
      <c r="D2379" s="2">
        <v>1</v>
      </c>
      <c r="E2379" s="11" t="s">
        <v>1886</v>
      </c>
      <c r="F2379" t="s">
        <v>114</v>
      </c>
      <c r="G2379" s="2" t="s">
        <v>23</v>
      </c>
      <c r="H2379" s="1">
        <v>148.29400000000001</v>
      </c>
    </row>
    <row r="2380" spans="1:8" x14ac:dyDescent="0.3">
      <c r="A2380" s="2">
        <v>634</v>
      </c>
      <c r="B2380" t="s">
        <v>2319</v>
      </c>
      <c r="C2380" t="s">
        <v>3220</v>
      </c>
      <c r="D2380" s="2">
        <v>1</v>
      </c>
      <c r="E2380" s="11" t="s">
        <v>2318</v>
      </c>
      <c r="F2380" t="s">
        <v>36</v>
      </c>
      <c r="G2380" s="2" t="s">
        <v>23</v>
      </c>
      <c r="H2380" s="1">
        <v>42.294000000000004</v>
      </c>
    </row>
    <row r="2381" spans="1:8" x14ac:dyDescent="0.3">
      <c r="A2381" s="2">
        <v>634</v>
      </c>
      <c r="B2381" t="s">
        <v>2317</v>
      </c>
      <c r="C2381" t="s">
        <v>3219</v>
      </c>
      <c r="D2381" s="2">
        <v>1</v>
      </c>
      <c r="E2381" s="11" t="s">
        <v>2316</v>
      </c>
      <c r="F2381" t="s">
        <v>36</v>
      </c>
      <c r="G2381" s="2" t="s">
        <v>23</v>
      </c>
      <c r="H2381" s="1">
        <v>164.19400000000002</v>
      </c>
    </row>
    <row r="2382" spans="1:8" x14ac:dyDescent="0.3">
      <c r="A2382" s="2">
        <v>634</v>
      </c>
      <c r="B2382" t="s">
        <v>1419</v>
      </c>
      <c r="C2382" t="s">
        <v>3224</v>
      </c>
      <c r="D2382" s="2">
        <v>1</v>
      </c>
      <c r="E2382" s="11" t="s">
        <v>1248</v>
      </c>
      <c r="F2382" t="s">
        <v>47</v>
      </c>
      <c r="G2382" s="2" t="s">
        <v>23</v>
      </c>
      <c r="H2382" s="1">
        <v>95.294000000000011</v>
      </c>
    </row>
    <row r="2383" spans="1:8" x14ac:dyDescent="0.3">
      <c r="A2383" s="2">
        <v>634</v>
      </c>
      <c r="B2383" t="s">
        <v>2280</v>
      </c>
      <c r="C2383" t="s">
        <v>3219</v>
      </c>
      <c r="D2383" s="2">
        <v>1</v>
      </c>
      <c r="E2383" s="11" t="s">
        <v>1561</v>
      </c>
      <c r="F2383" t="s">
        <v>47</v>
      </c>
      <c r="G2383" s="2" t="s">
        <v>23</v>
      </c>
      <c r="H2383" s="1">
        <v>148.29400000000001</v>
      </c>
    </row>
    <row r="2384" spans="1:8" x14ac:dyDescent="0.3">
      <c r="A2384" s="2">
        <v>634</v>
      </c>
      <c r="B2384" t="s">
        <v>2016</v>
      </c>
      <c r="C2384" t="s">
        <v>0</v>
      </c>
      <c r="D2384" s="2">
        <v>1</v>
      </c>
      <c r="E2384" s="11" t="s">
        <v>1945</v>
      </c>
      <c r="F2384" t="s">
        <v>39</v>
      </c>
      <c r="G2384" s="2" t="s">
        <v>4</v>
      </c>
      <c r="H2384" s="1">
        <v>132.39400000000001</v>
      </c>
    </row>
    <row r="2385" spans="1:8" x14ac:dyDescent="0.3">
      <c r="A2385" s="2">
        <v>634</v>
      </c>
      <c r="B2385" t="s">
        <v>2315</v>
      </c>
      <c r="C2385" t="s">
        <v>0</v>
      </c>
      <c r="D2385" s="2">
        <v>1</v>
      </c>
      <c r="E2385" s="11" t="s">
        <v>1945</v>
      </c>
      <c r="F2385" t="s">
        <v>39</v>
      </c>
      <c r="G2385" s="2" t="s">
        <v>31</v>
      </c>
      <c r="H2385" s="1">
        <v>132.39400000000001</v>
      </c>
    </row>
    <row r="2386" spans="1:8" x14ac:dyDescent="0.3">
      <c r="A2386" s="2">
        <v>634</v>
      </c>
      <c r="B2386" t="s">
        <v>2254</v>
      </c>
      <c r="C2386" t="s">
        <v>3219</v>
      </c>
      <c r="D2386" s="2">
        <v>1</v>
      </c>
      <c r="E2386" s="11" t="s">
        <v>2251</v>
      </c>
      <c r="F2386" t="s">
        <v>36</v>
      </c>
      <c r="G2386" s="2" t="s">
        <v>23</v>
      </c>
      <c r="H2386" s="1">
        <v>169.49400000000003</v>
      </c>
    </row>
    <row r="2387" spans="1:8" x14ac:dyDescent="0.3">
      <c r="A2387" s="2">
        <v>634</v>
      </c>
      <c r="B2387" t="s">
        <v>2314</v>
      </c>
      <c r="C2387" t="s">
        <v>3219</v>
      </c>
      <c r="D2387" s="2">
        <v>1</v>
      </c>
      <c r="E2387" s="11" t="s">
        <v>2313</v>
      </c>
      <c r="F2387" t="s">
        <v>28</v>
      </c>
      <c r="G2387" s="2" t="s">
        <v>31</v>
      </c>
      <c r="H2387" s="1">
        <v>158.89400000000001</v>
      </c>
    </row>
    <row r="2388" spans="1:8" x14ac:dyDescent="0.3">
      <c r="A2388" s="2">
        <v>634</v>
      </c>
      <c r="B2388" t="s">
        <v>2011</v>
      </c>
      <c r="C2388" t="s">
        <v>0</v>
      </c>
      <c r="D2388" s="2">
        <v>1</v>
      </c>
      <c r="E2388" s="11" t="s">
        <v>1945</v>
      </c>
      <c r="F2388" t="s">
        <v>28</v>
      </c>
      <c r="G2388" s="2" t="s">
        <v>23</v>
      </c>
      <c r="H2388" s="1">
        <v>132.39400000000001</v>
      </c>
    </row>
    <row r="2389" spans="1:8" x14ac:dyDescent="0.3">
      <c r="A2389" s="2">
        <v>635</v>
      </c>
      <c r="B2389" t="s">
        <v>2312</v>
      </c>
      <c r="C2389" t="s">
        <v>0</v>
      </c>
      <c r="D2389" s="2">
        <v>1</v>
      </c>
      <c r="E2389" s="11" t="s">
        <v>2079</v>
      </c>
      <c r="F2389" t="s">
        <v>55</v>
      </c>
      <c r="G2389" s="2" t="s">
        <v>31</v>
      </c>
      <c r="H2389" s="1">
        <v>132.39400000000001</v>
      </c>
    </row>
    <row r="2390" spans="1:8" x14ac:dyDescent="0.3">
      <c r="A2390" s="2">
        <v>635</v>
      </c>
      <c r="B2390" t="s">
        <v>2221</v>
      </c>
      <c r="C2390" t="s">
        <v>0</v>
      </c>
      <c r="D2390" s="2">
        <v>1</v>
      </c>
      <c r="E2390" s="11" t="s">
        <v>2198</v>
      </c>
      <c r="F2390" t="s">
        <v>65</v>
      </c>
      <c r="G2390" s="2" t="s">
        <v>4</v>
      </c>
      <c r="H2390" s="1">
        <v>111.19400000000002</v>
      </c>
    </row>
    <row r="2391" spans="1:8" x14ac:dyDescent="0.3">
      <c r="A2391" s="2">
        <v>635</v>
      </c>
      <c r="B2391" t="s">
        <v>2220</v>
      </c>
      <c r="C2391" t="s">
        <v>0</v>
      </c>
      <c r="D2391" s="2">
        <v>1</v>
      </c>
      <c r="E2391" s="11" t="s">
        <v>2196</v>
      </c>
      <c r="F2391" t="s">
        <v>65</v>
      </c>
      <c r="G2391" s="2" t="s">
        <v>31</v>
      </c>
      <c r="H2391" s="1">
        <v>132.39400000000001</v>
      </c>
    </row>
    <row r="2392" spans="1:8" x14ac:dyDescent="0.3">
      <c r="A2392" s="2">
        <v>635</v>
      </c>
      <c r="B2392" t="s">
        <v>1939</v>
      </c>
      <c r="C2392" t="s">
        <v>3</v>
      </c>
      <c r="D2392" s="2">
        <v>1</v>
      </c>
      <c r="E2392" s="11" t="s">
        <v>1863</v>
      </c>
      <c r="F2392" t="s">
        <v>62</v>
      </c>
      <c r="G2392" s="2" t="s">
        <v>23</v>
      </c>
      <c r="H2392" s="1">
        <v>68.794000000000011</v>
      </c>
    </row>
    <row r="2393" spans="1:8" x14ac:dyDescent="0.3">
      <c r="A2393" s="2">
        <v>635</v>
      </c>
      <c r="B2393" t="s">
        <v>2215</v>
      </c>
      <c r="C2393" t="s">
        <v>3224</v>
      </c>
      <c r="D2393" s="2">
        <v>1</v>
      </c>
      <c r="E2393" s="11" t="s">
        <v>1926</v>
      </c>
      <c r="F2393" t="s">
        <v>62</v>
      </c>
      <c r="G2393" s="2" t="s">
        <v>31</v>
      </c>
      <c r="H2393" s="1">
        <v>116.49400000000001</v>
      </c>
    </row>
    <row r="2394" spans="1:8" x14ac:dyDescent="0.3">
      <c r="A2394" s="2">
        <v>635</v>
      </c>
      <c r="B2394" t="s">
        <v>2214</v>
      </c>
      <c r="C2394" t="s">
        <v>0</v>
      </c>
      <c r="D2394" s="2">
        <v>1</v>
      </c>
      <c r="E2394" s="11" t="s">
        <v>2075</v>
      </c>
      <c r="F2394" t="s">
        <v>62</v>
      </c>
      <c r="G2394" s="2" t="s">
        <v>31</v>
      </c>
      <c r="H2394" s="1">
        <v>148.29400000000001</v>
      </c>
    </row>
    <row r="2395" spans="1:8" x14ac:dyDescent="0.3">
      <c r="A2395" s="2">
        <v>635</v>
      </c>
      <c r="B2395" t="s">
        <v>2299</v>
      </c>
      <c r="C2395" t="s">
        <v>0</v>
      </c>
      <c r="D2395" s="2">
        <v>1</v>
      </c>
      <c r="E2395" s="11" t="s">
        <v>2060</v>
      </c>
      <c r="F2395" t="s">
        <v>55</v>
      </c>
      <c r="G2395" s="2" t="s">
        <v>4</v>
      </c>
      <c r="H2395" s="1">
        <v>158.89400000000001</v>
      </c>
    </row>
    <row r="2396" spans="1:8" x14ac:dyDescent="0.3">
      <c r="A2396" s="2">
        <v>635</v>
      </c>
      <c r="B2396" t="s">
        <v>2311</v>
      </c>
      <c r="C2396" t="s">
        <v>3</v>
      </c>
      <c r="D2396" s="2">
        <v>1</v>
      </c>
      <c r="E2396" s="11" t="s">
        <v>2308</v>
      </c>
      <c r="F2396" t="s">
        <v>114</v>
      </c>
      <c r="G2396" s="2" t="s">
        <v>31</v>
      </c>
      <c r="H2396" s="1">
        <v>74.094000000000008</v>
      </c>
    </row>
    <row r="2397" spans="1:8" x14ac:dyDescent="0.3">
      <c r="A2397" s="2">
        <v>635</v>
      </c>
      <c r="B2397" t="s">
        <v>2310</v>
      </c>
      <c r="C2397" t="s">
        <v>0</v>
      </c>
      <c r="D2397" s="2">
        <v>1</v>
      </c>
      <c r="E2397" s="11" t="s">
        <v>2079</v>
      </c>
      <c r="F2397" t="s">
        <v>683</v>
      </c>
      <c r="G2397" s="2" t="s">
        <v>4</v>
      </c>
      <c r="H2397" s="1">
        <v>132.39400000000001</v>
      </c>
    </row>
    <row r="2398" spans="1:8" x14ac:dyDescent="0.3">
      <c r="A2398" s="2">
        <v>635</v>
      </c>
      <c r="B2398" t="s">
        <v>2309</v>
      </c>
      <c r="C2398" t="s">
        <v>3</v>
      </c>
      <c r="D2398" s="2">
        <v>1</v>
      </c>
      <c r="E2398" s="11" t="s">
        <v>2308</v>
      </c>
      <c r="F2398" t="s">
        <v>47</v>
      </c>
      <c r="G2398" s="2" t="s">
        <v>4</v>
      </c>
      <c r="H2398" s="1">
        <v>74.094000000000008</v>
      </c>
    </row>
    <row r="2399" spans="1:8" x14ac:dyDescent="0.3">
      <c r="A2399" s="2">
        <v>635</v>
      </c>
      <c r="B2399" t="s">
        <v>2208</v>
      </c>
      <c r="C2399" t="s">
        <v>0</v>
      </c>
      <c r="D2399" s="2">
        <v>1</v>
      </c>
      <c r="E2399" s="11" t="s">
        <v>2196</v>
      </c>
      <c r="F2399" t="s">
        <v>47</v>
      </c>
      <c r="G2399" s="2" t="s">
        <v>4</v>
      </c>
      <c r="H2399" s="1">
        <v>132.39400000000001</v>
      </c>
    </row>
    <row r="2400" spans="1:8" x14ac:dyDescent="0.3">
      <c r="A2400" s="2">
        <v>635</v>
      </c>
      <c r="B2400" t="s">
        <v>2307</v>
      </c>
      <c r="C2400" t="s">
        <v>0</v>
      </c>
      <c r="D2400" s="2">
        <v>1</v>
      </c>
      <c r="E2400" s="11" t="s">
        <v>2196</v>
      </c>
      <c r="F2400" t="s">
        <v>47</v>
      </c>
      <c r="G2400" s="2" t="s">
        <v>31</v>
      </c>
      <c r="H2400" s="1">
        <v>132.39400000000001</v>
      </c>
    </row>
    <row r="2401" spans="1:8" x14ac:dyDescent="0.3">
      <c r="A2401" s="2">
        <v>635</v>
      </c>
      <c r="B2401" t="s">
        <v>2204</v>
      </c>
      <c r="C2401" t="s">
        <v>3</v>
      </c>
      <c r="D2401" s="2">
        <v>1</v>
      </c>
      <c r="E2401" s="11" t="s">
        <v>2203</v>
      </c>
      <c r="F2401" t="s">
        <v>39</v>
      </c>
      <c r="G2401" s="2" t="s">
        <v>4</v>
      </c>
      <c r="H2401" s="1">
        <v>79.394000000000005</v>
      </c>
    </row>
    <row r="2402" spans="1:8" x14ac:dyDescent="0.3">
      <c r="A2402" s="2">
        <v>635</v>
      </c>
      <c r="B2402" t="s">
        <v>2306</v>
      </c>
      <c r="C2402" t="s">
        <v>3220</v>
      </c>
      <c r="D2402" s="2">
        <v>1</v>
      </c>
      <c r="E2402" s="11" t="s">
        <v>2305</v>
      </c>
      <c r="F2402" t="s">
        <v>39</v>
      </c>
      <c r="G2402" s="2" t="s">
        <v>31</v>
      </c>
      <c r="H2402" s="1">
        <v>21.094000000000001</v>
      </c>
    </row>
    <row r="2403" spans="1:8" x14ac:dyDescent="0.3">
      <c r="A2403" s="2">
        <v>635</v>
      </c>
      <c r="B2403" t="s">
        <v>2304</v>
      </c>
      <c r="C2403" t="s">
        <v>2</v>
      </c>
      <c r="D2403" s="2">
        <v>1</v>
      </c>
      <c r="E2403" s="11" t="s">
        <v>2303</v>
      </c>
      <c r="F2403" t="s">
        <v>39</v>
      </c>
      <c r="G2403" s="2" t="s">
        <v>31</v>
      </c>
      <c r="H2403" s="1">
        <v>95.294000000000011</v>
      </c>
    </row>
    <row r="2404" spans="1:8" x14ac:dyDescent="0.3">
      <c r="A2404" s="2">
        <v>635</v>
      </c>
      <c r="B2404" t="s">
        <v>2202</v>
      </c>
      <c r="C2404" t="s">
        <v>2</v>
      </c>
      <c r="D2404" s="2">
        <v>1</v>
      </c>
      <c r="E2404" s="11" t="s">
        <v>2128</v>
      </c>
      <c r="F2404" t="s">
        <v>39</v>
      </c>
      <c r="G2404" s="2" t="s">
        <v>23</v>
      </c>
      <c r="H2404" s="1">
        <v>116.49400000000001</v>
      </c>
    </row>
    <row r="2405" spans="1:8" x14ac:dyDescent="0.3">
      <c r="A2405" s="2">
        <v>635</v>
      </c>
      <c r="B2405" t="s">
        <v>2291</v>
      </c>
      <c r="C2405" t="s">
        <v>0</v>
      </c>
      <c r="D2405" s="2">
        <v>1</v>
      </c>
      <c r="E2405" s="11" t="s">
        <v>2285</v>
      </c>
      <c r="F2405" t="s">
        <v>39</v>
      </c>
      <c r="G2405" s="2" t="s">
        <v>4</v>
      </c>
      <c r="H2405" s="1">
        <v>158.89400000000001</v>
      </c>
    </row>
    <row r="2406" spans="1:8" x14ac:dyDescent="0.3">
      <c r="A2406" s="2">
        <v>635</v>
      </c>
      <c r="B2406" t="s">
        <v>2201</v>
      </c>
      <c r="C2406" t="s">
        <v>0</v>
      </c>
      <c r="D2406" s="2">
        <v>1</v>
      </c>
      <c r="E2406" s="11" t="s">
        <v>2198</v>
      </c>
      <c r="F2406" t="s">
        <v>39</v>
      </c>
      <c r="G2406" s="2" t="s">
        <v>4</v>
      </c>
      <c r="H2406" s="1">
        <v>111.19400000000002</v>
      </c>
    </row>
    <row r="2407" spans="1:8" x14ac:dyDescent="0.3">
      <c r="A2407" s="2">
        <v>635</v>
      </c>
      <c r="B2407" t="s">
        <v>2200</v>
      </c>
      <c r="C2407" t="s">
        <v>0</v>
      </c>
      <c r="D2407" s="2">
        <v>1</v>
      </c>
      <c r="E2407" s="11" t="s">
        <v>2198</v>
      </c>
      <c r="F2407" t="s">
        <v>39</v>
      </c>
      <c r="G2407" s="2" t="s">
        <v>31</v>
      </c>
      <c r="H2407" s="1">
        <v>111.19400000000002</v>
      </c>
    </row>
    <row r="2408" spans="1:8" x14ac:dyDescent="0.3">
      <c r="A2408" s="2">
        <v>635</v>
      </c>
      <c r="B2408" t="s">
        <v>2199</v>
      </c>
      <c r="C2408" t="s">
        <v>0</v>
      </c>
      <c r="D2408" s="2">
        <v>1</v>
      </c>
      <c r="E2408" s="11" t="s">
        <v>2198</v>
      </c>
      <c r="F2408" t="s">
        <v>39</v>
      </c>
      <c r="G2408" s="2" t="s">
        <v>23</v>
      </c>
      <c r="H2408" s="1">
        <v>111.19400000000002</v>
      </c>
    </row>
    <row r="2409" spans="1:8" x14ac:dyDescent="0.3">
      <c r="A2409" s="2">
        <v>635</v>
      </c>
      <c r="B2409" t="s">
        <v>2302</v>
      </c>
      <c r="C2409" t="s">
        <v>0</v>
      </c>
      <c r="D2409" s="2">
        <v>1</v>
      </c>
      <c r="E2409" s="11" t="s">
        <v>2196</v>
      </c>
      <c r="F2409" t="s">
        <v>39</v>
      </c>
      <c r="G2409" s="2" t="s">
        <v>23</v>
      </c>
      <c r="H2409" s="1">
        <v>132.39400000000001</v>
      </c>
    </row>
    <row r="2410" spans="1:8" x14ac:dyDescent="0.3">
      <c r="A2410" s="2">
        <v>635</v>
      </c>
      <c r="B2410" t="s">
        <v>2301</v>
      </c>
      <c r="C2410" t="s">
        <v>1</v>
      </c>
      <c r="D2410" s="2">
        <v>1</v>
      </c>
      <c r="E2410" s="11" t="s">
        <v>1774</v>
      </c>
      <c r="F2410" t="s">
        <v>36</v>
      </c>
      <c r="G2410" s="2" t="s">
        <v>31</v>
      </c>
      <c r="H2410" s="1">
        <v>89.994000000000014</v>
      </c>
    </row>
    <row r="2411" spans="1:8" x14ac:dyDescent="0.3">
      <c r="A2411" s="2">
        <v>635</v>
      </c>
      <c r="B2411" t="s">
        <v>2286</v>
      </c>
      <c r="C2411" t="s">
        <v>0</v>
      </c>
      <c r="D2411" s="2">
        <v>1</v>
      </c>
      <c r="E2411" s="11" t="s">
        <v>2285</v>
      </c>
      <c r="F2411" t="s">
        <v>28</v>
      </c>
      <c r="G2411" s="2" t="s">
        <v>31</v>
      </c>
      <c r="H2411" s="1">
        <v>158.89400000000001</v>
      </c>
    </row>
    <row r="2412" spans="1:8" x14ac:dyDescent="0.3">
      <c r="A2412" s="2">
        <v>636</v>
      </c>
      <c r="B2412" t="s">
        <v>2300</v>
      </c>
      <c r="C2412" t="s">
        <v>0</v>
      </c>
      <c r="D2412" s="2">
        <v>1</v>
      </c>
      <c r="E2412" s="11" t="s">
        <v>2060</v>
      </c>
      <c r="F2412" t="s">
        <v>65</v>
      </c>
      <c r="G2412" s="2" t="s">
        <v>23</v>
      </c>
      <c r="H2412" s="1">
        <v>158.89400000000001</v>
      </c>
    </row>
    <row r="2413" spans="1:8" x14ac:dyDescent="0.3">
      <c r="A2413" s="2">
        <v>636</v>
      </c>
      <c r="B2413" t="s">
        <v>727</v>
      </c>
      <c r="C2413" t="s">
        <v>3220</v>
      </c>
      <c r="D2413" s="2">
        <v>1</v>
      </c>
      <c r="E2413" s="11" t="s">
        <v>204</v>
      </c>
      <c r="F2413" t="s">
        <v>65</v>
      </c>
      <c r="G2413" s="2" t="s">
        <v>23</v>
      </c>
      <c r="H2413" s="1">
        <v>42.294000000000004</v>
      </c>
    </row>
    <row r="2414" spans="1:8" x14ac:dyDescent="0.3">
      <c r="A2414" s="2">
        <v>636</v>
      </c>
      <c r="B2414" t="s">
        <v>2299</v>
      </c>
      <c r="C2414" t="s">
        <v>0</v>
      </c>
      <c r="D2414" s="2">
        <v>1</v>
      </c>
      <c r="E2414" s="11" t="s">
        <v>2060</v>
      </c>
      <c r="F2414" t="s">
        <v>55</v>
      </c>
      <c r="G2414" s="2" t="s">
        <v>4</v>
      </c>
      <c r="H2414" s="1">
        <v>158.89400000000001</v>
      </c>
    </row>
    <row r="2415" spans="1:8" x14ac:dyDescent="0.3">
      <c r="A2415" s="2">
        <v>636</v>
      </c>
      <c r="B2415" t="s">
        <v>2298</v>
      </c>
      <c r="C2415" t="s">
        <v>0</v>
      </c>
      <c r="D2415" s="2">
        <v>1</v>
      </c>
      <c r="E2415" s="11" t="s">
        <v>2060</v>
      </c>
      <c r="F2415" t="s">
        <v>55</v>
      </c>
      <c r="G2415" s="2" t="s">
        <v>31</v>
      </c>
      <c r="H2415" s="1">
        <v>158.89400000000001</v>
      </c>
    </row>
    <row r="2416" spans="1:8" x14ac:dyDescent="0.3">
      <c r="A2416" s="2">
        <v>636</v>
      </c>
      <c r="B2416" t="s">
        <v>2297</v>
      </c>
      <c r="C2416" t="s">
        <v>0</v>
      </c>
      <c r="D2416" s="2">
        <v>2</v>
      </c>
      <c r="E2416" s="11" t="s">
        <v>2060</v>
      </c>
      <c r="F2416" t="s">
        <v>55</v>
      </c>
      <c r="G2416" s="2" t="s">
        <v>23</v>
      </c>
      <c r="H2416" s="1">
        <v>158.89400000000001</v>
      </c>
    </row>
    <row r="2417" spans="1:8" x14ac:dyDescent="0.3">
      <c r="A2417" s="2">
        <v>636</v>
      </c>
      <c r="B2417" t="s">
        <v>688</v>
      </c>
      <c r="C2417" t="s">
        <v>3220</v>
      </c>
      <c r="D2417" s="2">
        <v>1</v>
      </c>
      <c r="E2417" s="11" t="s">
        <v>204</v>
      </c>
      <c r="F2417" t="s">
        <v>28</v>
      </c>
      <c r="G2417" s="2" t="s">
        <v>4</v>
      </c>
      <c r="H2417" s="1">
        <v>42.294000000000004</v>
      </c>
    </row>
    <row r="2418" spans="1:8" x14ac:dyDescent="0.3">
      <c r="A2418" s="2">
        <v>636</v>
      </c>
      <c r="B2418" t="s">
        <v>1003</v>
      </c>
      <c r="C2418" t="s">
        <v>3220</v>
      </c>
      <c r="D2418" s="2">
        <v>1</v>
      </c>
      <c r="E2418" s="11" t="s">
        <v>204</v>
      </c>
      <c r="F2418" t="s">
        <v>28</v>
      </c>
      <c r="G2418" s="2" t="s">
        <v>203</v>
      </c>
      <c r="H2418" s="1">
        <v>42.294000000000004</v>
      </c>
    </row>
    <row r="2419" spans="1:8" x14ac:dyDescent="0.3">
      <c r="A2419" s="2">
        <v>636</v>
      </c>
      <c r="B2419" t="s">
        <v>717</v>
      </c>
      <c r="C2419" t="s">
        <v>3220</v>
      </c>
      <c r="D2419" s="2">
        <v>1</v>
      </c>
      <c r="E2419" s="11" t="s">
        <v>204</v>
      </c>
      <c r="F2419" t="s">
        <v>28</v>
      </c>
      <c r="G2419" s="2" t="s">
        <v>31</v>
      </c>
      <c r="H2419" s="1">
        <v>42.294000000000004</v>
      </c>
    </row>
    <row r="2420" spans="1:8" x14ac:dyDescent="0.3">
      <c r="A2420" s="2">
        <v>636</v>
      </c>
      <c r="B2420" t="s">
        <v>289</v>
      </c>
      <c r="C2420" t="s">
        <v>3220</v>
      </c>
      <c r="D2420" s="2">
        <v>1</v>
      </c>
      <c r="E2420" s="11" t="s">
        <v>204</v>
      </c>
      <c r="F2420" t="s">
        <v>28</v>
      </c>
      <c r="G2420" s="2" t="s">
        <v>23</v>
      </c>
      <c r="H2420" s="1">
        <v>42.294000000000004</v>
      </c>
    </row>
    <row r="2421" spans="1:8" x14ac:dyDescent="0.3">
      <c r="A2421" s="2">
        <v>636</v>
      </c>
      <c r="B2421" t="s">
        <v>694</v>
      </c>
      <c r="C2421" t="s">
        <v>3220</v>
      </c>
      <c r="D2421" s="2">
        <v>1</v>
      </c>
      <c r="E2421" s="11" t="s">
        <v>204</v>
      </c>
      <c r="F2421" t="s">
        <v>55</v>
      </c>
      <c r="G2421" s="2" t="s">
        <v>4</v>
      </c>
      <c r="H2421" s="1">
        <v>42.294000000000004</v>
      </c>
    </row>
    <row r="2422" spans="1:8" x14ac:dyDescent="0.3">
      <c r="A2422" s="2">
        <v>636</v>
      </c>
      <c r="B2422" t="s">
        <v>278</v>
      </c>
      <c r="C2422" t="s">
        <v>3220</v>
      </c>
      <c r="D2422" s="2">
        <v>1</v>
      </c>
      <c r="E2422" s="11" t="s">
        <v>204</v>
      </c>
      <c r="F2422" t="s">
        <v>55</v>
      </c>
      <c r="G2422" s="2" t="s">
        <v>31</v>
      </c>
      <c r="H2422" s="1">
        <v>42.294000000000004</v>
      </c>
    </row>
    <row r="2423" spans="1:8" x14ac:dyDescent="0.3">
      <c r="A2423" s="2">
        <v>636</v>
      </c>
      <c r="B2423" t="s">
        <v>693</v>
      </c>
      <c r="C2423" t="s">
        <v>3220</v>
      </c>
      <c r="D2423" s="2">
        <v>1</v>
      </c>
      <c r="E2423" s="11" t="s">
        <v>204</v>
      </c>
      <c r="F2423" t="s">
        <v>55</v>
      </c>
      <c r="G2423" s="2" t="s">
        <v>23</v>
      </c>
      <c r="H2423" s="1">
        <v>42.294000000000004</v>
      </c>
    </row>
    <row r="2424" spans="1:8" x14ac:dyDescent="0.3">
      <c r="A2424" s="2">
        <v>636</v>
      </c>
      <c r="B2424" t="s">
        <v>684</v>
      </c>
      <c r="C2424" t="s">
        <v>3220</v>
      </c>
      <c r="D2424" s="2">
        <v>1</v>
      </c>
      <c r="E2424" s="11" t="s">
        <v>204</v>
      </c>
      <c r="F2424" t="s">
        <v>683</v>
      </c>
      <c r="G2424" s="2" t="s">
        <v>4</v>
      </c>
      <c r="H2424" s="1">
        <v>42.294000000000004</v>
      </c>
    </row>
    <row r="2425" spans="1:8" x14ac:dyDescent="0.3">
      <c r="A2425" s="2">
        <v>636</v>
      </c>
      <c r="B2425" t="s">
        <v>1020</v>
      </c>
      <c r="C2425" t="s">
        <v>3220</v>
      </c>
      <c r="D2425" s="2">
        <v>1</v>
      </c>
      <c r="E2425" s="11" t="s">
        <v>204</v>
      </c>
      <c r="F2425" t="s">
        <v>683</v>
      </c>
      <c r="G2425" s="2" t="s">
        <v>203</v>
      </c>
      <c r="H2425" s="1">
        <v>42.294000000000004</v>
      </c>
    </row>
    <row r="2426" spans="1:8" x14ac:dyDescent="0.3">
      <c r="A2426" s="2">
        <v>636</v>
      </c>
      <c r="B2426" t="s">
        <v>1019</v>
      </c>
      <c r="C2426" t="s">
        <v>3220</v>
      </c>
      <c r="D2426" s="2">
        <v>1</v>
      </c>
      <c r="E2426" s="11" t="s">
        <v>204</v>
      </c>
      <c r="F2426" t="s">
        <v>683</v>
      </c>
      <c r="G2426" s="2" t="s">
        <v>31</v>
      </c>
      <c r="H2426" s="1">
        <v>42.294000000000004</v>
      </c>
    </row>
    <row r="2427" spans="1:8" x14ac:dyDescent="0.3">
      <c r="A2427" s="2">
        <v>636</v>
      </c>
      <c r="B2427" t="s">
        <v>1018</v>
      </c>
      <c r="C2427" t="s">
        <v>3220</v>
      </c>
      <c r="D2427" s="2">
        <v>1</v>
      </c>
      <c r="E2427" s="11" t="s">
        <v>204</v>
      </c>
      <c r="F2427" t="s">
        <v>683</v>
      </c>
      <c r="G2427" s="2" t="s">
        <v>23</v>
      </c>
      <c r="H2427" s="1">
        <v>42.294000000000004</v>
      </c>
    </row>
    <row r="2428" spans="1:8" x14ac:dyDescent="0.3">
      <c r="A2428" s="2">
        <v>637</v>
      </c>
      <c r="B2428" t="s">
        <v>2296</v>
      </c>
      <c r="C2428" t="s">
        <v>0</v>
      </c>
      <c r="D2428" s="2">
        <v>1</v>
      </c>
      <c r="E2428" s="11" t="s">
        <v>2285</v>
      </c>
      <c r="F2428" t="s">
        <v>65</v>
      </c>
      <c r="G2428" s="2" t="s">
        <v>23</v>
      </c>
      <c r="H2428" s="1">
        <v>158.89400000000001</v>
      </c>
    </row>
    <row r="2429" spans="1:8" x14ac:dyDescent="0.3">
      <c r="A2429" s="2">
        <v>637</v>
      </c>
      <c r="B2429" t="s">
        <v>2295</v>
      </c>
      <c r="C2429" t="s">
        <v>1</v>
      </c>
      <c r="D2429" s="2">
        <v>2</v>
      </c>
      <c r="E2429" s="11" t="s">
        <v>2269</v>
      </c>
      <c r="F2429" t="s">
        <v>683</v>
      </c>
      <c r="G2429" s="2" t="s">
        <v>4</v>
      </c>
      <c r="H2429" s="1">
        <v>74.094000000000008</v>
      </c>
    </row>
    <row r="2430" spans="1:8" x14ac:dyDescent="0.3">
      <c r="A2430" s="2">
        <v>637</v>
      </c>
      <c r="B2430" t="s">
        <v>2294</v>
      </c>
      <c r="C2430" t="s">
        <v>1</v>
      </c>
      <c r="D2430" s="2">
        <v>1</v>
      </c>
      <c r="E2430" s="11" t="s">
        <v>2269</v>
      </c>
      <c r="F2430" t="s">
        <v>683</v>
      </c>
      <c r="G2430" s="2" t="s">
        <v>31</v>
      </c>
      <c r="H2430" s="1">
        <v>74.094000000000008</v>
      </c>
    </row>
    <row r="2431" spans="1:8" x14ac:dyDescent="0.3">
      <c r="A2431" s="2">
        <v>637</v>
      </c>
      <c r="B2431" t="s">
        <v>2293</v>
      </c>
      <c r="C2431" t="s">
        <v>0</v>
      </c>
      <c r="D2431" s="2">
        <v>1</v>
      </c>
      <c r="E2431" s="11" t="s">
        <v>2288</v>
      </c>
      <c r="F2431" t="s">
        <v>47</v>
      </c>
      <c r="G2431" s="2" t="s">
        <v>31</v>
      </c>
      <c r="H2431" s="1">
        <v>142.994</v>
      </c>
    </row>
    <row r="2432" spans="1:8" x14ac:dyDescent="0.3">
      <c r="A2432" s="2">
        <v>637</v>
      </c>
      <c r="B2432" t="s">
        <v>2292</v>
      </c>
      <c r="C2432" t="s">
        <v>0</v>
      </c>
      <c r="D2432" s="2">
        <v>1</v>
      </c>
      <c r="E2432" s="11" t="s">
        <v>2288</v>
      </c>
      <c r="F2432" t="s">
        <v>47</v>
      </c>
      <c r="G2432" s="2" t="s">
        <v>23</v>
      </c>
      <c r="H2432" s="1">
        <v>142.994</v>
      </c>
    </row>
    <row r="2433" spans="1:8" x14ac:dyDescent="0.3">
      <c r="A2433" s="2">
        <v>637</v>
      </c>
      <c r="B2433" t="s">
        <v>2291</v>
      </c>
      <c r="C2433" t="s">
        <v>0</v>
      </c>
      <c r="D2433" s="2">
        <v>1</v>
      </c>
      <c r="E2433" s="11" t="s">
        <v>2285</v>
      </c>
      <c r="F2433" t="s">
        <v>39</v>
      </c>
      <c r="G2433" s="2" t="s">
        <v>4</v>
      </c>
      <c r="H2433" s="1">
        <v>158.89400000000001</v>
      </c>
    </row>
    <row r="2434" spans="1:8" x14ac:dyDescent="0.3">
      <c r="A2434" s="2">
        <v>637</v>
      </c>
      <c r="B2434" t="s">
        <v>2290</v>
      </c>
      <c r="C2434" t="s">
        <v>0</v>
      </c>
      <c r="D2434" s="2">
        <v>1</v>
      </c>
      <c r="E2434" s="11" t="s">
        <v>2288</v>
      </c>
      <c r="F2434" t="s">
        <v>39</v>
      </c>
      <c r="G2434" s="2" t="s">
        <v>31</v>
      </c>
      <c r="H2434" s="1">
        <v>142.994</v>
      </c>
    </row>
    <row r="2435" spans="1:8" x14ac:dyDescent="0.3">
      <c r="A2435" s="2">
        <v>637</v>
      </c>
      <c r="B2435" t="s">
        <v>2289</v>
      </c>
      <c r="C2435" t="s">
        <v>0</v>
      </c>
      <c r="D2435" s="2">
        <v>1</v>
      </c>
      <c r="E2435" s="11" t="s">
        <v>2288</v>
      </c>
      <c r="F2435" t="s">
        <v>39</v>
      </c>
      <c r="G2435" s="2" t="s">
        <v>4</v>
      </c>
      <c r="H2435" s="1">
        <v>142.994</v>
      </c>
    </row>
    <row r="2436" spans="1:8" x14ac:dyDescent="0.3">
      <c r="A2436" s="2">
        <v>637</v>
      </c>
      <c r="B2436" t="s">
        <v>2016</v>
      </c>
      <c r="C2436" t="s">
        <v>0</v>
      </c>
      <c r="D2436" s="2">
        <v>1</v>
      </c>
      <c r="E2436" s="11" t="s">
        <v>1945</v>
      </c>
      <c r="F2436" t="s">
        <v>39</v>
      </c>
      <c r="G2436" s="2" t="s">
        <v>4</v>
      </c>
      <c r="H2436" s="1">
        <v>132.39400000000001</v>
      </c>
    </row>
    <row r="2437" spans="1:8" x14ac:dyDescent="0.3">
      <c r="A2437" s="2">
        <v>637</v>
      </c>
      <c r="B2437" t="s">
        <v>1946</v>
      </c>
      <c r="C2437" t="s">
        <v>0</v>
      </c>
      <c r="D2437" s="2">
        <v>1</v>
      </c>
      <c r="E2437" s="11" t="s">
        <v>1945</v>
      </c>
      <c r="F2437" t="s">
        <v>39</v>
      </c>
      <c r="G2437" s="2" t="s">
        <v>23</v>
      </c>
      <c r="H2437" s="1">
        <v>132.39400000000001</v>
      </c>
    </row>
    <row r="2438" spans="1:8" x14ac:dyDescent="0.3">
      <c r="A2438" s="2">
        <v>637</v>
      </c>
      <c r="B2438" t="s">
        <v>2287</v>
      </c>
      <c r="C2438" t="s">
        <v>1</v>
      </c>
      <c r="D2438" s="2">
        <v>1</v>
      </c>
      <c r="E2438" s="11" t="s">
        <v>1774</v>
      </c>
      <c r="F2438" t="s">
        <v>39</v>
      </c>
      <c r="G2438" s="2" t="s">
        <v>31</v>
      </c>
      <c r="H2438" s="1">
        <v>89.994000000000014</v>
      </c>
    </row>
    <row r="2439" spans="1:8" x14ac:dyDescent="0.3">
      <c r="A2439" s="2">
        <v>637</v>
      </c>
      <c r="B2439" t="s">
        <v>2286</v>
      </c>
      <c r="C2439" t="s">
        <v>0</v>
      </c>
      <c r="D2439" s="2">
        <v>1</v>
      </c>
      <c r="E2439" s="11" t="s">
        <v>2285</v>
      </c>
      <c r="F2439" t="s">
        <v>28</v>
      </c>
      <c r="G2439" s="2" t="s">
        <v>31</v>
      </c>
      <c r="H2439" s="1">
        <v>158.89400000000001</v>
      </c>
    </row>
    <row r="2440" spans="1:8" x14ac:dyDescent="0.3">
      <c r="A2440" s="2">
        <v>637</v>
      </c>
      <c r="B2440" t="s">
        <v>2284</v>
      </c>
      <c r="C2440" t="s">
        <v>0</v>
      </c>
      <c r="D2440" s="2">
        <v>1</v>
      </c>
      <c r="E2440" s="11" t="s">
        <v>1945</v>
      </c>
      <c r="F2440" t="s">
        <v>28</v>
      </c>
      <c r="G2440" s="2" t="s">
        <v>31</v>
      </c>
      <c r="H2440" s="1">
        <v>132.39400000000001</v>
      </c>
    </row>
    <row r="2441" spans="1:8" x14ac:dyDescent="0.3">
      <c r="A2441" s="2">
        <v>638</v>
      </c>
      <c r="B2441" t="s">
        <v>2283</v>
      </c>
      <c r="C2441" t="s">
        <v>3225</v>
      </c>
      <c r="D2441" s="2">
        <v>1</v>
      </c>
      <c r="E2441" s="11" t="s">
        <v>2282</v>
      </c>
      <c r="F2441" t="s">
        <v>65</v>
      </c>
      <c r="G2441" s="2" t="s">
        <v>31</v>
      </c>
      <c r="H2441" s="1">
        <v>127.09400000000001</v>
      </c>
    </row>
    <row r="2442" spans="1:8" x14ac:dyDescent="0.3">
      <c r="A2442" s="2">
        <v>638</v>
      </c>
      <c r="B2442" t="s">
        <v>2281</v>
      </c>
      <c r="C2442" t="s">
        <v>0</v>
      </c>
      <c r="D2442" s="2">
        <v>1</v>
      </c>
      <c r="E2442" s="11" t="s">
        <v>2198</v>
      </c>
      <c r="F2442" t="s">
        <v>65</v>
      </c>
      <c r="G2442" s="2" t="s">
        <v>31</v>
      </c>
      <c r="H2442" s="1">
        <v>111.19400000000002</v>
      </c>
    </row>
    <row r="2443" spans="1:8" x14ac:dyDescent="0.3">
      <c r="A2443" s="2">
        <v>638</v>
      </c>
      <c r="B2443" t="s">
        <v>1266</v>
      </c>
      <c r="C2443" t="s">
        <v>1</v>
      </c>
      <c r="D2443" s="2">
        <v>1</v>
      </c>
      <c r="E2443" s="11" t="s">
        <v>189</v>
      </c>
      <c r="F2443" t="s">
        <v>62</v>
      </c>
      <c r="G2443" s="2" t="s">
        <v>4</v>
      </c>
      <c r="H2443" s="1">
        <v>63.494000000000007</v>
      </c>
    </row>
    <row r="2444" spans="1:8" x14ac:dyDescent="0.3">
      <c r="A2444" s="2">
        <v>638</v>
      </c>
      <c r="B2444" t="s">
        <v>2215</v>
      </c>
      <c r="C2444" t="s">
        <v>3224</v>
      </c>
      <c r="D2444" s="2">
        <v>1</v>
      </c>
      <c r="E2444" s="11" t="s">
        <v>1926</v>
      </c>
      <c r="F2444" t="s">
        <v>62</v>
      </c>
      <c r="G2444" s="2" t="s">
        <v>31</v>
      </c>
      <c r="H2444" s="1">
        <v>116.49400000000001</v>
      </c>
    </row>
    <row r="2445" spans="1:8" x14ac:dyDescent="0.3">
      <c r="A2445" s="2">
        <v>638</v>
      </c>
      <c r="B2445" t="s">
        <v>2234</v>
      </c>
      <c r="C2445" t="s">
        <v>3219</v>
      </c>
      <c r="D2445" s="2">
        <v>1</v>
      </c>
      <c r="E2445" s="11" t="s">
        <v>2233</v>
      </c>
      <c r="F2445" t="s">
        <v>28</v>
      </c>
      <c r="G2445" s="2" t="s">
        <v>31</v>
      </c>
      <c r="H2445" s="1">
        <v>148.29400000000001</v>
      </c>
    </row>
    <row r="2446" spans="1:8" x14ac:dyDescent="0.3">
      <c r="A2446" s="2">
        <v>638</v>
      </c>
      <c r="B2446" t="s">
        <v>1858</v>
      </c>
      <c r="C2446" t="s">
        <v>3225</v>
      </c>
      <c r="D2446" s="2">
        <v>1</v>
      </c>
      <c r="E2446" s="11" t="s">
        <v>239</v>
      </c>
      <c r="F2446" t="s">
        <v>47</v>
      </c>
      <c r="G2446" s="2" t="s">
        <v>31</v>
      </c>
      <c r="H2446" s="1">
        <v>148.29400000000001</v>
      </c>
    </row>
    <row r="2447" spans="1:8" x14ac:dyDescent="0.3">
      <c r="A2447" s="2">
        <v>638</v>
      </c>
      <c r="B2447" t="s">
        <v>1449</v>
      </c>
      <c r="C2447" t="s">
        <v>3224</v>
      </c>
      <c r="D2447" s="2">
        <v>1</v>
      </c>
      <c r="E2447" s="11" t="s">
        <v>1248</v>
      </c>
      <c r="F2447" t="s">
        <v>47</v>
      </c>
      <c r="G2447" s="2" t="s">
        <v>4</v>
      </c>
      <c r="H2447" s="1">
        <v>95.294000000000011</v>
      </c>
    </row>
    <row r="2448" spans="1:8" x14ac:dyDescent="0.3">
      <c r="A2448" s="2">
        <v>638</v>
      </c>
      <c r="B2448" t="s">
        <v>1915</v>
      </c>
      <c r="C2448" t="s">
        <v>3219</v>
      </c>
      <c r="D2448" s="2">
        <v>1</v>
      </c>
      <c r="E2448" s="11" t="s">
        <v>1561</v>
      </c>
      <c r="F2448" t="s">
        <v>47</v>
      </c>
      <c r="G2448" s="2" t="s">
        <v>4</v>
      </c>
      <c r="H2448" s="1">
        <v>148.29400000000001</v>
      </c>
    </row>
    <row r="2449" spans="1:8" x14ac:dyDescent="0.3">
      <c r="A2449" s="2">
        <v>638</v>
      </c>
      <c r="B2449" t="s">
        <v>2280</v>
      </c>
      <c r="C2449" t="s">
        <v>3219</v>
      </c>
      <c r="D2449" s="2">
        <v>1</v>
      </c>
      <c r="E2449" s="11" t="s">
        <v>1561</v>
      </c>
      <c r="F2449" t="s">
        <v>47</v>
      </c>
      <c r="G2449" s="2" t="s">
        <v>23</v>
      </c>
      <c r="H2449" s="1">
        <v>148.29400000000001</v>
      </c>
    </row>
    <row r="2450" spans="1:8" x14ac:dyDescent="0.3">
      <c r="A2450" s="2">
        <v>638</v>
      </c>
      <c r="B2450" t="s">
        <v>2279</v>
      </c>
      <c r="C2450" t="s">
        <v>0</v>
      </c>
      <c r="D2450" s="2">
        <v>1</v>
      </c>
      <c r="E2450" s="11" t="s">
        <v>2278</v>
      </c>
      <c r="F2450" t="s">
        <v>28</v>
      </c>
      <c r="G2450" s="2" t="s">
        <v>23</v>
      </c>
      <c r="H2450" s="1">
        <v>164.19400000000002</v>
      </c>
    </row>
    <row r="2451" spans="1:8" x14ac:dyDescent="0.3">
      <c r="A2451" s="2">
        <v>638</v>
      </c>
      <c r="B2451" t="s">
        <v>2277</v>
      </c>
      <c r="C2451" t="s">
        <v>3224</v>
      </c>
      <c r="D2451" s="2">
        <v>1</v>
      </c>
      <c r="E2451" s="11" t="s">
        <v>1982</v>
      </c>
      <c r="F2451" t="s">
        <v>28</v>
      </c>
      <c r="G2451" s="2" t="s">
        <v>23</v>
      </c>
      <c r="H2451" s="1">
        <v>111.19400000000002</v>
      </c>
    </row>
    <row r="2452" spans="1:8" x14ac:dyDescent="0.3">
      <c r="A2452" s="2">
        <v>638</v>
      </c>
      <c r="B2452" t="s">
        <v>2276</v>
      </c>
      <c r="C2452" t="s">
        <v>3</v>
      </c>
      <c r="D2452" s="2">
        <v>1</v>
      </c>
      <c r="E2452" s="11" t="s">
        <v>1544</v>
      </c>
      <c r="F2452" t="s">
        <v>28</v>
      </c>
      <c r="G2452" s="2" t="s">
        <v>23</v>
      </c>
      <c r="H2452" s="1">
        <v>95.294000000000011</v>
      </c>
    </row>
    <row r="2453" spans="1:8" x14ac:dyDescent="0.3">
      <c r="A2453" s="2">
        <v>639</v>
      </c>
      <c r="B2453" t="s">
        <v>1840</v>
      </c>
      <c r="C2453" t="s">
        <v>1</v>
      </c>
      <c r="D2453" s="2">
        <v>1</v>
      </c>
      <c r="E2453" s="11" t="s">
        <v>243</v>
      </c>
      <c r="F2453" t="s">
        <v>55</v>
      </c>
      <c r="G2453" s="2" t="s">
        <v>31</v>
      </c>
      <c r="H2453" s="1">
        <v>31.693999999999999</v>
      </c>
    </row>
    <row r="2454" spans="1:8" x14ac:dyDescent="0.3">
      <c r="A2454" s="2">
        <v>639</v>
      </c>
      <c r="B2454" t="s">
        <v>2275</v>
      </c>
      <c r="C2454" t="s">
        <v>1</v>
      </c>
      <c r="D2454" s="2">
        <v>2</v>
      </c>
      <c r="E2454" s="11" t="s">
        <v>243</v>
      </c>
      <c r="F2454" t="s">
        <v>65</v>
      </c>
      <c r="G2454" s="2" t="s">
        <v>4</v>
      </c>
      <c r="H2454" s="1">
        <v>31.693999999999999</v>
      </c>
    </row>
    <row r="2455" spans="1:8" x14ac:dyDescent="0.3">
      <c r="A2455" s="2">
        <v>639</v>
      </c>
      <c r="B2455" t="s">
        <v>2274</v>
      </c>
      <c r="C2455" t="s">
        <v>1</v>
      </c>
      <c r="D2455" s="2">
        <v>1</v>
      </c>
      <c r="E2455" s="11" t="s">
        <v>2267</v>
      </c>
      <c r="F2455" t="s">
        <v>126</v>
      </c>
      <c r="G2455" s="2" t="s">
        <v>4</v>
      </c>
      <c r="H2455" s="1">
        <v>89.994000000000014</v>
      </c>
    </row>
    <row r="2456" spans="1:8" x14ac:dyDescent="0.3">
      <c r="A2456" s="2">
        <v>639</v>
      </c>
      <c r="B2456" t="s">
        <v>1647</v>
      </c>
      <c r="C2456" t="s">
        <v>3219</v>
      </c>
      <c r="D2456" s="2">
        <v>1</v>
      </c>
      <c r="E2456" s="11" t="s">
        <v>673</v>
      </c>
      <c r="F2456" t="s">
        <v>28</v>
      </c>
      <c r="G2456" s="2" t="s">
        <v>203</v>
      </c>
      <c r="H2456" s="1">
        <v>89.994000000000014</v>
      </c>
    </row>
    <row r="2457" spans="1:8" x14ac:dyDescent="0.3">
      <c r="A2457" s="2">
        <v>639</v>
      </c>
      <c r="B2457" t="s">
        <v>2273</v>
      </c>
      <c r="C2457" t="s">
        <v>1</v>
      </c>
      <c r="D2457" s="2">
        <v>1</v>
      </c>
      <c r="E2457" s="11" t="s">
        <v>2163</v>
      </c>
      <c r="F2457" t="s">
        <v>114</v>
      </c>
      <c r="G2457" s="2" t="s">
        <v>4</v>
      </c>
      <c r="H2457" s="1">
        <v>84.694000000000017</v>
      </c>
    </row>
    <row r="2458" spans="1:8" x14ac:dyDescent="0.3">
      <c r="A2458" s="2">
        <v>639</v>
      </c>
      <c r="B2458" t="s">
        <v>860</v>
      </c>
      <c r="C2458" t="s">
        <v>1</v>
      </c>
      <c r="D2458" s="2">
        <v>1</v>
      </c>
      <c r="E2458" s="11" t="s">
        <v>243</v>
      </c>
      <c r="F2458" t="s">
        <v>683</v>
      </c>
      <c r="G2458" s="2" t="s">
        <v>31</v>
      </c>
      <c r="H2458" s="1">
        <v>31.693999999999999</v>
      </c>
    </row>
    <row r="2459" spans="1:8" x14ac:dyDescent="0.3">
      <c r="A2459" s="2">
        <v>639</v>
      </c>
      <c r="B2459" t="s">
        <v>2272</v>
      </c>
      <c r="C2459" t="s">
        <v>3219</v>
      </c>
      <c r="D2459" s="2">
        <v>1</v>
      </c>
      <c r="E2459" s="11" t="s">
        <v>2271</v>
      </c>
      <c r="F2459" t="s">
        <v>47</v>
      </c>
      <c r="G2459" s="2" t="s">
        <v>31</v>
      </c>
      <c r="H2459" s="1">
        <v>121.79400000000001</v>
      </c>
    </row>
    <row r="2460" spans="1:8" x14ac:dyDescent="0.3">
      <c r="A2460" s="2">
        <v>639</v>
      </c>
      <c r="B2460" t="s">
        <v>2270</v>
      </c>
      <c r="C2460" t="s">
        <v>1</v>
      </c>
      <c r="D2460" s="2">
        <v>1</v>
      </c>
      <c r="E2460" s="11" t="s">
        <v>2269</v>
      </c>
      <c r="F2460" t="s">
        <v>47</v>
      </c>
      <c r="G2460" s="2" t="s">
        <v>4</v>
      </c>
      <c r="H2460" s="1">
        <v>74.094000000000008</v>
      </c>
    </row>
    <row r="2461" spans="1:8" x14ac:dyDescent="0.3">
      <c r="A2461" s="2">
        <v>639</v>
      </c>
      <c r="B2461" t="s">
        <v>2268</v>
      </c>
      <c r="C2461" t="s">
        <v>1</v>
      </c>
      <c r="D2461" s="2">
        <v>1</v>
      </c>
      <c r="E2461" s="11" t="s">
        <v>2267</v>
      </c>
      <c r="F2461" t="s">
        <v>47</v>
      </c>
      <c r="G2461" s="2" t="s">
        <v>4</v>
      </c>
      <c r="H2461" s="1">
        <v>89.994000000000014</v>
      </c>
    </row>
    <row r="2462" spans="1:8" x14ac:dyDescent="0.3">
      <c r="A2462" s="2">
        <v>639</v>
      </c>
      <c r="B2462" t="s">
        <v>1126</v>
      </c>
      <c r="C2462" t="s">
        <v>3219</v>
      </c>
      <c r="D2462" s="2">
        <v>1</v>
      </c>
      <c r="E2462" s="11" t="s">
        <v>673</v>
      </c>
      <c r="F2462" t="s">
        <v>47</v>
      </c>
      <c r="G2462" s="2" t="s">
        <v>203</v>
      </c>
      <c r="H2462" s="1">
        <v>89.994000000000014</v>
      </c>
    </row>
    <row r="2463" spans="1:8" x14ac:dyDescent="0.3">
      <c r="A2463" s="2">
        <v>639</v>
      </c>
      <c r="B2463" t="s">
        <v>2266</v>
      </c>
      <c r="C2463" t="s">
        <v>1</v>
      </c>
      <c r="D2463" s="2">
        <v>1</v>
      </c>
      <c r="E2463" s="11" t="s">
        <v>2163</v>
      </c>
      <c r="F2463" t="s">
        <v>39</v>
      </c>
      <c r="G2463" s="2" t="s">
        <v>4</v>
      </c>
      <c r="H2463" s="1">
        <v>84.694000000000017</v>
      </c>
    </row>
    <row r="2464" spans="1:8" x14ac:dyDescent="0.3">
      <c r="A2464" s="2">
        <v>639</v>
      </c>
      <c r="B2464" t="s">
        <v>1187</v>
      </c>
      <c r="C2464" t="s">
        <v>1</v>
      </c>
      <c r="D2464" s="2">
        <v>1</v>
      </c>
      <c r="E2464" s="11" t="s">
        <v>53</v>
      </c>
      <c r="F2464" t="s">
        <v>1186</v>
      </c>
      <c r="G2464" s="2" t="s">
        <v>203</v>
      </c>
      <c r="H2464" s="1">
        <v>36.994</v>
      </c>
    </row>
    <row r="2465" spans="1:8" x14ac:dyDescent="0.3">
      <c r="A2465" s="2">
        <v>640</v>
      </c>
      <c r="B2465" t="s">
        <v>278</v>
      </c>
      <c r="C2465" t="s">
        <v>3220</v>
      </c>
      <c r="D2465" s="2">
        <v>2</v>
      </c>
      <c r="E2465" s="11" t="s">
        <v>204</v>
      </c>
      <c r="F2465" t="s">
        <v>55</v>
      </c>
      <c r="G2465" s="2" t="s">
        <v>31</v>
      </c>
      <c r="H2465" s="1">
        <v>42.294000000000004</v>
      </c>
    </row>
    <row r="2466" spans="1:8" x14ac:dyDescent="0.3">
      <c r="A2466" s="2">
        <v>640</v>
      </c>
      <c r="B2466" t="s">
        <v>278</v>
      </c>
      <c r="C2466" t="s">
        <v>3220</v>
      </c>
      <c r="D2466" s="2">
        <v>1</v>
      </c>
      <c r="E2466" s="11" t="s">
        <v>204</v>
      </c>
      <c r="F2466" t="s">
        <v>55</v>
      </c>
      <c r="G2466" s="2" t="s">
        <v>31</v>
      </c>
      <c r="H2466" s="1">
        <v>42.294000000000004</v>
      </c>
    </row>
    <row r="2467" spans="1:8" x14ac:dyDescent="0.3">
      <c r="A2467" s="2">
        <v>640</v>
      </c>
      <c r="B2467" t="s">
        <v>728</v>
      </c>
      <c r="C2467" t="s">
        <v>3220</v>
      </c>
      <c r="D2467" s="2">
        <v>1</v>
      </c>
      <c r="E2467" s="11" t="s">
        <v>204</v>
      </c>
      <c r="F2467" t="s">
        <v>65</v>
      </c>
      <c r="G2467" s="2" t="s">
        <v>31</v>
      </c>
      <c r="H2467" s="1">
        <v>42.294000000000004</v>
      </c>
    </row>
    <row r="2468" spans="1:8" x14ac:dyDescent="0.3">
      <c r="A2468" s="2">
        <v>640</v>
      </c>
      <c r="B2468" t="s">
        <v>728</v>
      </c>
      <c r="C2468" t="s">
        <v>3220</v>
      </c>
      <c r="D2468" s="2">
        <v>1</v>
      </c>
      <c r="E2468" s="11" t="s">
        <v>204</v>
      </c>
      <c r="F2468" t="s">
        <v>65</v>
      </c>
      <c r="G2468" s="2" t="s">
        <v>31</v>
      </c>
      <c r="H2468" s="1">
        <v>42.294000000000004</v>
      </c>
    </row>
    <row r="2469" spans="1:8" x14ac:dyDescent="0.3">
      <c r="A2469" s="2">
        <v>640</v>
      </c>
      <c r="B2469" t="s">
        <v>728</v>
      </c>
      <c r="C2469" t="s">
        <v>3220</v>
      </c>
      <c r="D2469" s="2">
        <v>1</v>
      </c>
      <c r="E2469" s="11" t="s">
        <v>204</v>
      </c>
      <c r="F2469" t="s">
        <v>65</v>
      </c>
      <c r="G2469" s="2" t="s">
        <v>31</v>
      </c>
      <c r="H2469" s="1">
        <v>42.294000000000004</v>
      </c>
    </row>
    <row r="2470" spans="1:8" x14ac:dyDescent="0.3">
      <c r="A2470" s="2">
        <v>640</v>
      </c>
      <c r="B2470" t="s">
        <v>728</v>
      </c>
      <c r="C2470" t="s">
        <v>3220</v>
      </c>
      <c r="D2470" s="2">
        <v>1</v>
      </c>
      <c r="E2470" s="11" t="s">
        <v>204</v>
      </c>
      <c r="F2470" t="s">
        <v>65</v>
      </c>
      <c r="G2470" s="2" t="s">
        <v>31</v>
      </c>
      <c r="H2470" s="1">
        <v>42.294000000000004</v>
      </c>
    </row>
    <row r="2471" spans="1:8" x14ac:dyDescent="0.3">
      <c r="A2471" s="2">
        <v>640</v>
      </c>
      <c r="B2471" t="s">
        <v>714</v>
      </c>
      <c r="C2471" t="s">
        <v>3220</v>
      </c>
      <c r="D2471" s="2">
        <v>1</v>
      </c>
      <c r="E2471" s="11" t="s">
        <v>204</v>
      </c>
      <c r="F2471" t="s">
        <v>276</v>
      </c>
      <c r="G2471" s="2" t="s">
        <v>31</v>
      </c>
      <c r="H2471" s="1">
        <v>42.294000000000004</v>
      </c>
    </row>
    <row r="2472" spans="1:8" x14ac:dyDescent="0.3">
      <c r="A2472" s="2">
        <v>640</v>
      </c>
      <c r="B2472" t="s">
        <v>2265</v>
      </c>
      <c r="C2472" t="s">
        <v>3221</v>
      </c>
      <c r="D2472" s="2">
        <v>1</v>
      </c>
      <c r="E2472" s="11" t="s">
        <v>642</v>
      </c>
      <c r="F2472" t="s">
        <v>28</v>
      </c>
      <c r="G2472" s="2" t="s">
        <v>23</v>
      </c>
      <c r="H2472" s="1">
        <v>95.294000000000011</v>
      </c>
    </row>
    <row r="2473" spans="1:8" x14ac:dyDescent="0.3">
      <c r="A2473" s="2">
        <v>640</v>
      </c>
      <c r="B2473" t="s">
        <v>651</v>
      </c>
      <c r="C2473" t="s">
        <v>3221</v>
      </c>
      <c r="D2473" s="2">
        <v>2</v>
      </c>
      <c r="E2473" s="11" t="s">
        <v>642</v>
      </c>
      <c r="F2473" t="s">
        <v>55</v>
      </c>
      <c r="G2473" s="2" t="s">
        <v>31</v>
      </c>
      <c r="H2473" s="1">
        <v>95.294000000000011</v>
      </c>
    </row>
    <row r="2474" spans="1:8" x14ac:dyDescent="0.3">
      <c r="A2474" s="2">
        <v>640</v>
      </c>
      <c r="B2474" t="s">
        <v>2264</v>
      </c>
      <c r="C2474" t="s">
        <v>3221</v>
      </c>
      <c r="D2474" s="2">
        <v>1</v>
      </c>
      <c r="E2474" s="11" t="s">
        <v>642</v>
      </c>
      <c r="F2474" t="s">
        <v>55</v>
      </c>
      <c r="G2474" s="2" t="s">
        <v>23</v>
      </c>
      <c r="H2474" s="1">
        <v>95.294000000000011</v>
      </c>
    </row>
    <row r="2475" spans="1:8" x14ac:dyDescent="0.3">
      <c r="A2475" s="2">
        <v>640</v>
      </c>
      <c r="B2475" t="s">
        <v>717</v>
      </c>
      <c r="C2475" t="s">
        <v>3220</v>
      </c>
      <c r="D2475" s="2">
        <v>1</v>
      </c>
      <c r="E2475" s="11" t="s">
        <v>204</v>
      </c>
      <c r="F2475" t="s">
        <v>28</v>
      </c>
      <c r="G2475" s="2" t="s">
        <v>31</v>
      </c>
      <c r="H2475" s="1">
        <v>42.294000000000004</v>
      </c>
    </row>
    <row r="2476" spans="1:8" x14ac:dyDescent="0.3">
      <c r="A2476" s="2">
        <v>640</v>
      </c>
      <c r="B2476" t="s">
        <v>1499</v>
      </c>
      <c r="C2476" t="s">
        <v>3220</v>
      </c>
      <c r="D2476" s="2">
        <v>1</v>
      </c>
      <c r="E2476" s="11" t="s">
        <v>204</v>
      </c>
      <c r="F2476" t="s">
        <v>959</v>
      </c>
      <c r="G2476" s="2" t="s">
        <v>31</v>
      </c>
      <c r="H2476" s="1">
        <v>42.294000000000004</v>
      </c>
    </row>
    <row r="2477" spans="1:8" x14ac:dyDescent="0.3">
      <c r="A2477" s="2">
        <v>640</v>
      </c>
      <c r="B2477" t="s">
        <v>1533</v>
      </c>
      <c r="C2477" t="s">
        <v>3221</v>
      </c>
      <c r="D2477" s="2">
        <v>3</v>
      </c>
      <c r="E2477" s="11" t="s">
        <v>642</v>
      </c>
      <c r="F2477" t="s">
        <v>114</v>
      </c>
      <c r="G2477" s="2" t="s">
        <v>31</v>
      </c>
      <c r="H2477" s="1">
        <v>95.294000000000011</v>
      </c>
    </row>
    <row r="2478" spans="1:8" x14ac:dyDescent="0.3">
      <c r="A2478" s="2">
        <v>640</v>
      </c>
      <c r="B2478" t="s">
        <v>1801</v>
      </c>
      <c r="C2478" t="s">
        <v>3221</v>
      </c>
      <c r="D2478" s="2">
        <v>3</v>
      </c>
      <c r="E2478" s="11" t="s">
        <v>642</v>
      </c>
      <c r="F2478" t="s">
        <v>114</v>
      </c>
      <c r="G2478" s="2" t="s">
        <v>23</v>
      </c>
      <c r="H2478" s="1">
        <v>95.294000000000011</v>
      </c>
    </row>
    <row r="2479" spans="1:8" x14ac:dyDescent="0.3">
      <c r="A2479" s="2">
        <v>640</v>
      </c>
      <c r="B2479" t="s">
        <v>270</v>
      </c>
      <c r="C2479" t="s">
        <v>3220</v>
      </c>
      <c r="D2479" s="2">
        <v>1</v>
      </c>
      <c r="E2479" s="11" t="s">
        <v>204</v>
      </c>
      <c r="F2479" t="s">
        <v>114</v>
      </c>
      <c r="G2479" s="2" t="s">
        <v>4</v>
      </c>
      <c r="H2479" s="1">
        <v>42.294000000000004</v>
      </c>
    </row>
    <row r="2480" spans="1:8" x14ac:dyDescent="0.3">
      <c r="A2480" s="2">
        <v>640</v>
      </c>
      <c r="B2480" t="s">
        <v>2263</v>
      </c>
      <c r="C2480" t="s">
        <v>3220</v>
      </c>
      <c r="D2480" s="2">
        <v>2</v>
      </c>
      <c r="E2480" s="11" t="s">
        <v>204</v>
      </c>
      <c r="F2480" t="s">
        <v>114</v>
      </c>
      <c r="G2480" s="2" t="s">
        <v>31</v>
      </c>
      <c r="H2480" s="1">
        <v>42.294000000000004</v>
      </c>
    </row>
    <row r="2481" spans="1:8" x14ac:dyDescent="0.3">
      <c r="A2481" s="2">
        <v>640</v>
      </c>
      <c r="B2481" t="s">
        <v>269</v>
      </c>
      <c r="C2481" t="s">
        <v>3220</v>
      </c>
      <c r="D2481" s="2">
        <v>1</v>
      </c>
      <c r="E2481" s="11" t="s">
        <v>204</v>
      </c>
      <c r="F2481" t="s">
        <v>114</v>
      </c>
      <c r="G2481" s="2" t="s">
        <v>23</v>
      </c>
      <c r="H2481" s="1">
        <v>42.294000000000004</v>
      </c>
    </row>
    <row r="2482" spans="1:8" x14ac:dyDescent="0.3">
      <c r="A2482" s="2">
        <v>640</v>
      </c>
      <c r="B2482" t="s">
        <v>1499</v>
      </c>
      <c r="C2482" t="s">
        <v>3220</v>
      </c>
      <c r="D2482" s="2">
        <v>1</v>
      </c>
      <c r="E2482" s="11" t="s">
        <v>204</v>
      </c>
      <c r="F2482" t="s">
        <v>959</v>
      </c>
      <c r="G2482" s="2" t="s">
        <v>31</v>
      </c>
      <c r="H2482" s="1">
        <v>42.294000000000004</v>
      </c>
    </row>
    <row r="2483" spans="1:8" x14ac:dyDescent="0.3">
      <c r="A2483" s="2">
        <v>640</v>
      </c>
      <c r="B2483" t="s">
        <v>1528</v>
      </c>
      <c r="C2483" t="s">
        <v>3221</v>
      </c>
      <c r="D2483" s="2">
        <v>3</v>
      </c>
      <c r="E2483" s="11" t="s">
        <v>642</v>
      </c>
      <c r="F2483" t="s">
        <v>47</v>
      </c>
      <c r="G2483" s="2" t="s">
        <v>31</v>
      </c>
      <c r="H2483" s="1">
        <v>95.294000000000011</v>
      </c>
    </row>
    <row r="2484" spans="1:8" x14ac:dyDescent="0.3">
      <c r="A2484" s="2">
        <v>640</v>
      </c>
      <c r="B2484" t="s">
        <v>1800</v>
      </c>
      <c r="C2484" t="s">
        <v>3221</v>
      </c>
      <c r="D2484" s="2">
        <v>2</v>
      </c>
      <c r="E2484" s="11" t="s">
        <v>642</v>
      </c>
      <c r="F2484" t="s">
        <v>47</v>
      </c>
      <c r="G2484" s="2" t="s">
        <v>23</v>
      </c>
      <c r="H2484" s="1">
        <v>95.294000000000011</v>
      </c>
    </row>
    <row r="2485" spans="1:8" x14ac:dyDescent="0.3">
      <c r="A2485" s="2">
        <v>640</v>
      </c>
      <c r="B2485" t="s">
        <v>206</v>
      </c>
      <c r="C2485" t="s">
        <v>3220</v>
      </c>
      <c r="D2485" s="2">
        <v>1</v>
      </c>
      <c r="E2485" s="11" t="s">
        <v>204</v>
      </c>
      <c r="F2485" t="s">
        <v>47</v>
      </c>
      <c r="G2485" s="2" t="s">
        <v>4</v>
      </c>
      <c r="H2485" s="1">
        <v>42.294000000000004</v>
      </c>
    </row>
    <row r="2486" spans="1:8" x14ac:dyDescent="0.3">
      <c r="A2486" s="2">
        <v>640</v>
      </c>
      <c r="B2486" t="s">
        <v>266</v>
      </c>
      <c r="C2486" t="s">
        <v>3220</v>
      </c>
      <c r="D2486" s="2">
        <v>2</v>
      </c>
      <c r="E2486" s="11" t="s">
        <v>204</v>
      </c>
      <c r="F2486" t="s">
        <v>47</v>
      </c>
      <c r="G2486" s="2" t="s">
        <v>31</v>
      </c>
      <c r="H2486" s="1">
        <v>42.294000000000004</v>
      </c>
    </row>
    <row r="2487" spans="1:8" x14ac:dyDescent="0.3">
      <c r="A2487" s="2">
        <v>640</v>
      </c>
      <c r="B2487" t="s">
        <v>710</v>
      </c>
      <c r="C2487" t="s">
        <v>3220</v>
      </c>
      <c r="D2487" s="2">
        <v>1</v>
      </c>
      <c r="E2487" s="11" t="s">
        <v>204</v>
      </c>
      <c r="F2487" t="s">
        <v>47</v>
      </c>
      <c r="G2487" s="2" t="s">
        <v>23</v>
      </c>
      <c r="H2487" s="1">
        <v>42.294000000000004</v>
      </c>
    </row>
    <row r="2488" spans="1:8" x14ac:dyDescent="0.3">
      <c r="A2488" s="2">
        <v>640</v>
      </c>
      <c r="B2488" t="s">
        <v>707</v>
      </c>
      <c r="C2488" t="s">
        <v>3220</v>
      </c>
      <c r="D2488" s="2">
        <v>1</v>
      </c>
      <c r="E2488" s="11" t="s">
        <v>204</v>
      </c>
      <c r="F2488" t="s">
        <v>36</v>
      </c>
      <c r="G2488" s="2" t="s">
        <v>31</v>
      </c>
      <c r="H2488" s="1">
        <v>42.294000000000004</v>
      </c>
    </row>
    <row r="2489" spans="1:8" x14ac:dyDescent="0.3">
      <c r="A2489" s="2">
        <v>640</v>
      </c>
      <c r="B2489" t="s">
        <v>706</v>
      </c>
      <c r="C2489" t="s">
        <v>3220</v>
      </c>
      <c r="D2489" s="2">
        <v>1</v>
      </c>
      <c r="E2489" s="11" t="s">
        <v>204</v>
      </c>
      <c r="F2489" t="s">
        <v>36</v>
      </c>
      <c r="G2489" s="2" t="s">
        <v>23</v>
      </c>
      <c r="H2489" s="1">
        <v>42.294000000000004</v>
      </c>
    </row>
    <row r="2490" spans="1:8" x14ac:dyDescent="0.3">
      <c r="A2490" s="2">
        <v>640</v>
      </c>
      <c r="B2490" t="s">
        <v>717</v>
      </c>
      <c r="C2490" t="s">
        <v>3220</v>
      </c>
      <c r="D2490" s="2">
        <v>1</v>
      </c>
      <c r="E2490" s="11" t="s">
        <v>204</v>
      </c>
      <c r="F2490" t="s">
        <v>28</v>
      </c>
      <c r="G2490" s="2" t="s">
        <v>31</v>
      </c>
      <c r="H2490" s="1">
        <v>42.294000000000004</v>
      </c>
    </row>
    <row r="2491" spans="1:8" x14ac:dyDescent="0.3">
      <c r="A2491" s="2">
        <v>640</v>
      </c>
      <c r="B2491" t="s">
        <v>717</v>
      </c>
      <c r="C2491" t="s">
        <v>3220</v>
      </c>
      <c r="D2491" s="2">
        <v>1</v>
      </c>
      <c r="E2491" s="11" t="s">
        <v>204</v>
      </c>
      <c r="F2491" t="s">
        <v>28</v>
      </c>
      <c r="G2491" s="2" t="s">
        <v>31</v>
      </c>
      <c r="H2491" s="1">
        <v>42.294000000000004</v>
      </c>
    </row>
    <row r="2492" spans="1:8" x14ac:dyDescent="0.3">
      <c r="A2492" s="2">
        <v>640</v>
      </c>
      <c r="B2492" t="s">
        <v>2262</v>
      </c>
      <c r="C2492" t="s">
        <v>3221</v>
      </c>
      <c r="D2492" s="2">
        <v>1</v>
      </c>
      <c r="E2492" s="11" t="s">
        <v>642</v>
      </c>
      <c r="F2492" t="s">
        <v>24</v>
      </c>
      <c r="G2492" s="2" t="s">
        <v>31</v>
      </c>
      <c r="H2492" s="1">
        <v>95.294000000000011</v>
      </c>
    </row>
    <row r="2493" spans="1:8" x14ac:dyDescent="0.3">
      <c r="A2493" s="2">
        <v>641</v>
      </c>
      <c r="B2493" t="s">
        <v>694</v>
      </c>
      <c r="C2493" t="s">
        <v>3220</v>
      </c>
      <c r="D2493" s="2">
        <v>1</v>
      </c>
      <c r="E2493" s="11" t="s">
        <v>204</v>
      </c>
      <c r="F2493" t="s">
        <v>55</v>
      </c>
      <c r="G2493" s="2" t="s">
        <v>4</v>
      </c>
      <c r="H2493" s="1">
        <v>42.294000000000004</v>
      </c>
    </row>
    <row r="2494" spans="1:8" x14ac:dyDescent="0.3">
      <c r="A2494" s="2">
        <v>641</v>
      </c>
      <c r="B2494" t="s">
        <v>278</v>
      </c>
      <c r="C2494" t="s">
        <v>3220</v>
      </c>
      <c r="D2494" s="2">
        <v>1</v>
      </c>
      <c r="E2494" s="11" t="s">
        <v>204</v>
      </c>
      <c r="F2494" t="s">
        <v>55</v>
      </c>
      <c r="G2494" s="2" t="s">
        <v>31</v>
      </c>
      <c r="H2494" s="1">
        <v>42.294000000000004</v>
      </c>
    </row>
    <row r="2495" spans="1:8" x14ac:dyDescent="0.3">
      <c r="A2495" s="2">
        <v>641</v>
      </c>
      <c r="B2495" t="s">
        <v>693</v>
      </c>
      <c r="C2495" t="s">
        <v>3220</v>
      </c>
      <c r="D2495" s="2">
        <v>1</v>
      </c>
      <c r="E2495" s="11" t="s">
        <v>204</v>
      </c>
      <c r="F2495" t="s">
        <v>55</v>
      </c>
      <c r="G2495" s="2" t="s">
        <v>23</v>
      </c>
      <c r="H2495" s="1">
        <v>42.294000000000004</v>
      </c>
    </row>
    <row r="2496" spans="1:8" x14ac:dyDescent="0.3">
      <c r="A2496" s="2">
        <v>641</v>
      </c>
      <c r="B2496" t="s">
        <v>2029</v>
      </c>
      <c r="C2496" t="s">
        <v>1</v>
      </c>
      <c r="D2496" s="2">
        <v>1</v>
      </c>
      <c r="E2496" s="11" t="s">
        <v>1995</v>
      </c>
      <c r="F2496" t="s">
        <v>62</v>
      </c>
      <c r="G2496" s="2" t="s">
        <v>4</v>
      </c>
      <c r="H2496" s="1">
        <v>105.89400000000001</v>
      </c>
    </row>
    <row r="2497" spans="1:8" x14ac:dyDescent="0.3">
      <c r="A2497" s="2">
        <v>641</v>
      </c>
      <c r="B2497" t="s">
        <v>1996</v>
      </c>
      <c r="C2497" t="s">
        <v>1</v>
      </c>
      <c r="D2497" s="2">
        <v>1</v>
      </c>
      <c r="E2497" s="11" t="s">
        <v>1995</v>
      </c>
      <c r="F2497" t="s">
        <v>62</v>
      </c>
      <c r="G2497" s="2" t="s">
        <v>31</v>
      </c>
      <c r="H2497" s="1">
        <v>105.89400000000001</v>
      </c>
    </row>
    <row r="2498" spans="1:8" x14ac:dyDescent="0.3">
      <c r="A2498" s="2">
        <v>641</v>
      </c>
      <c r="B2498" t="s">
        <v>2190</v>
      </c>
      <c r="C2498" t="s">
        <v>1</v>
      </c>
      <c r="D2498" s="2">
        <v>1</v>
      </c>
      <c r="E2498" s="11" t="s">
        <v>1995</v>
      </c>
      <c r="F2498" t="s">
        <v>62</v>
      </c>
      <c r="G2498" s="2" t="s">
        <v>23</v>
      </c>
      <c r="H2498" s="1">
        <v>105.89400000000001</v>
      </c>
    </row>
    <row r="2499" spans="1:8" x14ac:dyDescent="0.3">
      <c r="A2499" s="2">
        <v>641</v>
      </c>
      <c r="B2499" t="s">
        <v>2261</v>
      </c>
      <c r="C2499" t="s">
        <v>3219</v>
      </c>
      <c r="D2499" s="2">
        <v>1</v>
      </c>
      <c r="E2499" s="11" t="s">
        <v>2258</v>
      </c>
      <c r="F2499" t="s">
        <v>28</v>
      </c>
      <c r="G2499" s="2" t="s">
        <v>4</v>
      </c>
      <c r="H2499" s="1">
        <v>132.39400000000001</v>
      </c>
    </row>
    <row r="2500" spans="1:8" x14ac:dyDescent="0.3">
      <c r="A2500" s="2">
        <v>641</v>
      </c>
      <c r="B2500" t="s">
        <v>2260</v>
      </c>
      <c r="C2500" t="s">
        <v>3219</v>
      </c>
      <c r="D2500" s="2">
        <v>1</v>
      </c>
      <c r="E2500" s="11" t="s">
        <v>2258</v>
      </c>
      <c r="F2500" t="s">
        <v>28</v>
      </c>
      <c r="G2500" s="2" t="s">
        <v>31</v>
      </c>
      <c r="H2500" s="1">
        <v>132.39400000000001</v>
      </c>
    </row>
    <row r="2501" spans="1:8" x14ac:dyDescent="0.3">
      <c r="A2501" s="2">
        <v>641</v>
      </c>
      <c r="B2501" t="s">
        <v>2259</v>
      </c>
      <c r="C2501" t="s">
        <v>3219</v>
      </c>
      <c r="D2501" s="2">
        <v>2</v>
      </c>
      <c r="E2501" s="11" t="s">
        <v>2258</v>
      </c>
      <c r="F2501" t="s">
        <v>28</v>
      </c>
      <c r="G2501" s="2" t="s">
        <v>23</v>
      </c>
      <c r="H2501" s="1">
        <v>132.39400000000001</v>
      </c>
    </row>
    <row r="2502" spans="1:8" x14ac:dyDescent="0.3">
      <c r="A2502" s="2">
        <v>641</v>
      </c>
      <c r="B2502" t="s">
        <v>2257</v>
      </c>
      <c r="C2502" t="s">
        <v>1</v>
      </c>
      <c r="D2502" s="2">
        <v>1</v>
      </c>
      <c r="E2502" s="11" t="s">
        <v>1966</v>
      </c>
      <c r="F2502" t="s">
        <v>47</v>
      </c>
      <c r="G2502" s="2" t="s">
        <v>4</v>
      </c>
      <c r="H2502" s="1">
        <v>52.893999999999998</v>
      </c>
    </row>
    <row r="2503" spans="1:8" x14ac:dyDescent="0.3">
      <c r="A2503" s="2">
        <v>641</v>
      </c>
      <c r="B2503" t="s">
        <v>2148</v>
      </c>
      <c r="C2503" t="s">
        <v>1</v>
      </c>
      <c r="D2503" s="2">
        <v>1</v>
      </c>
      <c r="E2503" s="11" t="s">
        <v>1966</v>
      </c>
      <c r="F2503" t="s">
        <v>47</v>
      </c>
      <c r="G2503" s="2" t="s">
        <v>31</v>
      </c>
      <c r="H2503" s="1">
        <v>52.893999999999998</v>
      </c>
    </row>
    <row r="2504" spans="1:8" x14ac:dyDescent="0.3">
      <c r="A2504" s="2">
        <v>641</v>
      </c>
      <c r="B2504" t="s">
        <v>2147</v>
      </c>
      <c r="C2504" t="s">
        <v>1</v>
      </c>
      <c r="D2504" s="2">
        <v>1</v>
      </c>
      <c r="E2504" s="11" t="s">
        <v>1966</v>
      </c>
      <c r="F2504" t="s">
        <v>47</v>
      </c>
      <c r="G2504" s="2" t="s">
        <v>23</v>
      </c>
      <c r="H2504" s="1">
        <v>52.893999999999998</v>
      </c>
    </row>
    <row r="2505" spans="1:8" x14ac:dyDescent="0.3">
      <c r="A2505" s="2">
        <v>641</v>
      </c>
      <c r="B2505" t="s">
        <v>1967</v>
      </c>
      <c r="C2505" t="s">
        <v>1</v>
      </c>
      <c r="D2505" s="2">
        <v>1</v>
      </c>
      <c r="E2505" s="11" t="s">
        <v>1966</v>
      </c>
      <c r="F2505" t="s">
        <v>39</v>
      </c>
      <c r="G2505" s="2" t="s">
        <v>4</v>
      </c>
      <c r="H2505" s="1">
        <v>52.893999999999998</v>
      </c>
    </row>
    <row r="2506" spans="1:8" x14ac:dyDescent="0.3">
      <c r="A2506" s="2">
        <v>641</v>
      </c>
      <c r="B2506" t="s">
        <v>2256</v>
      </c>
      <c r="C2506" t="s">
        <v>1</v>
      </c>
      <c r="D2506" s="2">
        <v>1</v>
      </c>
      <c r="E2506" s="11" t="s">
        <v>1966</v>
      </c>
      <c r="F2506" t="s">
        <v>39</v>
      </c>
      <c r="G2506" s="2" t="s">
        <v>23</v>
      </c>
      <c r="H2506" s="1">
        <v>52.893999999999998</v>
      </c>
    </row>
    <row r="2507" spans="1:8" x14ac:dyDescent="0.3">
      <c r="A2507" s="2">
        <v>641</v>
      </c>
      <c r="B2507" t="s">
        <v>2162</v>
      </c>
      <c r="C2507" t="s">
        <v>3225</v>
      </c>
      <c r="D2507" s="2">
        <v>1</v>
      </c>
      <c r="E2507" s="11" t="s">
        <v>2073</v>
      </c>
      <c r="F2507" t="s">
        <v>39</v>
      </c>
      <c r="G2507" s="2" t="s">
        <v>4</v>
      </c>
      <c r="H2507" s="1">
        <v>201.29400000000001</v>
      </c>
    </row>
    <row r="2508" spans="1:8" x14ac:dyDescent="0.3">
      <c r="A2508" s="2">
        <v>641</v>
      </c>
      <c r="B2508" t="s">
        <v>2187</v>
      </c>
      <c r="C2508" t="s">
        <v>3225</v>
      </c>
      <c r="D2508" s="2">
        <v>1</v>
      </c>
      <c r="E2508" s="11" t="s">
        <v>2073</v>
      </c>
      <c r="F2508" t="s">
        <v>39</v>
      </c>
      <c r="G2508" s="2" t="s">
        <v>31</v>
      </c>
      <c r="H2508" s="1">
        <v>201.29400000000001</v>
      </c>
    </row>
    <row r="2509" spans="1:8" x14ac:dyDescent="0.3">
      <c r="A2509" s="2">
        <v>641</v>
      </c>
      <c r="B2509" t="s">
        <v>2161</v>
      </c>
      <c r="C2509" t="s">
        <v>3225</v>
      </c>
      <c r="D2509" s="2">
        <v>2</v>
      </c>
      <c r="E2509" s="11" t="s">
        <v>2073</v>
      </c>
      <c r="F2509" t="s">
        <v>39</v>
      </c>
      <c r="G2509" s="2" t="s">
        <v>23</v>
      </c>
      <c r="H2509" s="1">
        <v>201.29400000000001</v>
      </c>
    </row>
    <row r="2510" spans="1:8" x14ac:dyDescent="0.3">
      <c r="A2510" s="2">
        <v>641</v>
      </c>
      <c r="B2510" t="s">
        <v>2255</v>
      </c>
      <c r="C2510" t="s">
        <v>3219</v>
      </c>
      <c r="D2510" s="2">
        <v>1</v>
      </c>
      <c r="E2510" s="11" t="s">
        <v>2251</v>
      </c>
      <c r="F2510" t="s">
        <v>36</v>
      </c>
      <c r="G2510" s="2" t="s">
        <v>4</v>
      </c>
      <c r="H2510" s="1">
        <v>169.49400000000003</v>
      </c>
    </row>
    <row r="2511" spans="1:8" x14ac:dyDescent="0.3">
      <c r="A2511" s="2">
        <v>641</v>
      </c>
      <c r="B2511" t="s">
        <v>2254</v>
      </c>
      <c r="C2511" t="s">
        <v>3219</v>
      </c>
      <c r="D2511" s="2">
        <v>1</v>
      </c>
      <c r="E2511" s="11" t="s">
        <v>2251</v>
      </c>
      <c r="F2511" t="s">
        <v>36</v>
      </c>
      <c r="G2511" s="2" t="s">
        <v>23</v>
      </c>
      <c r="H2511" s="1">
        <v>169.49400000000003</v>
      </c>
    </row>
    <row r="2512" spans="1:8" x14ac:dyDescent="0.3">
      <c r="A2512" s="2">
        <v>641</v>
      </c>
      <c r="B2512" t="s">
        <v>1261</v>
      </c>
      <c r="C2512" t="s">
        <v>3220</v>
      </c>
      <c r="D2512" s="2">
        <v>1</v>
      </c>
      <c r="E2512" s="11" t="s">
        <v>204</v>
      </c>
      <c r="F2512" t="s">
        <v>36</v>
      </c>
      <c r="G2512" s="2" t="s">
        <v>4</v>
      </c>
      <c r="H2512" s="1">
        <v>42.294000000000004</v>
      </c>
    </row>
    <row r="2513" spans="1:8" x14ac:dyDescent="0.3">
      <c r="A2513" s="2">
        <v>641</v>
      </c>
      <c r="B2513" t="s">
        <v>707</v>
      </c>
      <c r="C2513" t="s">
        <v>3220</v>
      </c>
      <c r="D2513" s="2">
        <v>1</v>
      </c>
      <c r="E2513" s="11" t="s">
        <v>204</v>
      </c>
      <c r="F2513" t="s">
        <v>36</v>
      </c>
      <c r="G2513" s="2" t="s">
        <v>31</v>
      </c>
      <c r="H2513" s="1">
        <v>42.294000000000004</v>
      </c>
    </row>
    <row r="2514" spans="1:8" x14ac:dyDescent="0.3">
      <c r="A2514" s="2">
        <v>641</v>
      </c>
      <c r="B2514" t="s">
        <v>706</v>
      </c>
      <c r="C2514" t="s">
        <v>3220</v>
      </c>
      <c r="D2514" s="2">
        <v>2</v>
      </c>
      <c r="E2514" s="11" t="s">
        <v>204</v>
      </c>
      <c r="F2514" t="s">
        <v>36</v>
      </c>
      <c r="G2514" s="2" t="s">
        <v>23</v>
      </c>
      <c r="H2514" s="1">
        <v>42.294000000000004</v>
      </c>
    </row>
    <row r="2515" spans="1:8" x14ac:dyDescent="0.3">
      <c r="A2515" s="2">
        <v>641</v>
      </c>
      <c r="B2515" t="s">
        <v>2253</v>
      </c>
      <c r="C2515" t="s">
        <v>0</v>
      </c>
      <c r="D2515" s="2">
        <v>1</v>
      </c>
      <c r="E2515" s="11" t="s">
        <v>267</v>
      </c>
      <c r="F2515" t="s">
        <v>28</v>
      </c>
      <c r="G2515" s="2" t="s">
        <v>4</v>
      </c>
      <c r="H2515" s="1">
        <v>158.89400000000001</v>
      </c>
    </row>
    <row r="2516" spans="1:8" x14ac:dyDescent="0.3">
      <c r="A2516" s="2">
        <v>641</v>
      </c>
      <c r="B2516" t="s">
        <v>2176</v>
      </c>
      <c r="C2516" t="s">
        <v>0</v>
      </c>
      <c r="D2516" s="2">
        <v>1</v>
      </c>
      <c r="E2516" s="11" t="s">
        <v>267</v>
      </c>
      <c r="F2516" t="s">
        <v>28</v>
      </c>
      <c r="G2516" s="2" t="s">
        <v>31</v>
      </c>
      <c r="H2516" s="1">
        <v>158.89400000000001</v>
      </c>
    </row>
    <row r="2517" spans="1:8" x14ac:dyDescent="0.3">
      <c r="A2517" s="2">
        <v>641</v>
      </c>
      <c r="B2517" t="s">
        <v>1799</v>
      </c>
      <c r="C2517" t="s">
        <v>0</v>
      </c>
      <c r="D2517" s="2">
        <v>2</v>
      </c>
      <c r="E2517" s="11" t="s">
        <v>267</v>
      </c>
      <c r="F2517" t="s">
        <v>28</v>
      </c>
      <c r="G2517" s="2" t="s">
        <v>23</v>
      </c>
      <c r="H2517" s="1">
        <v>158.89400000000001</v>
      </c>
    </row>
    <row r="2518" spans="1:8" x14ac:dyDescent="0.3">
      <c r="A2518" s="2">
        <v>641</v>
      </c>
      <c r="B2518" t="s">
        <v>717</v>
      </c>
      <c r="C2518" t="s">
        <v>3220</v>
      </c>
      <c r="D2518" s="2">
        <v>1</v>
      </c>
      <c r="E2518" s="11" t="s">
        <v>204</v>
      </c>
      <c r="F2518" t="s">
        <v>28</v>
      </c>
      <c r="G2518" s="2" t="s">
        <v>31</v>
      </c>
      <c r="H2518" s="1">
        <v>42.294000000000004</v>
      </c>
    </row>
    <row r="2519" spans="1:8" x14ac:dyDescent="0.3">
      <c r="A2519" s="2">
        <v>641</v>
      </c>
      <c r="B2519" t="s">
        <v>289</v>
      </c>
      <c r="C2519" t="s">
        <v>3220</v>
      </c>
      <c r="D2519" s="2">
        <v>1</v>
      </c>
      <c r="E2519" s="11" t="s">
        <v>204</v>
      </c>
      <c r="F2519" t="s">
        <v>28</v>
      </c>
      <c r="G2519" s="2" t="s">
        <v>23</v>
      </c>
      <c r="H2519" s="1">
        <v>42.294000000000004</v>
      </c>
    </row>
    <row r="2520" spans="1:8" x14ac:dyDescent="0.3">
      <c r="A2520" s="2">
        <v>642</v>
      </c>
      <c r="B2520" t="s">
        <v>2252</v>
      </c>
      <c r="C2520" t="s">
        <v>3219</v>
      </c>
      <c r="D2520" s="2">
        <v>1</v>
      </c>
      <c r="E2520" s="11" t="s">
        <v>2251</v>
      </c>
      <c r="F2520" t="s">
        <v>126</v>
      </c>
      <c r="G2520" s="2" t="s">
        <v>4</v>
      </c>
      <c r="H2520" s="1">
        <v>169.49400000000003</v>
      </c>
    </row>
    <row r="2521" spans="1:8" x14ac:dyDescent="0.3">
      <c r="A2521" s="2">
        <v>642</v>
      </c>
      <c r="B2521" t="s">
        <v>2250</v>
      </c>
      <c r="C2521" t="s">
        <v>3224</v>
      </c>
      <c r="D2521" s="2">
        <v>1</v>
      </c>
      <c r="E2521" s="11" t="s">
        <v>191</v>
      </c>
      <c r="F2521" t="s">
        <v>126</v>
      </c>
      <c r="G2521" s="2" t="s">
        <v>4</v>
      </c>
      <c r="H2521" s="1">
        <v>63.494000000000007</v>
      </c>
    </row>
    <row r="2522" spans="1:8" x14ac:dyDescent="0.3">
      <c r="A2522" s="2">
        <v>642</v>
      </c>
      <c r="B2522" t="s">
        <v>2249</v>
      </c>
      <c r="C2522" t="s">
        <v>3221</v>
      </c>
      <c r="D2522" s="2">
        <v>1</v>
      </c>
      <c r="E2522" s="11" t="s">
        <v>199</v>
      </c>
      <c r="F2522" t="s">
        <v>114</v>
      </c>
      <c r="G2522" s="2" t="s">
        <v>4</v>
      </c>
      <c r="H2522" s="1">
        <v>137.69400000000002</v>
      </c>
    </row>
    <row r="2523" spans="1:8" x14ac:dyDescent="0.3">
      <c r="A2523" s="2">
        <v>642</v>
      </c>
      <c r="B2523" t="s">
        <v>200</v>
      </c>
      <c r="C2523" t="s">
        <v>3221</v>
      </c>
      <c r="D2523" s="2">
        <v>1</v>
      </c>
      <c r="E2523" s="11" t="s">
        <v>199</v>
      </c>
      <c r="F2523" t="s">
        <v>39</v>
      </c>
      <c r="G2523" s="2" t="s">
        <v>31</v>
      </c>
      <c r="H2523" s="1">
        <v>137.69400000000002</v>
      </c>
    </row>
    <row r="2524" spans="1:8" x14ac:dyDescent="0.3">
      <c r="A2524" s="2">
        <v>642</v>
      </c>
      <c r="B2524" t="s">
        <v>2187</v>
      </c>
      <c r="C2524" t="s">
        <v>3225</v>
      </c>
      <c r="D2524" s="2">
        <v>2</v>
      </c>
      <c r="E2524" s="11" t="s">
        <v>2073</v>
      </c>
      <c r="F2524" t="s">
        <v>39</v>
      </c>
      <c r="G2524" s="2" t="s">
        <v>31</v>
      </c>
      <c r="H2524" s="1">
        <v>201.29400000000001</v>
      </c>
    </row>
    <row r="2525" spans="1:8" x14ac:dyDescent="0.3">
      <c r="A2525" s="2">
        <v>642</v>
      </c>
      <c r="B2525" t="s">
        <v>1583</v>
      </c>
      <c r="C2525" t="s">
        <v>0</v>
      </c>
      <c r="D2525" s="2">
        <v>1</v>
      </c>
      <c r="E2525" s="11" t="s">
        <v>336</v>
      </c>
      <c r="F2525" t="s">
        <v>39</v>
      </c>
      <c r="G2525" s="2" t="s">
        <v>31</v>
      </c>
      <c r="H2525" s="1">
        <v>201.29400000000001</v>
      </c>
    </row>
    <row r="2526" spans="1:8" x14ac:dyDescent="0.3">
      <c r="A2526" s="2">
        <v>642</v>
      </c>
      <c r="B2526" t="s">
        <v>2248</v>
      </c>
      <c r="C2526" t="s">
        <v>3221</v>
      </c>
      <c r="D2526" s="2">
        <v>1</v>
      </c>
      <c r="E2526" s="11" t="s">
        <v>1462</v>
      </c>
      <c r="F2526" t="s">
        <v>36</v>
      </c>
      <c r="G2526" s="2" t="s">
        <v>31</v>
      </c>
      <c r="H2526" s="1">
        <v>116.49400000000001</v>
      </c>
    </row>
    <row r="2527" spans="1:8" x14ac:dyDescent="0.3">
      <c r="A2527" s="2">
        <v>642</v>
      </c>
      <c r="B2527" t="s">
        <v>2247</v>
      </c>
      <c r="C2527" t="s">
        <v>1</v>
      </c>
      <c r="D2527" s="2">
        <v>1</v>
      </c>
      <c r="E2527" s="11" t="s">
        <v>1653</v>
      </c>
      <c r="F2527" t="s">
        <v>28</v>
      </c>
      <c r="G2527" s="2" t="s">
        <v>31</v>
      </c>
      <c r="H2527" s="1">
        <v>79.394000000000005</v>
      </c>
    </row>
    <row r="2528" spans="1:8" x14ac:dyDescent="0.3">
      <c r="A2528" s="2">
        <v>642</v>
      </c>
      <c r="B2528" t="s">
        <v>2177</v>
      </c>
      <c r="C2528" t="s">
        <v>3225</v>
      </c>
      <c r="D2528" s="2">
        <v>1</v>
      </c>
      <c r="E2528" s="11" t="s">
        <v>2073</v>
      </c>
      <c r="F2528" t="s">
        <v>28</v>
      </c>
      <c r="G2528" s="2" t="s">
        <v>31</v>
      </c>
      <c r="H2528" s="1">
        <v>201.29400000000001</v>
      </c>
    </row>
    <row r="2529" spans="1:8" x14ac:dyDescent="0.3">
      <c r="A2529" s="2">
        <v>642</v>
      </c>
      <c r="B2529" t="s">
        <v>2176</v>
      </c>
      <c r="C2529" t="s">
        <v>0</v>
      </c>
      <c r="D2529" s="2">
        <v>2</v>
      </c>
      <c r="E2529" s="11" t="s">
        <v>267</v>
      </c>
      <c r="F2529" t="s">
        <v>28</v>
      </c>
      <c r="G2529" s="2" t="s">
        <v>31</v>
      </c>
      <c r="H2529" s="1">
        <v>158.89400000000001</v>
      </c>
    </row>
    <row r="2530" spans="1:8" x14ac:dyDescent="0.3">
      <c r="A2530" s="2">
        <v>643</v>
      </c>
      <c r="B2530" t="s">
        <v>1367</v>
      </c>
      <c r="C2530" t="s">
        <v>0</v>
      </c>
      <c r="D2530" s="2">
        <v>1</v>
      </c>
      <c r="E2530" s="11" t="s">
        <v>1083</v>
      </c>
      <c r="F2530" t="s">
        <v>55</v>
      </c>
      <c r="G2530" s="2" t="s">
        <v>4</v>
      </c>
      <c r="H2530" s="1">
        <v>169.49400000000003</v>
      </c>
    </row>
    <row r="2531" spans="1:8" x14ac:dyDescent="0.3">
      <c r="A2531" s="2">
        <v>643</v>
      </c>
      <c r="B2531" t="s">
        <v>2222</v>
      </c>
      <c r="C2531" t="s">
        <v>0</v>
      </c>
      <c r="D2531" s="2">
        <v>1</v>
      </c>
      <c r="E2531" s="11" t="s">
        <v>1083</v>
      </c>
      <c r="F2531" t="s">
        <v>55</v>
      </c>
      <c r="G2531" s="2" t="s">
        <v>23</v>
      </c>
      <c r="H2531" s="1">
        <v>169.49400000000003</v>
      </c>
    </row>
    <row r="2532" spans="1:8" x14ac:dyDescent="0.3">
      <c r="A2532" s="2">
        <v>643</v>
      </c>
      <c r="B2532" t="s">
        <v>2041</v>
      </c>
      <c r="C2532" t="s">
        <v>3224</v>
      </c>
      <c r="D2532" s="2">
        <v>1</v>
      </c>
      <c r="E2532" s="11" t="s">
        <v>1685</v>
      </c>
      <c r="F2532" t="s">
        <v>62</v>
      </c>
      <c r="G2532" s="2" t="s">
        <v>23</v>
      </c>
      <c r="H2532" s="1">
        <v>79.394000000000005</v>
      </c>
    </row>
    <row r="2533" spans="1:8" x14ac:dyDescent="0.3">
      <c r="A2533" s="2">
        <v>643</v>
      </c>
      <c r="B2533" t="s">
        <v>2008</v>
      </c>
      <c r="C2533" t="s">
        <v>3</v>
      </c>
      <c r="D2533" s="2">
        <v>1</v>
      </c>
      <c r="E2533" s="11" t="s">
        <v>1767</v>
      </c>
      <c r="F2533" t="s">
        <v>62</v>
      </c>
      <c r="G2533" s="2" t="s">
        <v>23</v>
      </c>
      <c r="H2533" s="1">
        <v>95.294000000000011</v>
      </c>
    </row>
    <row r="2534" spans="1:8" x14ac:dyDescent="0.3">
      <c r="A2534" s="2">
        <v>643</v>
      </c>
      <c r="B2534" t="s">
        <v>2246</v>
      </c>
      <c r="C2534" t="s">
        <v>3224</v>
      </c>
      <c r="D2534" s="2">
        <v>1</v>
      </c>
      <c r="E2534" s="11" t="s">
        <v>2039</v>
      </c>
      <c r="F2534" t="s">
        <v>254</v>
      </c>
      <c r="G2534" s="2" t="s">
        <v>4</v>
      </c>
      <c r="H2534" s="1">
        <v>79.394000000000005</v>
      </c>
    </row>
    <row r="2535" spans="1:8" x14ac:dyDescent="0.3">
      <c r="A2535" s="2">
        <v>643</v>
      </c>
      <c r="B2535" t="s">
        <v>2040</v>
      </c>
      <c r="C2535" t="s">
        <v>3224</v>
      </c>
      <c r="D2535" s="2">
        <v>1</v>
      </c>
      <c r="E2535" s="11" t="s">
        <v>2039</v>
      </c>
      <c r="F2535" t="s">
        <v>254</v>
      </c>
      <c r="G2535" s="2" t="s">
        <v>31</v>
      </c>
      <c r="H2535" s="1">
        <v>79.394000000000005</v>
      </c>
    </row>
    <row r="2536" spans="1:8" x14ac:dyDescent="0.3">
      <c r="A2536" s="2">
        <v>643</v>
      </c>
      <c r="B2536" t="s">
        <v>2109</v>
      </c>
      <c r="C2536" t="s">
        <v>3224</v>
      </c>
      <c r="D2536" s="2">
        <v>1</v>
      </c>
      <c r="E2536" s="11" t="s">
        <v>2039</v>
      </c>
      <c r="F2536" t="s">
        <v>254</v>
      </c>
      <c r="G2536" s="2" t="s">
        <v>23</v>
      </c>
      <c r="H2536" s="1">
        <v>79.394000000000005</v>
      </c>
    </row>
    <row r="2537" spans="1:8" x14ac:dyDescent="0.3">
      <c r="A2537" s="2">
        <v>643</v>
      </c>
      <c r="B2537" t="s">
        <v>2245</v>
      </c>
      <c r="C2537" t="s">
        <v>2</v>
      </c>
      <c r="D2537" s="2">
        <v>1</v>
      </c>
      <c r="E2537" s="11" t="s">
        <v>2037</v>
      </c>
      <c r="F2537" t="s">
        <v>254</v>
      </c>
      <c r="G2537" s="2" t="s">
        <v>4</v>
      </c>
      <c r="H2537" s="1">
        <v>100.59400000000001</v>
      </c>
    </row>
    <row r="2538" spans="1:8" x14ac:dyDescent="0.3">
      <c r="A2538" s="2">
        <v>643</v>
      </c>
      <c r="B2538" t="s">
        <v>2038</v>
      </c>
      <c r="C2538" t="s">
        <v>2</v>
      </c>
      <c r="D2538" s="2">
        <v>1</v>
      </c>
      <c r="E2538" s="11" t="s">
        <v>2037</v>
      </c>
      <c r="F2538" t="s">
        <v>254</v>
      </c>
      <c r="G2538" s="2" t="s">
        <v>31</v>
      </c>
      <c r="H2538" s="1">
        <v>100.59400000000001</v>
      </c>
    </row>
    <row r="2539" spans="1:8" x14ac:dyDescent="0.3">
      <c r="A2539" s="2">
        <v>643</v>
      </c>
      <c r="B2539" t="s">
        <v>2106</v>
      </c>
      <c r="C2539" t="s">
        <v>2</v>
      </c>
      <c r="D2539" s="2">
        <v>1</v>
      </c>
      <c r="E2539" s="11" t="s">
        <v>2037</v>
      </c>
      <c r="F2539" t="s">
        <v>254</v>
      </c>
      <c r="G2539" s="2" t="s">
        <v>23</v>
      </c>
      <c r="H2539" s="1">
        <v>100.59400000000001</v>
      </c>
    </row>
    <row r="2540" spans="1:8" x14ac:dyDescent="0.3">
      <c r="A2540" s="2">
        <v>643</v>
      </c>
      <c r="B2540" t="s">
        <v>1975</v>
      </c>
      <c r="C2540" t="s">
        <v>0</v>
      </c>
      <c r="D2540" s="2">
        <v>1</v>
      </c>
      <c r="E2540" s="11" t="s">
        <v>1960</v>
      </c>
      <c r="F2540" t="s">
        <v>62</v>
      </c>
      <c r="G2540" s="2" t="s">
        <v>4</v>
      </c>
      <c r="H2540" s="1">
        <v>132.39400000000001</v>
      </c>
    </row>
    <row r="2541" spans="1:8" x14ac:dyDescent="0.3">
      <c r="A2541" s="2">
        <v>643</v>
      </c>
      <c r="B2541" t="s">
        <v>2028</v>
      </c>
      <c r="C2541" t="s">
        <v>0</v>
      </c>
      <c r="D2541" s="2">
        <v>1</v>
      </c>
      <c r="E2541" s="11" t="s">
        <v>1960</v>
      </c>
      <c r="F2541" t="s">
        <v>62</v>
      </c>
      <c r="G2541" s="2" t="s">
        <v>31</v>
      </c>
      <c r="H2541" s="1">
        <v>132.39400000000001</v>
      </c>
    </row>
    <row r="2542" spans="1:8" x14ac:dyDescent="0.3">
      <c r="A2542" s="2">
        <v>643</v>
      </c>
      <c r="B2542" t="s">
        <v>1962</v>
      </c>
      <c r="C2542" t="s">
        <v>0</v>
      </c>
      <c r="D2542" s="2">
        <v>1</v>
      </c>
      <c r="E2542" s="11" t="s">
        <v>1960</v>
      </c>
      <c r="F2542" t="s">
        <v>62</v>
      </c>
      <c r="G2542" s="2" t="s">
        <v>23</v>
      </c>
      <c r="H2542" s="1">
        <v>132.39400000000001</v>
      </c>
    </row>
    <row r="2543" spans="1:8" x14ac:dyDescent="0.3">
      <c r="A2543" s="2">
        <v>643</v>
      </c>
      <c r="B2543" t="s">
        <v>1276</v>
      </c>
      <c r="C2543" t="s">
        <v>3</v>
      </c>
      <c r="D2543" s="2">
        <v>1</v>
      </c>
      <c r="E2543" s="11" t="s">
        <v>434</v>
      </c>
      <c r="F2543" t="s">
        <v>55</v>
      </c>
      <c r="G2543" s="2" t="s">
        <v>4</v>
      </c>
      <c r="H2543" s="1">
        <v>105.89400000000001</v>
      </c>
    </row>
    <row r="2544" spans="1:8" x14ac:dyDescent="0.3">
      <c r="A2544" s="2">
        <v>643</v>
      </c>
      <c r="B2544" t="s">
        <v>766</v>
      </c>
      <c r="C2544" t="s">
        <v>3</v>
      </c>
      <c r="D2544" s="2">
        <v>1</v>
      </c>
      <c r="E2544" s="11" t="s">
        <v>434</v>
      </c>
      <c r="F2544" t="s">
        <v>55</v>
      </c>
      <c r="G2544" s="2" t="s">
        <v>31</v>
      </c>
      <c r="H2544" s="1">
        <v>105.89400000000001</v>
      </c>
    </row>
    <row r="2545" spans="1:8" x14ac:dyDescent="0.3">
      <c r="A2545" s="2">
        <v>643</v>
      </c>
      <c r="B2545" t="s">
        <v>1200</v>
      </c>
      <c r="C2545" t="s">
        <v>3</v>
      </c>
      <c r="D2545" s="2">
        <v>1</v>
      </c>
      <c r="E2545" s="11" t="s">
        <v>434</v>
      </c>
      <c r="F2545" t="s">
        <v>55</v>
      </c>
      <c r="G2545" s="2" t="s">
        <v>23</v>
      </c>
      <c r="H2545" s="1">
        <v>105.89400000000001</v>
      </c>
    </row>
    <row r="2546" spans="1:8" x14ac:dyDescent="0.3">
      <c r="A2546" s="2">
        <v>643</v>
      </c>
      <c r="B2546" t="s">
        <v>2244</v>
      </c>
      <c r="C2546" t="s">
        <v>3</v>
      </c>
      <c r="D2546" s="2">
        <v>1</v>
      </c>
      <c r="E2546" s="11" t="s">
        <v>1997</v>
      </c>
      <c r="F2546" t="s">
        <v>959</v>
      </c>
      <c r="G2546" s="2" t="s">
        <v>23</v>
      </c>
      <c r="H2546" s="1">
        <v>68.794000000000011</v>
      </c>
    </row>
    <row r="2547" spans="1:8" x14ac:dyDescent="0.3">
      <c r="A2547" s="2">
        <v>643</v>
      </c>
      <c r="B2547" t="s">
        <v>2026</v>
      </c>
      <c r="C2547" t="s">
        <v>1</v>
      </c>
      <c r="D2547" s="2">
        <v>1</v>
      </c>
      <c r="E2547" s="11" t="s">
        <v>1995</v>
      </c>
      <c r="F2547" t="s">
        <v>959</v>
      </c>
      <c r="G2547" s="2" t="s">
        <v>23</v>
      </c>
      <c r="H2547" s="1">
        <v>105.89400000000001</v>
      </c>
    </row>
    <row r="2548" spans="1:8" x14ac:dyDescent="0.3">
      <c r="A2548" s="2">
        <v>643</v>
      </c>
      <c r="B2548" t="s">
        <v>1215</v>
      </c>
      <c r="C2548" t="s">
        <v>3219</v>
      </c>
      <c r="D2548" s="2">
        <v>1</v>
      </c>
      <c r="E2548" s="11" t="s">
        <v>1214</v>
      </c>
      <c r="F2548" t="s">
        <v>114</v>
      </c>
      <c r="G2548" s="2" t="s">
        <v>4</v>
      </c>
      <c r="H2548" s="1">
        <v>127.09400000000001</v>
      </c>
    </row>
    <row r="2549" spans="1:8" x14ac:dyDescent="0.3">
      <c r="A2549" s="2">
        <v>643</v>
      </c>
      <c r="B2549" t="s">
        <v>1000</v>
      </c>
      <c r="C2549" t="s">
        <v>3</v>
      </c>
      <c r="D2549" s="2">
        <v>1</v>
      </c>
      <c r="E2549" s="11" t="s">
        <v>434</v>
      </c>
      <c r="F2549" t="s">
        <v>114</v>
      </c>
      <c r="G2549" s="2" t="s">
        <v>23</v>
      </c>
      <c r="H2549" s="1">
        <v>105.89400000000001</v>
      </c>
    </row>
    <row r="2550" spans="1:8" x14ac:dyDescent="0.3">
      <c r="A2550" s="2">
        <v>643</v>
      </c>
      <c r="B2550" t="s">
        <v>2169</v>
      </c>
      <c r="C2550" t="s">
        <v>3224</v>
      </c>
      <c r="D2550" s="2">
        <v>1</v>
      </c>
      <c r="E2550" s="11" t="s">
        <v>1880</v>
      </c>
      <c r="F2550" t="s">
        <v>114</v>
      </c>
      <c r="G2550" s="2" t="s">
        <v>31</v>
      </c>
      <c r="H2550" s="1">
        <v>74.094000000000008</v>
      </c>
    </row>
    <row r="2551" spans="1:8" x14ac:dyDescent="0.3">
      <c r="A2551" s="2">
        <v>643</v>
      </c>
      <c r="B2551" t="s">
        <v>2168</v>
      </c>
      <c r="C2551" t="s">
        <v>3224</v>
      </c>
      <c r="D2551" s="2">
        <v>1</v>
      </c>
      <c r="E2551" s="11" t="s">
        <v>1880</v>
      </c>
      <c r="F2551" t="s">
        <v>114</v>
      </c>
      <c r="G2551" s="2" t="s">
        <v>23</v>
      </c>
      <c r="H2551" s="1">
        <v>74.094000000000008</v>
      </c>
    </row>
    <row r="2552" spans="1:8" x14ac:dyDescent="0.3">
      <c r="A2552" s="2">
        <v>643</v>
      </c>
      <c r="B2552" t="s">
        <v>2167</v>
      </c>
      <c r="C2552" t="s">
        <v>2</v>
      </c>
      <c r="D2552" s="2">
        <v>1</v>
      </c>
      <c r="E2552" s="11" t="s">
        <v>733</v>
      </c>
      <c r="F2552" t="s">
        <v>114</v>
      </c>
      <c r="G2552" s="2" t="s">
        <v>31</v>
      </c>
      <c r="H2552" s="1">
        <v>132.39400000000001</v>
      </c>
    </row>
    <row r="2553" spans="1:8" x14ac:dyDescent="0.3">
      <c r="A2553" s="2">
        <v>643</v>
      </c>
      <c r="B2553" t="s">
        <v>1501</v>
      </c>
      <c r="C2553" t="s">
        <v>2</v>
      </c>
      <c r="D2553" s="2">
        <v>1</v>
      </c>
      <c r="E2553" s="11" t="s">
        <v>733</v>
      </c>
      <c r="F2553" t="s">
        <v>114</v>
      </c>
      <c r="G2553" s="2" t="s">
        <v>23</v>
      </c>
      <c r="H2553" s="1">
        <v>132.39400000000001</v>
      </c>
    </row>
    <row r="2554" spans="1:8" x14ac:dyDescent="0.3">
      <c r="A2554" s="2">
        <v>643</v>
      </c>
      <c r="B2554" t="s">
        <v>985</v>
      </c>
      <c r="C2554" t="s">
        <v>0</v>
      </c>
      <c r="D2554" s="2">
        <v>1</v>
      </c>
      <c r="E2554" s="11" t="s">
        <v>336</v>
      </c>
      <c r="F2554" t="s">
        <v>47</v>
      </c>
      <c r="G2554" s="2" t="s">
        <v>23</v>
      </c>
      <c r="H2554" s="1">
        <v>201.29400000000001</v>
      </c>
    </row>
    <row r="2555" spans="1:8" x14ac:dyDescent="0.3">
      <c r="A2555" s="2">
        <v>643</v>
      </c>
      <c r="B2555" t="s">
        <v>2243</v>
      </c>
      <c r="C2555" t="s">
        <v>3219</v>
      </c>
      <c r="D2555" s="2">
        <v>1</v>
      </c>
      <c r="E2555" s="11" t="s">
        <v>1214</v>
      </c>
      <c r="F2555" t="s">
        <v>39</v>
      </c>
      <c r="G2555" s="2" t="s">
        <v>31</v>
      </c>
      <c r="H2555" s="1">
        <v>127.09400000000001</v>
      </c>
    </row>
    <row r="2556" spans="1:8" x14ac:dyDescent="0.3">
      <c r="A2556" s="2">
        <v>643</v>
      </c>
      <c r="B2556" t="s">
        <v>2242</v>
      </c>
      <c r="C2556" t="s">
        <v>3219</v>
      </c>
      <c r="D2556" s="2">
        <v>1</v>
      </c>
      <c r="E2556" s="11" t="s">
        <v>1214</v>
      </c>
      <c r="F2556" t="s">
        <v>39</v>
      </c>
      <c r="G2556" s="2" t="s">
        <v>23</v>
      </c>
      <c r="H2556" s="1">
        <v>127.09400000000001</v>
      </c>
    </row>
    <row r="2557" spans="1:8" x14ac:dyDescent="0.3">
      <c r="A2557" s="2">
        <v>643</v>
      </c>
      <c r="B2557" t="s">
        <v>1929</v>
      </c>
      <c r="C2557" t="s">
        <v>3224</v>
      </c>
      <c r="D2557" s="2">
        <v>1</v>
      </c>
      <c r="E2557" s="11" t="s">
        <v>499</v>
      </c>
      <c r="F2557" t="s">
        <v>39</v>
      </c>
      <c r="G2557" s="2" t="s">
        <v>23</v>
      </c>
      <c r="H2557" s="1">
        <v>84.694000000000017</v>
      </c>
    </row>
    <row r="2558" spans="1:8" x14ac:dyDescent="0.3">
      <c r="A2558" s="2">
        <v>643</v>
      </c>
      <c r="B2558" t="s">
        <v>2162</v>
      </c>
      <c r="C2558" t="s">
        <v>3225</v>
      </c>
      <c r="D2558" s="2">
        <v>1</v>
      </c>
      <c r="E2558" s="11" t="s">
        <v>2073</v>
      </c>
      <c r="F2558" t="s">
        <v>39</v>
      </c>
      <c r="G2558" s="2" t="s">
        <v>4</v>
      </c>
      <c r="H2558" s="1">
        <v>201.29400000000001</v>
      </c>
    </row>
    <row r="2559" spans="1:8" x14ac:dyDescent="0.3">
      <c r="A2559" s="2">
        <v>643</v>
      </c>
      <c r="B2559" t="s">
        <v>2187</v>
      </c>
      <c r="C2559" t="s">
        <v>3225</v>
      </c>
      <c r="D2559" s="2">
        <v>1</v>
      </c>
      <c r="E2559" s="11" t="s">
        <v>2073</v>
      </c>
      <c r="F2559" t="s">
        <v>39</v>
      </c>
      <c r="G2559" s="2" t="s">
        <v>31</v>
      </c>
      <c r="H2559" s="1">
        <v>201.29400000000001</v>
      </c>
    </row>
    <row r="2560" spans="1:8" x14ac:dyDescent="0.3">
      <c r="A2560" s="2">
        <v>643</v>
      </c>
      <c r="B2560" t="s">
        <v>2161</v>
      </c>
      <c r="C2560" t="s">
        <v>3225</v>
      </c>
      <c r="D2560" s="2">
        <v>1</v>
      </c>
      <c r="E2560" s="11" t="s">
        <v>2073</v>
      </c>
      <c r="F2560" t="s">
        <v>39</v>
      </c>
      <c r="G2560" s="2" t="s">
        <v>23</v>
      </c>
      <c r="H2560" s="1">
        <v>201.29400000000001</v>
      </c>
    </row>
    <row r="2561" spans="1:8" x14ac:dyDescent="0.3">
      <c r="A2561" s="2">
        <v>643</v>
      </c>
      <c r="B2561" t="s">
        <v>896</v>
      </c>
      <c r="C2561" t="s">
        <v>0</v>
      </c>
      <c r="D2561" s="2">
        <v>1</v>
      </c>
      <c r="E2561" s="11" t="s">
        <v>267</v>
      </c>
      <c r="F2561" t="s">
        <v>39</v>
      </c>
      <c r="G2561" s="2" t="s">
        <v>4</v>
      </c>
      <c r="H2561" s="1">
        <v>158.89400000000001</v>
      </c>
    </row>
    <row r="2562" spans="1:8" x14ac:dyDescent="0.3">
      <c r="A2562" s="2">
        <v>643</v>
      </c>
      <c r="B2562" t="s">
        <v>2241</v>
      </c>
      <c r="C2562" t="s">
        <v>0</v>
      </c>
      <c r="D2562" s="2">
        <v>1</v>
      </c>
      <c r="E2562" s="11" t="s">
        <v>267</v>
      </c>
      <c r="F2562" t="s">
        <v>39</v>
      </c>
      <c r="G2562" s="2" t="s">
        <v>31</v>
      </c>
      <c r="H2562" s="1">
        <v>158.89400000000001</v>
      </c>
    </row>
    <row r="2563" spans="1:8" x14ac:dyDescent="0.3">
      <c r="A2563" s="2">
        <v>643</v>
      </c>
      <c r="B2563" t="s">
        <v>2240</v>
      </c>
      <c r="C2563" t="s">
        <v>0</v>
      </c>
      <c r="D2563" s="2">
        <v>1</v>
      </c>
      <c r="E2563" s="11" t="s">
        <v>267</v>
      </c>
      <c r="F2563" t="s">
        <v>39</v>
      </c>
      <c r="G2563" s="2" t="s">
        <v>23</v>
      </c>
      <c r="H2563" s="1">
        <v>158.89400000000001</v>
      </c>
    </row>
    <row r="2564" spans="1:8" x14ac:dyDescent="0.3">
      <c r="A2564" s="2">
        <v>643</v>
      </c>
      <c r="B2564" t="s">
        <v>2239</v>
      </c>
      <c r="C2564" t="s">
        <v>0</v>
      </c>
      <c r="D2564" s="2">
        <v>1</v>
      </c>
      <c r="E2564" s="11" t="s">
        <v>1109</v>
      </c>
      <c r="F2564" t="s">
        <v>36</v>
      </c>
      <c r="G2564" s="2" t="s">
        <v>4</v>
      </c>
      <c r="H2564" s="1">
        <v>137.69400000000002</v>
      </c>
    </row>
    <row r="2565" spans="1:8" x14ac:dyDescent="0.3">
      <c r="A2565" s="2">
        <v>643</v>
      </c>
      <c r="B2565" t="s">
        <v>1944</v>
      </c>
      <c r="C2565" t="s">
        <v>0</v>
      </c>
      <c r="D2565" s="2">
        <v>1</v>
      </c>
      <c r="E2565" s="11" t="s">
        <v>1109</v>
      </c>
      <c r="F2565" t="s">
        <v>36</v>
      </c>
      <c r="G2565" s="2" t="s">
        <v>31</v>
      </c>
      <c r="H2565" s="1">
        <v>137.69400000000002</v>
      </c>
    </row>
    <row r="2566" spans="1:8" x14ac:dyDescent="0.3">
      <c r="A2566" s="2">
        <v>643</v>
      </c>
      <c r="B2566" t="s">
        <v>1709</v>
      </c>
      <c r="C2566" t="s">
        <v>0</v>
      </c>
      <c r="D2566" s="2">
        <v>1</v>
      </c>
      <c r="E2566" s="11" t="s">
        <v>1109</v>
      </c>
      <c r="F2566" t="s">
        <v>36</v>
      </c>
      <c r="G2566" s="2" t="s">
        <v>23</v>
      </c>
      <c r="H2566" s="1">
        <v>137.69400000000002</v>
      </c>
    </row>
    <row r="2567" spans="1:8" x14ac:dyDescent="0.3">
      <c r="A2567" s="2">
        <v>644</v>
      </c>
      <c r="B2567" t="s">
        <v>278</v>
      </c>
      <c r="C2567" t="s">
        <v>3220</v>
      </c>
      <c r="D2567" s="2">
        <v>1</v>
      </c>
      <c r="E2567" s="11" t="s">
        <v>204</v>
      </c>
      <c r="F2567" t="s">
        <v>55</v>
      </c>
      <c r="G2567" s="2" t="s">
        <v>31</v>
      </c>
      <c r="H2567" s="1">
        <v>42.294000000000004</v>
      </c>
    </row>
    <row r="2568" spans="1:8" x14ac:dyDescent="0.3">
      <c r="A2568" s="2">
        <v>644</v>
      </c>
      <c r="B2568" t="s">
        <v>728</v>
      </c>
      <c r="C2568" t="s">
        <v>3220</v>
      </c>
      <c r="D2568" s="2">
        <v>1</v>
      </c>
      <c r="E2568" s="11" t="s">
        <v>204</v>
      </c>
      <c r="F2568" t="s">
        <v>65</v>
      </c>
      <c r="G2568" s="2" t="s">
        <v>31</v>
      </c>
      <c r="H2568" s="1">
        <v>42.294000000000004</v>
      </c>
    </row>
    <row r="2569" spans="1:8" x14ac:dyDescent="0.3">
      <c r="A2569" s="2">
        <v>644</v>
      </c>
      <c r="B2569" t="s">
        <v>728</v>
      </c>
      <c r="C2569" t="s">
        <v>3220</v>
      </c>
      <c r="D2569" s="2">
        <v>1</v>
      </c>
      <c r="E2569" s="11" t="s">
        <v>204</v>
      </c>
      <c r="F2569" t="s">
        <v>65</v>
      </c>
      <c r="G2569" s="2" t="s">
        <v>31</v>
      </c>
      <c r="H2569" s="1">
        <v>42.294000000000004</v>
      </c>
    </row>
    <row r="2570" spans="1:8" x14ac:dyDescent="0.3">
      <c r="A2570" s="2">
        <v>644</v>
      </c>
      <c r="B2570" t="s">
        <v>727</v>
      </c>
      <c r="C2570" t="s">
        <v>3220</v>
      </c>
      <c r="D2570" s="2">
        <v>1</v>
      </c>
      <c r="E2570" s="11" t="s">
        <v>204</v>
      </c>
      <c r="F2570" t="s">
        <v>65</v>
      </c>
      <c r="G2570" s="2" t="s">
        <v>23</v>
      </c>
      <c r="H2570" s="1">
        <v>42.294000000000004</v>
      </c>
    </row>
    <row r="2571" spans="1:8" x14ac:dyDescent="0.3">
      <c r="A2571" s="2">
        <v>644</v>
      </c>
      <c r="B2571" t="s">
        <v>2238</v>
      </c>
      <c r="C2571" t="s">
        <v>3219</v>
      </c>
      <c r="D2571" s="2">
        <v>1</v>
      </c>
      <c r="E2571" s="11" t="s">
        <v>2237</v>
      </c>
      <c r="F2571" t="s">
        <v>126</v>
      </c>
      <c r="G2571" s="2" t="s">
        <v>23</v>
      </c>
      <c r="H2571" s="1">
        <v>185.39400000000001</v>
      </c>
    </row>
    <row r="2572" spans="1:8" x14ac:dyDescent="0.3">
      <c r="A2572" s="2">
        <v>644</v>
      </c>
      <c r="B2572" t="s">
        <v>283</v>
      </c>
      <c r="C2572" t="s">
        <v>3220</v>
      </c>
      <c r="D2572" s="2">
        <v>1</v>
      </c>
      <c r="E2572" s="11" t="s">
        <v>204</v>
      </c>
      <c r="F2572" t="s">
        <v>276</v>
      </c>
      <c r="G2572" s="2" t="s">
        <v>23</v>
      </c>
      <c r="H2572" s="1">
        <v>42.294000000000004</v>
      </c>
    </row>
    <row r="2573" spans="1:8" x14ac:dyDescent="0.3">
      <c r="A2573" s="2">
        <v>644</v>
      </c>
      <c r="B2573" t="s">
        <v>2236</v>
      </c>
      <c r="C2573" t="s">
        <v>3219</v>
      </c>
      <c r="D2573" s="2">
        <v>1</v>
      </c>
      <c r="E2573" s="11" t="s">
        <v>66</v>
      </c>
      <c r="F2573" t="s">
        <v>114</v>
      </c>
      <c r="G2573" s="2" t="s">
        <v>23</v>
      </c>
      <c r="H2573" s="1">
        <v>180.09400000000002</v>
      </c>
    </row>
    <row r="2574" spans="1:8" x14ac:dyDescent="0.3">
      <c r="A2574" s="2">
        <v>644</v>
      </c>
      <c r="B2574" t="s">
        <v>2235</v>
      </c>
      <c r="C2574" t="s">
        <v>3219</v>
      </c>
      <c r="D2574" s="2">
        <v>1</v>
      </c>
      <c r="E2574" s="11" t="s">
        <v>2228</v>
      </c>
      <c r="F2574" t="s">
        <v>126</v>
      </c>
      <c r="G2574" s="2" t="s">
        <v>4</v>
      </c>
      <c r="H2574" s="1">
        <v>137.69400000000002</v>
      </c>
    </row>
    <row r="2575" spans="1:8" x14ac:dyDescent="0.3">
      <c r="A2575" s="2">
        <v>644</v>
      </c>
      <c r="B2575" t="s">
        <v>1869</v>
      </c>
      <c r="C2575" t="s">
        <v>3224</v>
      </c>
      <c r="D2575" s="2">
        <v>1</v>
      </c>
      <c r="E2575" s="11" t="s">
        <v>1685</v>
      </c>
      <c r="F2575" t="s">
        <v>62</v>
      </c>
      <c r="G2575" s="2" t="s">
        <v>31</v>
      </c>
      <c r="H2575" s="1">
        <v>79.394000000000005</v>
      </c>
    </row>
    <row r="2576" spans="1:8" x14ac:dyDescent="0.3">
      <c r="A2576" s="2">
        <v>644</v>
      </c>
      <c r="B2576" t="s">
        <v>1868</v>
      </c>
      <c r="C2576" t="s">
        <v>3</v>
      </c>
      <c r="D2576" s="2">
        <v>1</v>
      </c>
      <c r="E2576" s="11" t="s">
        <v>1767</v>
      </c>
      <c r="F2576" t="s">
        <v>62</v>
      </c>
      <c r="G2576" s="2" t="s">
        <v>31</v>
      </c>
      <c r="H2576" s="1">
        <v>95.294000000000011</v>
      </c>
    </row>
    <row r="2577" spans="1:8" x14ac:dyDescent="0.3">
      <c r="A2577" s="2">
        <v>644</v>
      </c>
      <c r="B2577" t="s">
        <v>1964</v>
      </c>
      <c r="C2577" t="s">
        <v>0</v>
      </c>
      <c r="D2577" s="2">
        <v>1</v>
      </c>
      <c r="E2577" s="11" t="s">
        <v>1963</v>
      </c>
      <c r="F2577" t="s">
        <v>62</v>
      </c>
      <c r="G2577" s="2" t="s">
        <v>23</v>
      </c>
      <c r="H2577" s="1">
        <v>164.19400000000002</v>
      </c>
    </row>
    <row r="2578" spans="1:8" x14ac:dyDescent="0.3">
      <c r="A2578" s="2">
        <v>644</v>
      </c>
      <c r="B2578" t="s">
        <v>2108</v>
      </c>
      <c r="C2578" t="s">
        <v>3220</v>
      </c>
      <c r="D2578" s="2">
        <v>1</v>
      </c>
      <c r="E2578" s="11" t="s">
        <v>2107</v>
      </c>
      <c r="F2578" t="s">
        <v>254</v>
      </c>
      <c r="G2578" s="2" t="s">
        <v>23</v>
      </c>
      <c r="H2578" s="1">
        <v>21.094000000000001</v>
      </c>
    </row>
    <row r="2579" spans="1:8" x14ac:dyDescent="0.3">
      <c r="A2579" s="2">
        <v>644</v>
      </c>
      <c r="B2579" t="s">
        <v>2038</v>
      </c>
      <c r="C2579" t="s">
        <v>2</v>
      </c>
      <c r="D2579" s="2">
        <v>1</v>
      </c>
      <c r="E2579" s="11" t="s">
        <v>2037</v>
      </c>
      <c r="F2579" t="s">
        <v>254</v>
      </c>
      <c r="G2579" s="2" t="s">
        <v>31</v>
      </c>
      <c r="H2579" s="1">
        <v>100.59400000000001</v>
      </c>
    </row>
    <row r="2580" spans="1:8" x14ac:dyDescent="0.3">
      <c r="A2580" s="2">
        <v>644</v>
      </c>
      <c r="B2580" t="s">
        <v>1730</v>
      </c>
      <c r="C2580" t="s">
        <v>3219</v>
      </c>
      <c r="D2580" s="2">
        <v>1</v>
      </c>
      <c r="E2580" s="11" t="s">
        <v>1729</v>
      </c>
      <c r="F2580" t="s">
        <v>62</v>
      </c>
      <c r="G2580" s="2" t="s">
        <v>23</v>
      </c>
      <c r="H2580" s="1">
        <v>148.29400000000001</v>
      </c>
    </row>
    <row r="2581" spans="1:8" x14ac:dyDescent="0.3">
      <c r="A2581" s="2">
        <v>644</v>
      </c>
      <c r="B2581" t="s">
        <v>2028</v>
      </c>
      <c r="C2581" t="s">
        <v>0</v>
      </c>
      <c r="D2581" s="2">
        <v>1</v>
      </c>
      <c r="E2581" s="11" t="s">
        <v>1960</v>
      </c>
      <c r="F2581" t="s">
        <v>62</v>
      </c>
      <c r="G2581" s="2" t="s">
        <v>31</v>
      </c>
      <c r="H2581" s="1">
        <v>132.39400000000001</v>
      </c>
    </row>
    <row r="2582" spans="1:8" x14ac:dyDescent="0.3">
      <c r="A2582" s="2">
        <v>644</v>
      </c>
      <c r="B2582" t="s">
        <v>719</v>
      </c>
      <c r="C2582" t="s">
        <v>3220</v>
      </c>
      <c r="D2582" s="2">
        <v>1</v>
      </c>
      <c r="E2582" s="11" t="s">
        <v>204</v>
      </c>
      <c r="F2582" t="s">
        <v>241</v>
      </c>
      <c r="G2582" s="2" t="s">
        <v>23</v>
      </c>
      <c r="H2582" s="1">
        <v>42.294000000000004</v>
      </c>
    </row>
    <row r="2583" spans="1:8" x14ac:dyDescent="0.3">
      <c r="A2583" s="2">
        <v>644</v>
      </c>
      <c r="B2583" t="s">
        <v>792</v>
      </c>
      <c r="C2583" t="s">
        <v>3219</v>
      </c>
      <c r="D2583" s="2">
        <v>1</v>
      </c>
      <c r="E2583" s="11" t="s">
        <v>66</v>
      </c>
      <c r="F2583" t="s">
        <v>28</v>
      </c>
      <c r="G2583" s="2" t="s">
        <v>31</v>
      </c>
      <c r="H2583" s="1">
        <v>180.09400000000002</v>
      </c>
    </row>
    <row r="2584" spans="1:8" x14ac:dyDescent="0.3">
      <c r="A2584" s="2">
        <v>644</v>
      </c>
      <c r="B2584" t="s">
        <v>270</v>
      </c>
      <c r="C2584" t="s">
        <v>3220</v>
      </c>
      <c r="D2584" s="2">
        <v>1</v>
      </c>
      <c r="E2584" s="11" t="s">
        <v>204</v>
      </c>
      <c r="F2584" t="s">
        <v>114</v>
      </c>
      <c r="G2584" s="2" t="s">
        <v>4</v>
      </c>
      <c r="H2584" s="1">
        <v>42.294000000000004</v>
      </c>
    </row>
    <row r="2585" spans="1:8" x14ac:dyDescent="0.3">
      <c r="A2585" s="2">
        <v>644</v>
      </c>
      <c r="B2585" t="s">
        <v>2234</v>
      </c>
      <c r="C2585" t="s">
        <v>3219</v>
      </c>
      <c r="D2585" s="2">
        <v>1</v>
      </c>
      <c r="E2585" s="11" t="s">
        <v>2233</v>
      </c>
      <c r="F2585" t="s">
        <v>28</v>
      </c>
      <c r="G2585" s="2" t="s">
        <v>31</v>
      </c>
      <c r="H2585" s="1">
        <v>148.29400000000001</v>
      </c>
    </row>
    <row r="2586" spans="1:8" x14ac:dyDescent="0.3">
      <c r="A2586" s="2">
        <v>644</v>
      </c>
      <c r="B2586" t="s">
        <v>1021</v>
      </c>
      <c r="C2586" t="s">
        <v>3220</v>
      </c>
      <c r="D2586" s="2">
        <v>1</v>
      </c>
      <c r="E2586" s="11" t="s">
        <v>204</v>
      </c>
      <c r="F2586" t="s">
        <v>959</v>
      </c>
      <c r="G2586" s="2" t="s">
        <v>23</v>
      </c>
      <c r="H2586" s="1">
        <v>42.294000000000004</v>
      </c>
    </row>
    <row r="2587" spans="1:8" x14ac:dyDescent="0.3">
      <c r="A2587" s="2">
        <v>644</v>
      </c>
      <c r="B2587" t="s">
        <v>2232</v>
      </c>
      <c r="C2587" t="s">
        <v>3219</v>
      </c>
      <c r="D2587" s="2">
        <v>1</v>
      </c>
      <c r="E2587" s="11" t="s">
        <v>2133</v>
      </c>
      <c r="F2587" t="s">
        <v>36</v>
      </c>
      <c r="G2587" s="2" t="s">
        <v>31</v>
      </c>
      <c r="H2587" s="1">
        <v>132.39400000000001</v>
      </c>
    </row>
    <row r="2588" spans="1:8" x14ac:dyDescent="0.3">
      <c r="A2588" s="2">
        <v>644</v>
      </c>
      <c r="B2588" t="s">
        <v>206</v>
      </c>
      <c r="C2588" t="s">
        <v>3220</v>
      </c>
      <c r="D2588" s="2">
        <v>1</v>
      </c>
      <c r="E2588" s="11" t="s">
        <v>204</v>
      </c>
      <c r="F2588" t="s">
        <v>47</v>
      </c>
      <c r="G2588" s="2" t="s">
        <v>4</v>
      </c>
      <c r="H2588" s="1">
        <v>42.294000000000004</v>
      </c>
    </row>
    <row r="2589" spans="1:8" x14ac:dyDescent="0.3">
      <c r="A2589" s="2">
        <v>644</v>
      </c>
      <c r="B2589" t="s">
        <v>1029</v>
      </c>
      <c r="C2589" t="s">
        <v>3220</v>
      </c>
      <c r="D2589" s="2">
        <v>1</v>
      </c>
      <c r="E2589" s="11" t="s">
        <v>640</v>
      </c>
      <c r="F2589" t="s">
        <v>39</v>
      </c>
      <c r="G2589" s="2" t="s">
        <v>4</v>
      </c>
      <c r="H2589" s="1">
        <v>21.094000000000001</v>
      </c>
    </row>
    <row r="2590" spans="1:8" x14ac:dyDescent="0.3">
      <c r="A2590" s="2">
        <v>644</v>
      </c>
      <c r="B2590" t="s">
        <v>1264</v>
      </c>
      <c r="C2590" t="s">
        <v>3220</v>
      </c>
      <c r="D2590" s="2">
        <v>1</v>
      </c>
      <c r="E2590" s="11" t="s">
        <v>204</v>
      </c>
      <c r="F2590" t="s">
        <v>39</v>
      </c>
      <c r="G2590" s="2" t="s">
        <v>4</v>
      </c>
      <c r="H2590" s="1">
        <v>42.294000000000004</v>
      </c>
    </row>
    <row r="2591" spans="1:8" x14ac:dyDescent="0.3">
      <c r="A2591" s="2">
        <v>644</v>
      </c>
      <c r="B2591" t="s">
        <v>706</v>
      </c>
      <c r="C2591" t="s">
        <v>3220</v>
      </c>
      <c r="D2591" s="2">
        <v>1</v>
      </c>
      <c r="E2591" s="11" t="s">
        <v>204</v>
      </c>
      <c r="F2591" t="s">
        <v>36</v>
      </c>
      <c r="G2591" s="2" t="s">
        <v>23</v>
      </c>
      <c r="H2591" s="1">
        <v>42.294000000000004</v>
      </c>
    </row>
    <row r="2592" spans="1:8" x14ac:dyDescent="0.3">
      <c r="A2592" s="2">
        <v>644</v>
      </c>
      <c r="B2592" t="s">
        <v>289</v>
      </c>
      <c r="C2592" t="s">
        <v>3220</v>
      </c>
      <c r="D2592" s="2">
        <v>1</v>
      </c>
      <c r="E2592" s="11" t="s">
        <v>204</v>
      </c>
      <c r="F2592" t="s">
        <v>28</v>
      </c>
      <c r="G2592" s="2" t="s">
        <v>23</v>
      </c>
      <c r="H2592" s="1">
        <v>42.294000000000004</v>
      </c>
    </row>
    <row r="2593" spans="1:8" x14ac:dyDescent="0.3">
      <c r="A2593" s="2">
        <v>645</v>
      </c>
      <c r="B2593" t="s">
        <v>1366</v>
      </c>
      <c r="C2593" t="s">
        <v>0</v>
      </c>
      <c r="D2593" s="2">
        <v>1</v>
      </c>
      <c r="E2593" s="11" t="s">
        <v>1109</v>
      </c>
      <c r="F2593" t="s">
        <v>55</v>
      </c>
      <c r="G2593" s="2" t="s">
        <v>4</v>
      </c>
      <c r="H2593" s="1">
        <v>137.69400000000002</v>
      </c>
    </row>
    <row r="2594" spans="1:8" x14ac:dyDescent="0.3">
      <c r="A2594" s="2">
        <v>645</v>
      </c>
      <c r="B2594" t="s">
        <v>1504</v>
      </c>
      <c r="C2594" t="s">
        <v>3225</v>
      </c>
      <c r="D2594" s="2">
        <v>1</v>
      </c>
      <c r="E2594" s="11" t="s">
        <v>831</v>
      </c>
      <c r="F2594" t="s">
        <v>81</v>
      </c>
      <c r="G2594" s="2" t="s">
        <v>4</v>
      </c>
      <c r="H2594" s="1">
        <v>190.69400000000002</v>
      </c>
    </row>
    <row r="2595" spans="1:8" x14ac:dyDescent="0.3">
      <c r="A2595" s="2">
        <v>645</v>
      </c>
      <c r="B2595" t="s">
        <v>2231</v>
      </c>
      <c r="C2595" t="s">
        <v>3219</v>
      </c>
      <c r="D2595" s="2">
        <v>1</v>
      </c>
      <c r="E2595" s="11" t="s">
        <v>534</v>
      </c>
      <c r="F2595" t="s">
        <v>55</v>
      </c>
      <c r="G2595" s="2" t="s">
        <v>4</v>
      </c>
      <c r="H2595" s="1">
        <v>89.994000000000014</v>
      </c>
    </row>
    <row r="2596" spans="1:8" x14ac:dyDescent="0.3">
      <c r="A2596" s="2">
        <v>645</v>
      </c>
      <c r="B2596" t="s">
        <v>1683</v>
      </c>
      <c r="C2596" t="s">
        <v>3365</v>
      </c>
      <c r="D2596" s="2">
        <v>1</v>
      </c>
      <c r="E2596" s="11" t="s">
        <v>1541</v>
      </c>
      <c r="F2596" t="s">
        <v>55</v>
      </c>
      <c r="G2596" s="2" t="s">
        <v>31</v>
      </c>
      <c r="H2596" s="1">
        <v>137.69400000000002</v>
      </c>
    </row>
    <row r="2597" spans="1:8" x14ac:dyDescent="0.3">
      <c r="A2597" s="2">
        <v>645</v>
      </c>
      <c r="B2597" t="s">
        <v>2230</v>
      </c>
      <c r="C2597" t="s">
        <v>3219</v>
      </c>
      <c r="D2597" s="2">
        <v>1</v>
      </c>
      <c r="E2597" s="11" t="s">
        <v>2133</v>
      </c>
      <c r="F2597" t="s">
        <v>36</v>
      </c>
      <c r="G2597" s="2" t="s">
        <v>4</v>
      </c>
      <c r="H2597" s="1">
        <v>132.39400000000001</v>
      </c>
    </row>
    <row r="2598" spans="1:8" x14ac:dyDescent="0.3">
      <c r="A2598" s="2">
        <v>645</v>
      </c>
      <c r="B2598" t="s">
        <v>2229</v>
      </c>
      <c r="C2598" t="s">
        <v>3219</v>
      </c>
      <c r="D2598" s="2">
        <v>1</v>
      </c>
      <c r="E2598" s="11" t="s">
        <v>2228</v>
      </c>
      <c r="F2598" t="s">
        <v>47</v>
      </c>
      <c r="G2598" s="2" t="s">
        <v>4</v>
      </c>
      <c r="H2598" s="1">
        <v>137.69400000000002</v>
      </c>
    </row>
    <row r="2599" spans="1:8" x14ac:dyDescent="0.3">
      <c r="A2599" s="2">
        <v>645</v>
      </c>
      <c r="B2599" t="s">
        <v>2227</v>
      </c>
      <c r="C2599" t="s">
        <v>3224</v>
      </c>
      <c r="D2599" s="2">
        <v>1</v>
      </c>
      <c r="E2599" s="11" t="s">
        <v>191</v>
      </c>
      <c r="F2599" t="s">
        <v>47</v>
      </c>
      <c r="G2599" s="2" t="s">
        <v>4</v>
      </c>
      <c r="H2599" s="1">
        <v>63.494000000000007</v>
      </c>
    </row>
    <row r="2600" spans="1:8" x14ac:dyDescent="0.3">
      <c r="A2600" s="2">
        <v>645</v>
      </c>
      <c r="B2600" t="s">
        <v>2226</v>
      </c>
      <c r="C2600" t="s">
        <v>1</v>
      </c>
      <c r="D2600" s="2">
        <v>1</v>
      </c>
      <c r="E2600" s="11" t="s">
        <v>1990</v>
      </c>
      <c r="F2600" t="s">
        <v>47</v>
      </c>
      <c r="G2600" s="2" t="s">
        <v>4</v>
      </c>
      <c r="H2600" s="1">
        <v>58.19400000000001</v>
      </c>
    </row>
    <row r="2601" spans="1:8" x14ac:dyDescent="0.3">
      <c r="A2601" s="2">
        <v>645</v>
      </c>
      <c r="B2601" t="s">
        <v>2129</v>
      </c>
      <c r="C2601" t="s">
        <v>2</v>
      </c>
      <c r="D2601" s="2">
        <v>1</v>
      </c>
      <c r="E2601" s="11" t="s">
        <v>2128</v>
      </c>
      <c r="F2601" t="s">
        <v>39</v>
      </c>
      <c r="G2601" s="2" t="s">
        <v>4</v>
      </c>
      <c r="H2601" s="1">
        <v>116.49400000000001</v>
      </c>
    </row>
    <row r="2602" spans="1:8" x14ac:dyDescent="0.3">
      <c r="A2602" s="2">
        <v>645</v>
      </c>
      <c r="B2602" t="s">
        <v>1882</v>
      </c>
      <c r="C2602" t="s">
        <v>1</v>
      </c>
      <c r="D2602" s="2">
        <v>1</v>
      </c>
      <c r="E2602" s="11" t="s">
        <v>222</v>
      </c>
      <c r="F2602" t="s">
        <v>39</v>
      </c>
      <c r="G2602" s="2" t="s">
        <v>4</v>
      </c>
      <c r="H2602" s="1">
        <v>52.893999999999998</v>
      </c>
    </row>
    <row r="2603" spans="1:8" x14ac:dyDescent="0.3">
      <c r="A2603" s="2">
        <v>645</v>
      </c>
      <c r="B2603" t="s">
        <v>1967</v>
      </c>
      <c r="C2603" t="s">
        <v>1</v>
      </c>
      <c r="D2603" s="2">
        <v>2</v>
      </c>
      <c r="E2603" s="11" t="s">
        <v>1966</v>
      </c>
      <c r="F2603" t="s">
        <v>39</v>
      </c>
      <c r="G2603" s="2" t="s">
        <v>4</v>
      </c>
      <c r="H2603" s="1">
        <v>52.893999999999998</v>
      </c>
    </row>
    <row r="2604" spans="1:8" x14ac:dyDescent="0.3">
      <c r="A2604" s="2">
        <v>645</v>
      </c>
      <c r="B2604" t="s">
        <v>2184</v>
      </c>
      <c r="C2604" t="s">
        <v>2</v>
      </c>
      <c r="D2604" s="2">
        <v>1</v>
      </c>
      <c r="E2604" s="11" t="s">
        <v>733</v>
      </c>
      <c r="F2604" t="s">
        <v>39</v>
      </c>
      <c r="G2604" s="2" t="s">
        <v>4</v>
      </c>
      <c r="H2604" s="1">
        <v>132.39400000000001</v>
      </c>
    </row>
    <row r="2605" spans="1:8" x14ac:dyDescent="0.3">
      <c r="A2605" s="2">
        <v>645</v>
      </c>
      <c r="B2605" t="s">
        <v>2225</v>
      </c>
      <c r="C2605" t="s">
        <v>3224</v>
      </c>
      <c r="D2605" s="2">
        <v>2</v>
      </c>
      <c r="E2605" s="11" t="s">
        <v>2212</v>
      </c>
      <c r="F2605" t="s">
        <v>36</v>
      </c>
      <c r="G2605" s="2" t="s">
        <v>4</v>
      </c>
      <c r="H2605" s="1">
        <v>79.394000000000005</v>
      </c>
    </row>
    <row r="2606" spans="1:8" x14ac:dyDescent="0.3">
      <c r="A2606" s="2">
        <v>646</v>
      </c>
      <c r="B2606" t="s">
        <v>2044</v>
      </c>
      <c r="C2606" t="s">
        <v>3224</v>
      </c>
      <c r="D2606" s="2">
        <v>4</v>
      </c>
      <c r="E2606" s="11" t="s">
        <v>1685</v>
      </c>
      <c r="F2606" t="s">
        <v>65</v>
      </c>
      <c r="G2606" s="2" t="s">
        <v>31</v>
      </c>
      <c r="H2606" s="1">
        <v>79.394000000000005</v>
      </c>
    </row>
    <row r="2607" spans="1:8" x14ac:dyDescent="0.3">
      <c r="A2607" s="2">
        <v>646</v>
      </c>
      <c r="B2607" t="s">
        <v>1686</v>
      </c>
      <c r="C2607" t="s">
        <v>3224</v>
      </c>
      <c r="D2607" s="2">
        <v>5</v>
      </c>
      <c r="E2607" s="11" t="s">
        <v>1685</v>
      </c>
      <c r="F2607" t="s">
        <v>65</v>
      </c>
      <c r="G2607" s="2" t="s">
        <v>23</v>
      </c>
      <c r="H2607" s="1">
        <v>79.394000000000005</v>
      </c>
    </row>
    <row r="2608" spans="1:8" x14ac:dyDescent="0.3">
      <c r="A2608" s="2">
        <v>646</v>
      </c>
      <c r="B2608" t="s">
        <v>2219</v>
      </c>
      <c r="C2608" t="s">
        <v>3224</v>
      </c>
      <c r="D2608" s="2">
        <v>4</v>
      </c>
      <c r="E2608" s="11" t="s">
        <v>1685</v>
      </c>
      <c r="F2608" t="s">
        <v>62</v>
      </c>
      <c r="G2608" s="2" t="s">
        <v>4</v>
      </c>
      <c r="H2608" s="1">
        <v>79.394000000000005</v>
      </c>
    </row>
    <row r="2609" spans="1:8" x14ac:dyDescent="0.3">
      <c r="A2609" s="2">
        <v>646</v>
      </c>
      <c r="B2609" t="s">
        <v>1869</v>
      </c>
      <c r="C2609" t="s">
        <v>3224</v>
      </c>
      <c r="D2609" s="2">
        <v>3</v>
      </c>
      <c r="E2609" s="11" t="s">
        <v>1685</v>
      </c>
      <c r="F2609" t="s">
        <v>62</v>
      </c>
      <c r="G2609" s="2" t="s">
        <v>31</v>
      </c>
      <c r="H2609" s="1">
        <v>79.394000000000005</v>
      </c>
    </row>
    <row r="2610" spans="1:8" x14ac:dyDescent="0.3">
      <c r="A2610" s="2">
        <v>646</v>
      </c>
      <c r="B2610" t="s">
        <v>2224</v>
      </c>
      <c r="C2610" t="s">
        <v>3224</v>
      </c>
      <c r="D2610" s="2">
        <v>1</v>
      </c>
      <c r="E2610" s="11" t="s">
        <v>1811</v>
      </c>
      <c r="F2610" t="s">
        <v>114</v>
      </c>
      <c r="G2610" s="2" t="s">
        <v>31</v>
      </c>
      <c r="H2610" s="1">
        <v>100.59400000000001</v>
      </c>
    </row>
    <row r="2611" spans="1:8" x14ac:dyDescent="0.3">
      <c r="A2611" s="2">
        <v>646</v>
      </c>
      <c r="B2611" t="s">
        <v>2223</v>
      </c>
      <c r="C2611" t="s">
        <v>3224</v>
      </c>
      <c r="D2611" s="2">
        <v>4</v>
      </c>
      <c r="E2611" s="11" t="s">
        <v>1811</v>
      </c>
      <c r="F2611" t="s">
        <v>114</v>
      </c>
      <c r="G2611" s="2" t="s">
        <v>23</v>
      </c>
      <c r="H2611" s="1">
        <v>100.59400000000001</v>
      </c>
    </row>
    <row r="2612" spans="1:8" x14ac:dyDescent="0.3">
      <c r="A2612" s="2">
        <v>647</v>
      </c>
      <c r="B2612" t="s">
        <v>1367</v>
      </c>
      <c r="C2612" t="s">
        <v>0</v>
      </c>
      <c r="D2612" s="2">
        <v>1</v>
      </c>
      <c r="E2612" s="11" t="s">
        <v>1083</v>
      </c>
      <c r="F2612" t="s">
        <v>55</v>
      </c>
      <c r="G2612" s="2" t="s">
        <v>4</v>
      </c>
      <c r="H2612" s="1">
        <v>169.49400000000003</v>
      </c>
    </row>
    <row r="2613" spans="1:8" x14ac:dyDescent="0.3">
      <c r="A2613" s="2">
        <v>647</v>
      </c>
      <c r="B2613" t="s">
        <v>2222</v>
      </c>
      <c r="C2613" t="s">
        <v>0</v>
      </c>
      <c r="D2613" s="2">
        <v>2</v>
      </c>
      <c r="E2613" s="11" t="s">
        <v>1083</v>
      </c>
      <c r="F2613" t="s">
        <v>55</v>
      </c>
      <c r="G2613" s="2" t="s">
        <v>23</v>
      </c>
      <c r="H2613" s="1">
        <v>169.49400000000003</v>
      </c>
    </row>
    <row r="2614" spans="1:8" x14ac:dyDescent="0.3">
      <c r="A2614" s="2">
        <v>647</v>
      </c>
      <c r="B2614" t="s">
        <v>2044</v>
      </c>
      <c r="C2614" t="s">
        <v>3224</v>
      </c>
      <c r="D2614" s="2">
        <v>1</v>
      </c>
      <c r="E2614" s="11" t="s">
        <v>1685</v>
      </c>
      <c r="F2614" t="s">
        <v>65</v>
      </c>
      <c r="G2614" s="2" t="s">
        <v>31</v>
      </c>
      <c r="H2614" s="1">
        <v>79.394000000000005</v>
      </c>
    </row>
    <row r="2615" spans="1:8" x14ac:dyDescent="0.3">
      <c r="A2615" s="2">
        <v>647</v>
      </c>
      <c r="B2615" t="s">
        <v>2043</v>
      </c>
      <c r="C2615" t="s">
        <v>3</v>
      </c>
      <c r="D2615" s="2">
        <v>1</v>
      </c>
      <c r="E2615" s="11" t="s">
        <v>1767</v>
      </c>
      <c r="F2615" t="s">
        <v>65</v>
      </c>
      <c r="G2615" s="2" t="s">
        <v>31</v>
      </c>
      <c r="H2615" s="1">
        <v>95.294000000000011</v>
      </c>
    </row>
    <row r="2616" spans="1:8" x14ac:dyDescent="0.3">
      <c r="A2616" s="2">
        <v>647</v>
      </c>
      <c r="B2616" t="s">
        <v>2221</v>
      </c>
      <c r="C2616" t="s">
        <v>0</v>
      </c>
      <c r="D2616" s="2">
        <v>1</v>
      </c>
      <c r="E2616" s="11" t="s">
        <v>2198</v>
      </c>
      <c r="F2616" t="s">
        <v>65</v>
      </c>
      <c r="G2616" s="2" t="s">
        <v>4</v>
      </c>
      <c r="H2616" s="1">
        <v>111.19400000000002</v>
      </c>
    </row>
    <row r="2617" spans="1:8" x14ac:dyDescent="0.3">
      <c r="A2617" s="2">
        <v>647</v>
      </c>
      <c r="B2617" t="s">
        <v>2220</v>
      </c>
      <c r="C2617" t="s">
        <v>0</v>
      </c>
      <c r="D2617" s="2">
        <v>1</v>
      </c>
      <c r="E2617" s="11" t="s">
        <v>2196</v>
      </c>
      <c r="F2617" t="s">
        <v>65</v>
      </c>
      <c r="G2617" s="2" t="s">
        <v>31</v>
      </c>
      <c r="H2617" s="1">
        <v>132.39400000000001</v>
      </c>
    </row>
    <row r="2618" spans="1:8" x14ac:dyDescent="0.3">
      <c r="A2618" s="2">
        <v>647</v>
      </c>
      <c r="B2618" t="s">
        <v>2219</v>
      </c>
      <c r="C2618" t="s">
        <v>3224</v>
      </c>
      <c r="D2618" s="2">
        <v>1</v>
      </c>
      <c r="E2618" s="11" t="s">
        <v>1685</v>
      </c>
      <c r="F2618" t="s">
        <v>62</v>
      </c>
      <c r="G2618" s="2" t="s">
        <v>4</v>
      </c>
      <c r="H2618" s="1">
        <v>79.394000000000005</v>
      </c>
    </row>
    <row r="2619" spans="1:8" x14ac:dyDescent="0.3">
      <c r="A2619" s="2">
        <v>647</v>
      </c>
      <c r="B2619" t="s">
        <v>2218</v>
      </c>
      <c r="C2619" t="s">
        <v>3</v>
      </c>
      <c r="D2619" s="2">
        <v>1</v>
      </c>
      <c r="E2619" s="11" t="s">
        <v>1767</v>
      </c>
      <c r="F2619" t="s">
        <v>62</v>
      </c>
      <c r="G2619" s="2" t="s">
        <v>4</v>
      </c>
      <c r="H2619" s="1">
        <v>95.294000000000011</v>
      </c>
    </row>
    <row r="2620" spans="1:8" x14ac:dyDescent="0.3">
      <c r="A2620" s="2">
        <v>647</v>
      </c>
      <c r="B2620" t="s">
        <v>2108</v>
      </c>
      <c r="C2620" t="s">
        <v>3220</v>
      </c>
      <c r="D2620" s="2">
        <v>1</v>
      </c>
      <c r="E2620" s="11" t="s">
        <v>2107</v>
      </c>
      <c r="F2620" t="s">
        <v>254</v>
      </c>
      <c r="G2620" s="2" t="s">
        <v>23</v>
      </c>
      <c r="H2620" s="1">
        <v>21.094000000000001</v>
      </c>
    </row>
    <row r="2621" spans="1:8" x14ac:dyDescent="0.3">
      <c r="A2621" s="2">
        <v>647</v>
      </c>
      <c r="B2621" t="s">
        <v>2038</v>
      </c>
      <c r="C2621" t="s">
        <v>2</v>
      </c>
      <c r="D2621" s="2">
        <v>1</v>
      </c>
      <c r="E2621" s="11" t="s">
        <v>2037</v>
      </c>
      <c r="F2621" t="s">
        <v>254</v>
      </c>
      <c r="G2621" s="2" t="s">
        <v>31</v>
      </c>
      <c r="H2621" s="1">
        <v>100.59400000000001</v>
      </c>
    </row>
    <row r="2622" spans="1:8" x14ac:dyDescent="0.3">
      <c r="A2622" s="2">
        <v>647</v>
      </c>
      <c r="B2622" t="s">
        <v>2217</v>
      </c>
      <c r="C2622" t="s">
        <v>3</v>
      </c>
      <c r="D2622" s="2">
        <v>1</v>
      </c>
      <c r="E2622" s="11" t="s">
        <v>1863</v>
      </c>
      <c r="F2622" t="s">
        <v>62</v>
      </c>
      <c r="G2622" s="2" t="s">
        <v>31</v>
      </c>
      <c r="H2622" s="1">
        <v>68.794000000000011</v>
      </c>
    </row>
    <row r="2623" spans="1:8" x14ac:dyDescent="0.3">
      <c r="A2623" s="2">
        <v>647</v>
      </c>
      <c r="B2623" t="s">
        <v>2216</v>
      </c>
      <c r="C2623" t="s">
        <v>3224</v>
      </c>
      <c r="D2623" s="2">
        <v>1</v>
      </c>
      <c r="E2623" s="11" t="s">
        <v>2001</v>
      </c>
      <c r="F2623" t="s">
        <v>62</v>
      </c>
      <c r="G2623" s="2" t="s">
        <v>31</v>
      </c>
      <c r="H2623" s="1">
        <v>95.294000000000011</v>
      </c>
    </row>
    <row r="2624" spans="1:8" x14ac:dyDescent="0.3">
      <c r="A2624" s="2">
        <v>647</v>
      </c>
      <c r="B2624" t="s">
        <v>2215</v>
      </c>
      <c r="C2624" t="s">
        <v>3224</v>
      </c>
      <c r="D2624" s="2">
        <v>1</v>
      </c>
      <c r="E2624" s="11" t="s">
        <v>1926</v>
      </c>
      <c r="F2624" t="s">
        <v>62</v>
      </c>
      <c r="G2624" s="2" t="s">
        <v>31</v>
      </c>
      <c r="H2624" s="1">
        <v>116.49400000000001</v>
      </c>
    </row>
    <row r="2625" spans="1:8" x14ac:dyDescent="0.3">
      <c r="A2625" s="2">
        <v>647</v>
      </c>
      <c r="B2625" t="s">
        <v>2214</v>
      </c>
      <c r="C2625" t="s">
        <v>0</v>
      </c>
      <c r="D2625" s="2">
        <v>1</v>
      </c>
      <c r="E2625" s="11" t="s">
        <v>2075</v>
      </c>
      <c r="F2625" t="s">
        <v>62</v>
      </c>
      <c r="G2625" s="2" t="s">
        <v>31</v>
      </c>
      <c r="H2625" s="1">
        <v>148.29400000000001</v>
      </c>
    </row>
    <row r="2626" spans="1:8" x14ac:dyDescent="0.3">
      <c r="A2626" s="2">
        <v>647</v>
      </c>
      <c r="B2626" t="s">
        <v>2213</v>
      </c>
      <c r="C2626" t="s">
        <v>3224</v>
      </c>
      <c r="D2626" s="2">
        <v>1</v>
      </c>
      <c r="E2626" s="11" t="s">
        <v>2212</v>
      </c>
      <c r="F2626" t="s">
        <v>28</v>
      </c>
      <c r="G2626" s="2" t="s">
        <v>4</v>
      </c>
      <c r="H2626" s="1">
        <v>79.394000000000005</v>
      </c>
    </row>
    <row r="2627" spans="1:8" x14ac:dyDescent="0.3">
      <c r="A2627" s="2">
        <v>647</v>
      </c>
      <c r="B2627" t="s">
        <v>2211</v>
      </c>
      <c r="C2627" t="s">
        <v>3224</v>
      </c>
      <c r="D2627" s="2">
        <v>1</v>
      </c>
      <c r="E2627" s="11" t="s">
        <v>193</v>
      </c>
      <c r="F2627" t="s">
        <v>114</v>
      </c>
      <c r="G2627" s="2" t="s">
        <v>4</v>
      </c>
      <c r="H2627" s="1">
        <v>100.59400000000001</v>
      </c>
    </row>
    <row r="2628" spans="1:8" x14ac:dyDescent="0.3">
      <c r="A2628" s="2">
        <v>647</v>
      </c>
      <c r="B2628" t="s">
        <v>2002</v>
      </c>
      <c r="C2628" t="s">
        <v>3224</v>
      </c>
      <c r="D2628" s="2">
        <v>1</v>
      </c>
      <c r="E2628" s="11" t="s">
        <v>2001</v>
      </c>
      <c r="F2628" t="s">
        <v>114</v>
      </c>
      <c r="G2628" s="2" t="s">
        <v>23</v>
      </c>
      <c r="H2628" s="1">
        <v>95.294000000000011</v>
      </c>
    </row>
    <row r="2629" spans="1:8" x14ac:dyDescent="0.3">
      <c r="A2629" s="2">
        <v>647</v>
      </c>
      <c r="B2629" t="s">
        <v>2210</v>
      </c>
      <c r="C2629" t="s">
        <v>3224</v>
      </c>
      <c r="D2629" s="2">
        <v>1</v>
      </c>
      <c r="E2629" s="11" t="s">
        <v>1897</v>
      </c>
      <c r="F2629" t="s">
        <v>114</v>
      </c>
      <c r="G2629" s="2" t="s">
        <v>23</v>
      </c>
      <c r="H2629" s="1">
        <v>52.893999999999998</v>
      </c>
    </row>
    <row r="2630" spans="1:8" x14ac:dyDescent="0.3">
      <c r="A2630" s="2">
        <v>647</v>
      </c>
      <c r="B2630" t="s">
        <v>2209</v>
      </c>
      <c r="C2630" t="s">
        <v>2</v>
      </c>
      <c r="D2630" s="2">
        <v>1</v>
      </c>
      <c r="E2630" s="11" t="s">
        <v>60</v>
      </c>
      <c r="F2630" t="s">
        <v>114</v>
      </c>
      <c r="G2630" s="2" t="s">
        <v>31</v>
      </c>
      <c r="H2630" s="1">
        <v>68.794000000000011</v>
      </c>
    </row>
    <row r="2631" spans="1:8" x14ac:dyDescent="0.3">
      <c r="A2631" s="2">
        <v>647</v>
      </c>
      <c r="B2631" t="s">
        <v>2169</v>
      </c>
      <c r="C2631" t="s">
        <v>3224</v>
      </c>
      <c r="D2631" s="2">
        <v>1</v>
      </c>
      <c r="E2631" s="11" t="s">
        <v>1880</v>
      </c>
      <c r="F2631" t="s">
        <v>114</v>
      </c>
      <c r="G2631" s="2" t="s">
        <v>31</v>
      </c>
      <c r="H2631" s="1">
        <v>74.094000000000008</v>
      </c>
    </row>
    <row r="2632" spans="1:8" x14ac:dyDescent="0.3">
      <c r="A2632" s="2">
        <v>647</v>
      </c>
      <c r="B2632" t="s">
        <v>2167</v>
      </c>
      <c r="C2632" t="s">
        <v>2</v>
      </c>
      <c r="D2632" s="2">
        <v>1</v>
      </c>
      <c r="E2632" s="11" t="s">
        <v>733</v>
      </c>
      <c r="F2632" t="s">
        <v>114</v>
      </c>
      <c r="G2632" s="2" t="s">
        <v>31</v>
      </c>
      <c r="H2632" s="1">
        <v>132.39400000000001</v>
      </c>
    </row>
    <row r="2633" spans="1:8" x14ac:dyDescent="0.3">
      <c r="A2633" s="2">
        <v>647</v>
      </c>
      <c r="B2633" t="s">
        <v>2208</v>
      </c>
      <c r="C2633" t="s">
        <v>0</v>
      </c>
      <c r="D2633" s="2">
        <v>1</v>
      </c>
      <c r="E2633" s="11" t="s">
        <v>2196</v>
      </c>
      <c r="F2633" t="s">
        <v>47</v>
      </c>
      <c r="G2633" s="2" t="s">
        <v>4</v>
      </c>
      <c r="H2633" s="1">
        <v>132.39400000000001</v>
      </c>
    </row>
    <row r="2634" spans="1:8" x14ac:dyDescent="0.3">
      <c r="A2634" s="2">
        <v>647</v>
      </c>
      <c r="B2634" t="s">
        <v>2207</v>
      </c>
      <c r="C2634" t="s">
        <v>0</v>
      </c>
      <c r="D2634" s="2">
        <v>1</v>
      </c>
      <c r="E2634" s="11" t="s">
        <v>2196</v>
      </c>
      <c r="F2634" t="s">
        <v>47</v>
      </c>
      <c r="G2634" s="2" t="s">
        <v>23</v>
      </c>
      <c r="H2634" s="1">
        <v>132.39400000000001</v>
      </c>
    </row>
    <row r="2635" spans="1:8" x14ac:dyDescent="0.3">
      <c r="A2635" s="2">
        <v>647</v>
      </c>
      <c r="B2635" t="s">
        <v>2206</v>
      </c>
      <c r="C2635" t="s">
        <v>2</v>
      </c>
      <c r="D2635" s="2">
        <v>1</v>
      </c>
      <c r="E2635" s="11" t="s">
        <v>60</v>
      </c>
      <c r="F2635" t="s">
        <v>47</v>
      </c>
      <c r="G2635" s="2" t="s">
        <v>31</v>
      </c>
      <c r="H2635" s="1">
        <v>68.794000000000011</v>
      </c>
    </row>
    <row r="2636" spans="1:8" x14ac:dyDescent="0.3">
      <c r="A2636" s="2">
        <v>647</v>
      </c>
      <c r="B2636" t="s">
        <v>2188</v>
      </c>
      <c r="C2636" t="s">
        <v>3225</v>
      </c>
      <c r="D2636" s="2">
        <v>1</v>
      </c>
      <c r="E2636" s="11" t="s">
        <v>2073</v>
      </c>
      <c r="F2636" t="s">
        <v>47</v>
      </c>
      <c r="G2636" s="2" t="s">
        <v>31</v>
      </c>
      <c r="H2636" s="1">
        <v>201.29400000000001</v>
      </c>
    </row>
    <row r="2637" spans="1:8" x14ac:dyDescent="0.3">
      <c r="A2637" s="2">
        <v>647</v>
      </c>
      <c r="B2637" t="s">
        <v>337</v>
      </c>
      <c r="C2637" t="s">
        <v>0</v>
      </c>
      <c r="D2637" s="2">
        <v>1</v>
      </c>
      <c r="E2637" s="11" t="s">
        <v>336</v>
      </c>
      <c r="F2637" t="s">
        <v>47</v>
      </c>
      <c r="G2637" s="2" t="s">
        <v>31</v>
      </c>
      <c r="H2637" s="1">
        <v>201.29400000000001</v>
      </c>
    </row>
    <row r="2638" spans="1:8" x14ac:dyDescent="0.3">
      <c r="A2638" s="2">
        <v>647</v>
      </c>
      <c r="B2638" t="s">
        <v>2205</v>
      </c>
      <c r="C2638" t="s">
        <v>3224</v>
      </c>
      <c r="D2638" s="2">
        <v>1</v>
      </c>
      <c r="E2638" s="11" t="s">
        <v>1880</v>
      </c>
      <c r="F2638" t="s">
        <v>47</v>
      </c>
      <c r="G2638" s="2" t="s">
        <v>23</v>
      </c>
      <c r="H2638" s="1">
        <v>74.094000000000008</v>
      </c>
    </row>
    <row r="2639" spans="1:8" x14ac:dyDescent="0.3">
      <c r="A2639" s="2">
        <v>647</v>
      </c>
      <c r="B2639" t="s">
        <v>2204</v>
      </c>
      <c r="C2639" t="s">
        <v>3</v>
      </c>
      <c r="D2639" s="2">
        <v>1</v>
      </c>
      <c r="E2639" s="11" t="s">
        <v>2203</v>
      </c>
      <c r="F2639" t="s">
        <v>39</v>
      </c>
      <c r="G2639" s="2" t="s">
        <v>4</v>
      </c>
      <c r="H2639" s="1">
        <v>79.394000000000005</v>
      </c>
    </row>
    <row r="2640" spans="1:8" x14ac:dyDescent="0.3">
      <c r="A2640" s="2">
        <v>647</v>
      </c>
      <c r="B2640" t="s">
        <v>2202</v>
      </c>
      <c r="C2640" t="s">
        <v>2</v>
      </c>
      <c r="D2640" s="2">
        <v>1</v>
      </c>
      <c r="E2640" s="11" t="s">
        <v>2128</v>
      </c>
      <c r="F2640" t="s">
        <v>39</v>
      </c>
      <c r="G2640" s="2" t="s">
        <v>23</v>
      </c>
      <c r="H2640" s="1">
        <v>116.49400000000001</v>
      </c>
    </row>
    <row r="2641" spans="1:8" x14ac:dyDescent="0.3">
      <c r="A2641" s="2">
        <v>647</v>
      </c>
      <c r="B2641" t="s">
        <v>2201</v>
      </c>
      <c r="C2641" t="s">
        <v>0</v>
      </c>
      <c r="D2641" s="2">
        <v>1</v>
      </c>
      <c r="E2641" s="11" t="s">
        <v>2198</v>
      </c>
      <c r="F2641" t="s">
        <v>39</v>
      </c>
      <c r="G2641" s="2" t="s">
        <v>4</v>
      </c>
      <c r="H2641" s="1">
        <v>111.19400000000002</v>
      </c>
    </row>
    <row r="2642" spans="1:8" x14ac:dyDescent="0.3">
      <c r="A2642" s="2">
        <v>647</v>
      </c>
      <c r="B2642" t="s">
        <v>2200</v>
      </c>
      <c r="C2642" t="s">
        <v>0</v>
      </c>
      <c r="D2642" s="2">
        <v>1</v>
      </c>
      <c r="E2642" s="11" t="s">
        <v>2198</v>
      </c>
      <c r="F2642" t="s">
        <v>39</v>
      </c>
      <c r="G2642" s="2" t="s">
        <v>31</v>
      </c>
      <c r="H2642" s="1">
        <v>111.19400000000002</v>
      </c>
    </row>
    <row r="2643" spans="1:8" x14ac:dyDescent="0.3">
      <c r="A2643" s="2">
        <v>647</v>
      </c>
      <c r="B2643" t="s">
        <v>2199</v>
      </c>
      <c r="C2643" t="s">
        <v>0</v>
      </c>
      <c r="D2643" s="2">
        <v>1</v>
      </c>
      <c r="E2643" s="11" t="s">
        <v>2198</v>
      </c>
      <c r="F2643" t="s">
        <v>39</v>
      </c>
      <c r="G2643" s="2" t="s">
        <v>23</v>
      </c>
      <c r="H2643" s="1">
        <v>111.19400000000002</v>
      </c>
    </row>
    <row r="2644" spans="1:8" x14ac:dyDescent="0.3">
      <c r="A2644" s="2">
        <v>647</v>
      </c>
      <c r="B2644" t="s">
        <v>2197</v>
      </c>
      <c r="C2644" t="s">
        <v>0</v>
      </c>
      <c r="D2644" s="2">
        <v>1</v>
      </c>
      <c r="E2644" s="11" t="s">
        <v>2196</v>
      </c>
      <c r="F2644" t="s">
        <v>39</v>
      </c>
      <c r="G2644" s="2" t="s">
        <v>4</v>
      </c>
      <c r="H2644" s="1">
        <v>132.39400000000001</v>
      </c>
    </row>
    <row r="2645" spans="1:8" x14ac:dyDescent="0.3">
      <c r="A2645" s="2">
        <v>647</v>
      </c>
      <c r="B2645" t="s">
        <v>1084</v>
      </c>
      <c r="C2645" t="s">
        <v>0</v>
      </c>
      <c r="D2645" s="2">
        <v>1</v>
      </c>
      <c r="E2645" s="11" t="s">
        <v>1083</v>
      </c>
      <c r="F2645" t="s">
        <v>39</v>
      </c>
      <c r="G2645" s="2" t="s">
        <v>31</v>
      </c>
      <c r="H2645" s="1">
        <v>169.49400000000003</v>
      </c>
    </row>
    <row r="2646" spans="1:8" x14ac:dyDescent="0.3">
      <c r="A2646" s="2">
        <v>647</v>
      </c>
      <c r="B2646" t="s">
        <v>101</v>
      </c>
      <c r="C2646" t="s">
        <v>2</v>
      </c>
      <c r="D2646" s="2">
        <v>1</v>
      </c>
      <c r="E2646" s="11" t="s">
        <v>60</v>
      </c>
      <c r="F2646" t="s">
        <v>39</v>
      </c>
      <c r="G2646" s="2" t="s">
        <v>4</v>
      </c>
      <c r="H2646" s="1">
        <v>68.794000000000011</v>
      </c>
    </row>
    <row r="2647" spans="1:8" x14ac:dyDescent="0.3">
      <c r="A2647" s="2">
        <v>647</v>
      </c>
      <c r="B2647" t="s">
        <v>2195</v>
      </c>
      <c r="C2647" t="s">
        <v>3219</v>
      </c>
      <c r="D2647" s="2">
        <v>1</v>
      </c>
      <c r="E2647" s="11" t="s">
        <v>1561</v>
      </c>
      <c r="F2647" t="s">
        <v>39</v>
      </c>
      <c r="G2647" s="2" t="s">
        <v>31</v>
      </c>
      <c r="H2647" s="1">
        <v>148.29400000000001</v>
      </c>
    </row>
    <row r="2648" spans="1:8" x14ac:dyDescent="0.3">
      <c r="A2648" s="2">
        <v>647</v>
      </c>
      <c r="B2648" t="s">
        <v>2186</v>
      </c>
      <c r="C2648" t="s">
        <v>0</v>
      </c>
      <c r="D2648" s="2">
        <v>1</v>
      </c>
      <c r="E2648" s="11" t="s">
        <v>336</v>
      </c>
      <c r="F2648" t="s">
        <v>39</v>
      </c>
      <c r="G2648" s="2" t="s">
        <v>23</v>
      </c>
      <c r="H2648" s="1">
        <v>201.29400000000001</v>
      </c>
    </row>
    <row r="2649" spans="1:8" x14ac:dyDescent="0.3">
      <c r="A2649" s="2">
        <v>647</v>
      </c>
      <c r="B2649" t="s">
        <v>1944</v>
      </c>
      <c r="C2649" t="s">
        <v>0</v>
      </c>
      <c r="D2649" s="2">
        <v>1</v>
      </c>
      <c r="E2649" s="11" t="s">
        <v>1109</v>
      </c>
      <c r="F2649" t="s">
        <v>36</v>
      </c>
      <c r="G2649" s="2" t="s">
        <v>31</v>
      </c>
      <c r="H2649" s="1">
        <v>137.69400000000002</v>
      </c>
    </row>
    <row r="2650" spans="1:8" x14ac:dyDescent="0.3">
      <c r="A2650" s="2">
        <v>647</v>
      </c>
      <c r="B2650" t="s">
        <v>2194</v>
      </c>
      <c r="C2650" t="s">
        <v>3224</v>
      </c>
      <c r="D2650" s="2">
        <v>1</v>
      </c>
      <c r="E2650" s="11" t="s">
        <v>193</v>
      </c>
      <c r="F2650" t="s">
        <v>36</v>
      </c>
      <c r="G2650" s="2" t="s">
        <v>4</v>
      </c>
      <c r="H2650" s="1">
        <v>100.59400000000001</v>
      </c>
    </row>
    <row r="2651" spans="1:8" x14ac:dyDescent="0.3">
      <c r="A2651" s="2">
        <v>647</v>
      </c>
      <c r="B2651" t="s">
        <v>2070</v>
      </c>
      <c r="C2651" t="s">
        <v>1</v>
      </c>
      <c r="D2651" s="2">
        <v>1</v>
      </c>
      <c r="E2651" s="11" t="s">
        <v>1774</v>
      </c>
      <c r="F2651" t="s">
        <v>36</v>
      </c>
      <c r="G2651" s="2" t="s">
        <v>23</v>
      </c>
      <c r="H2651" s="1">
        <v>89.994000000000014</v>
      </c>
    </row>
    <row r="2652" spans="1:8" x14ac:dyDescent="0.3">
      <c r="A2652" s="2">
        <v>647</v>
      </c>
      <c r="B2652" t="s">
        <v>2193</v>
      </c>
      <c r="C2652" t="s">
        <v>3224</v>
      </c>
      <c r="D2652" s="2">
        <v>1</v>
      </c>
      <c r="E2652" s="11" t="s">
        <v>1897</v>
      </c>
      <c r="F2652" t="s">
        <v>28</v>
      </c>
      <c r="G2652" s="2" t="s">
        <v>31</v>
      </c>
      <c r="H2652" s="1">
        <v>52.893999999999998</v>
      </c>
    </row>
    <row r="2653" spans="1:8" x14ac:dyDescent="0.3">
      <c r="A2653" s="2">
        <v>648</v>
      </c>
      <c r="B2653" t="s">
        <v>2192</v>
      </c>
      <c r="C2653" t="s">
        <v>3</v>
      </c>
      <c r="D2653" s="2">
        <v>1</v>
      </c>
      <c r="E2653" s="11" t="s">
        <v>1997</v>
      </c>
      <c r="F2653" t="s">
        <v>62</v>
      </c>
      <c r="G2653" s="2" t="s">
        <v>4</v>
      </c>
      <c r="H2653" s="1">
        <v>68.794000000000011</v>
      </c>
    </row>
    <row r="2654" spans="1:8" x14ac:dyDescent="0.3">
      <c r="A2654" s="2">
        <v>648</v>
      </c>
      <c r="B2654" t="s">
        <v>1998</v>
      </c>
      <c r="C2654" t="s">
        <v>3</v>
      </c>
      <c r="D2654" s="2">
        <v>1</v>
      </c>
      <c r="E2654" s="11" t="s">
        <v>1997</v>
      </c>
      <c r="F2654" t="s">
        <v>62</v>
      </c>
      <c r="G2654" s="2" t="s">
        <v>31</v>
      </c>
      <c r="H2654" s="1">
        <v>68.794000000000011</v>
      </c>
    </row>
    <row r="2655" spans="1:8" x14ac:dyDescent="0.3">
      <c r="A2655" s="2">
        <v>648</v>
      </c>
      <c r="B2655" t="s">
        <v>2191</v>
      </c>
      <c r="C2655" t="s">
        <v>3</v>
      </c>
      <c r="D2655" s="2">
        <v>1</v>
      </c>
      <c r="E2655" s="11" t="s">
        <v>1997</v>
      </c>
      <c r="F2655" t="s">
        <v>62</v>
      </c>
      <c r="G2655" s="2" t="s">
        <v>23</v>
      </c>
      <c r="H2655" s="1">
        <v>68.794000000000011</v>
      </c>
    </row>
    <row r="2656" spans="1:8" x14ac:dyDescent="0.3">
      <c r="A2656" s="2">
        <v>648</v>
      </c>
      <c r="B2656" t="s">
        <v>2029</v>
      </c>
      <c r="C2656" t="s">
        <v>1</v>
      </c>
      <c r="D2656" s="2">
        <v>1</v>
      </c>
      <c r="E2656" s="11" t="s">
        <v>1995</v>
      </c>
      <c r="F2656" t="s">
        <v>62</v>
      </c>
      <c r="G2656" s="2" t="s">
        <v>4</v>
      </c>
      <c r="H2656" s="1">
        <v>105.89400000000001</v>
      </c>
    </row>
    <row r="2657" spans="1:8" x14ac:dyDescent="0.3">
      <c r="A2657" s="2">
        <v>648</v>
      </c>
      <c r="B2657" t="s">
        <v>1996</v>
      </c>
      <c r="C2657" t="s">
        <v>1</v>
      </c>
      <c r="D2657" s="2">
        <v>2</v>
      </c>
      <c r="E2657" s="11" t="s">
        <v>1995</v>
      </c>
      <c r="F2657" t="s">
        <v>62</v>
      </c>
      <c r="G2657" s="2" t="s">
        <v>31</v>
      </c>
      <c r="H2657" s="1">
        <v>105.89400000000001</v>
      </c>
    </row>
    <row r="2658" spans="1:8" x14ac:dyDescent="0.3">
      <c r="A2658" s="2">
        <v>648</v>
      </c>
      <c r="B2658" t="s">
        <v>2190</v>
      </c>
      <c r="C2658" t="s">
        <v>1</v>
      </c>
      <c r="D2658" s="2">
        <v>1</v>
      </c>
      <c r="E2658" s="11" t="s">
        <v>1995</v>
      </c>
      <c r="F2658" t="s">
        <v>62</v>
      </c>
      <c r="G2658" s="2" t="s">
        <v>23</v>
      </c>
      <c r="H2658" s="1">
        <v>105.89400000000001</v>
      </c>
    </row>
    <row r="2659" spans="1:8" x14ac:dyDescent="0.3">
      <c r="A2659" s="2">
        <v>648</v>
      </c>
      <c r="B2659" t="s">
        <v>1975</v>
      </c>
      <c r="C2659" t="s">
        <v>0</v>
      </c>
      <c r="D2659" s="2">
        <v>1</v>
      </c>
      <c r="E2659" s="11" t="s">
        <v>1960</v>
      </c>
      <c r="F2659" t="s">
        <v>62</v>
      </c>
      <c r="G2659" s="2" t="s">
        <v>4</v>
      </c>
      <c r="H2659" s="1">
        <v>132.39400000000001</v>
      </c>
    </row>
    <row r="2660" spans="1:8" x14ac:dyDescent="0.3">
      <c r="A2660" s="2">
        <v>648</v>
      </c>
      <c r="B2660" t="s">
        <v>2028</v>
      </c>
      <c r="C2660" t="s">
        <v>0</v>
      </c>
      <c r="D2660" s="2">
        <v>1</v>
      </c>
      <c r="E2660" s="11" t="s">
        <v>1960</v>
      </c>
      <c r="F2660" t="s">
        <v>62</v>
      </c>
      <c r="G2660" s="2" t="s">
        <v>31</v>
      </c>
      <c r="H2660" s="1">
        <v>132.39400000000001</v>
      </c>
    </row>
    <row r="2661" spans="1:8" x14ac:dyDescent="0.3">
      <c r="A2661" s="2">
        <v>648</v>
      </c>
      <c r="B2661" t="s">
        <v>1962</v>
      </c>
      <c r="C2661" t="s">
        <v>0</v>
      </c>
      <c r="D2661" s="2">
        <v>1</v>
      </c>
      <c r="E2661" s="11" t="s">
        <v>1960</v>
      </c>
      <c r="F2661" t="s">
        <v>62</v>
      </c>
      <c r="G2661" s="2" t="s">
        <v>23</v>
      </c>
      <c r="H2661" s="1">
        <v>132.39400000000001</v>
      </c>
    </row>
    <row r="2662" spans="1:8" x14ac:dyDescent="0.3">
      <c r="A2662" s="2">
        <v>648</v>
      </c>
      <c r="B2662" t="s">
        <v>2189</v>
      </c>
      <c r="C2662" t="s">
        <v>3225</v>
      </c>
      <c r="D2662" s="2">
        <v>1</v>
      </c>
      <c r="E2662" s="11" t="s">
        <v>2073</v>
      </c>
      <c r="F2662" t="s">
        <v>47</v>
      </c>
      <c r="G2662" s="2" t="s">
        <v>4</v>
      </c>
      <c r="H2662" s="1">
        <v>201.29400000000001</v>
      </c>
    </row>
    <row r="2663" spans="1:8" x14ac:dyDescent="0.3">
      <c r="A2663" s="2">
        <v>648</v>
      </c>
      <c r="B2663" t="s">
        <v>2188</v>
      </c>
      <c r="C2663" t="s">
        <v>3225</v>
      </c>
      <c r="D2663" s="2">
        <v>1</v>
      </c>
      <c r="E2663" s="11" t="s">
        <v>2073</v>
      </c>
      <c r="F2663" t="s">
        <v>47</v>
      </c>
      <c r="G2663" s="2" t="s">
        <v>31</v>
      </c>
      <c r="H2663" s="1">
        <v>201.29400000000001</v>
      </c>
    </row>
    <row r="2664" spans="1:8" x14ac:dyDescent="0.3">
      <c r="A2664" s="2">
        <v>648</v>
      </c>
      <c r="B2664" t="s">
        <v>2074</v>
      </c>
      <c r="C2664" t="s">
        <v>3225</v>
      </c>
      <c r="D2664" s="2">
        <v>1</v>
      </c>
      <c r="E2664" s="11" t="s">
        <v>2073</v>
      </c>
      <c r="F2664" t="s">
        <v>47</v>
      </c>
      <c r="G2664" s="2" t="s">
        <v>23</v>
      </c>
      <c r="H2664" s="1">
        <v>201.29400000000001</v>
      </c>
    </row>
    <row r="2665" spans="1:8" x14ac:dyDescent="0.3">
      <c r="A2665" s="2">
        <v>648</v>
      </c>
      <c r="B2665" t="s">
        <v>986</v>
      </c>
      <c r="C2665" t="s">
        <v>0</v>
      </c>
      <c r="D2665" s="2">
        <v>1</v>
      </c>
      <c r="E2665" s="11" t="s">
        <v>336</v>
      </c>
      <c r="F2665" t="s">
        <v>47</v>
      </c>
      <c r="G2665" s="2" t="s">
        <v>4</v>
      </c>
      <c r="H2665" s="1">
        <v>201.29400000000001</v>
      </c>
    </row>
    <row r="2666" spans="1:8" x14ac:dyDescent="0.3">
      <c r="A2666" s="2">
        <v>648</v>
      </c>
      <c r="B2666" t="s">
        <v>2162</v>
      </c>
      <c r="C2666" t="s">
        <v>3225</v>
      </c>
      <c r="D2666" s="2">
        <v>1</v>
      </c>
      <c r="E2666" s="11" t="s">
        <v>2073</v>
      </c>
      <c r="F2666" t="s">
        <v>39</v>
      </c>
      <c r="G2666" s="2" t="s">
        <v>4</v>
      </c>
      <c r="H2666" s="1">
        <v>201.29400000000001</v>
      </c>
    </row>
    <row r="2667" spans="1:8" x14ac:dyDescent="0.3">
      <c r="A2667" s="2">
        <v>648</v>
      </c>
      <c r="B2667" t="s">
        <v>2187</v>
      </c>
      <c r="C2667" t="s">
        <v>3225</v>
      </c>
      <c r="D2667" s="2">
        <v>1</v>
      </c>
      <c r="E2667" s="11" t="s">
        <v>2073</v>
      </c>
      <c r="F2667" t="s">
        <v>39</v>
      </c>
      <c r="G2667" s="2" t="s">
        <v>31</v>
      </c>
      <c r="H2667" s="1">
        <v>201.29400000000001</v>
      </c>
    </row>
    <row r="2668" spans="1:8" x14ac:dyDescent="0.3">
      <c r="A2668" s="2">
        <v>648</v>
      </c>
      <c r="B2668" t="s">
        <v>2161</v>
      </c>
      <c r="C2668" t="s">
        <v>3225</v>
      </c>
      <c r="D2668" s="2">
        <v>1</v>
      </c>
      <c r="E2668" s="11" t="s">
        <v>2073</v>
      </c>
      <c r="F2668" t="s">
        <v>39</v>
      </c>
      <c r="G2668" s="2" t="s">
        <v>23</v>
      </c>
      <c r="H2668" s="1">
        <v>201.29400000000001</v>
      </c>
    </row>
    <row r="2669" spans="1:8" x14ac:dyDescent="0.3">
      <c r="A2669" s="2">
        <v>648</v>
      </c>
      <c r="B2669" t="s">
        <v>1583</v>
      </c>
      <c r="C2669" t="s">
        <v>0</v>
      </c>
      <c r="D2669" s="2">
        <v>2</v>
      </c>
      <c r="E2669" s="11" t="s">
        <v>336</v>
      </c>
      <c r="F2669" t="s">
        <v>39</v>
      </c>
      <c r="G2669" s="2" t="s">
        <v>31</v>
      </c>
      <c r="H2669" s="1">
        <v>201.29400000000001</v>
      </c>
    </row>
    <row r="2670" spans="1:8" x14ac:dyDescent="0.3">
      <c r="A2670" s="2">
        <v>648</v>
      </c>
      <c r="B2670" t="s">
        <v>2186</v>
      </c>
      <c r="C2670" t="s">
        <v>0</v>
      </c>
      <c r="D2670" s="2">
        <v>1</v>
      </c>
      <c r="E2670" s="11" t="s">
        <v>336</v>
      </c>
      <c r="F2670" t="s">
        <v>39</v>
      </c>
      <c r="G2670" s="2" t="s">
        <v>23</v>
      </c>
      <c r="H2670" s="1">
        <v>201.29400000000001</v>
      </c>
    </row>
    <row r="2671" spans="1:8" x14ac:dyDescent="0.3">
      <c r="A2671" s="2">
        <v>648</v>
      </c>
      <c r="B2671" t="s">
        <v>2185</v>
      </c>
      <c r="C2671" t="s">
        <v>3224</v>
      </c>
      <c r="D2671" s="2">
        <v>1</v>
      </c>
      <c r="E2671" s="11" t="s">
        <v>1880</v>
      </c>
      <c r="F2671" t="s">
        <v>39</v>
      </c>
      <c r="G2671" s="2" t="s">
        <v>4</v>
      </c>
      <c r="H2671" s="1">
        <v>74.094000000000008</v>
      </c>
    </row>
    <row r="2672" spans="1:8" x14ac:dyDescent="0.3">
      <c r="A2672" s="2">
        <v>648</v>
      </c>
      <c r="B2672" t="s">
        <v>1881</v>
      </c>
      <c r="C2672" t="s">
        <v>3224</v>
      </c>
      <c r="D2672" s="2">
        <v>1</v>
      </c>
      <c r="E2672" s="11" t="s">
        <v>1880</v>
      </c>
      <c r="F2672" t="s">
        <v>39</v>
      </c>
      <c r="G2672" s="2" t="s">
        <v>31</v>
      </c>
      <c r="H2672" s="1">
        <v>74.094000000000008</v>
      </c>
    </row>
    <row r="2673" spans="1:8" x14ac:dyDescent="0.3">
      <c r="A2673" s="2">
        <v>648</v>
      </c>
      <c r="B2673" t="s">
        <v>1908</v>
      </c>
      <c r="C2673" t="s">
        <v>3224</v>
      </c>
      <c r="D2673" s="2">
        <v>1</v>
      </c>
      <c r="E2673" s="11" t="s">
        <v>1880</v>
      </c>
      <c r="F2673" t="s">
        <v>39</v>
      </c>
      <c r="G2673" s="2" t="s">
        <v>23</v>
      </c>
      <c r="H2673" s="1">
        <v>74.094000000000008</v>
      </c>
    </row>
    <row r="2674" spans="1:8" x14ac:dyDescent="0.3">
      <c r="A2674" s="2">
        <v>648</v>
      </c>
      <c r="B2674" t="s">
        <v>2184</v>
      </c>
      <c r="C2674" t="s">
        <v>2</v>
      </c>
      <c r="D2674" s="2">
        <v>1</v>
      </c>
      <c r="E2674" s="11" t="s">
        <v>733</v>
      </c>
      <c r="F2674" t="s">
        <v>39</v>
      </c>
      <c r="G2674" s="2" t="s">
        <v>4</v>
      </c>
      <c r="H2674" s="1">
        <v>132.39400000000001</v>
      </c>
    </row>
    <row r="2675" spans="1:8" x14ac:dyDescent="0.3">
      <c r="A2675" s="2">
        <v>648</v>
      </c>
      <c r="B2675" t="s">
        <v>823</v>
      </c>
      <c r="C2675" t="s">
        <v>2</v>
      </c>
      <c r="D2675" s="2">
        <v>1</v>
      </c>
      <c r="E2675" s="11" t="s">
        <v>733</v>
      </c>
      <c r="F2675" t="s">
        <v>39</v>
      </c>
      <c r="G2675" s="2" t="s">
        <v>31</v>
      </c>
      <c r="H2675" s="1">
        <v>132.39400000000001</v>
      </c>
    </row>
    <row r="2676" spans="1:8" x14ac:dyDescent="0.3">
      <c r="A2676" s="2">
        <v>648</v>
      </c>
      <c r="B2676" t="s">
        <v>1852</v>
      </c>
      <c r="C2676" t="s">
        <v>2</v>
      </c>
      <c r="D2676" s="2">
        <v>1</v>
      </c>
      <c r="E2676" s="11" t="s">
        <v>733</v>
      </c>
      <c r="F2676" t="s">
        <v>39</v>
      </c>
      <c r="G2676" s="2" t="s">
        <v>23</v>
      </c>
      <c r="H2676" s="1">
        <v>132.39400000000001</v>
      </c>
    </row>
    <row r="2677" spans="1:8" x14ac:dyDescent="0.3">
      <c r="A2677" s="2">
        <v>649</v>
      </c>
      <c r="B2677" t="s">
        <v>2175</v>
      </c>
      <c r="C2677" t="s">
        <v>3225</v>
      </c>
      <c r="D2677" s="2">
        <v>2</v>
      </c>
      <c r="E2677" s="11" t="s">
        <v>1409</v>
      </c>
      <c r="F2677" t="s">
        <v>55</v>
      </c>
      <c r="G2677" s="2" t="s">
        <v>31</v>
      </c>
      <c r="H2677" s="1">
        <v>158.89400000000001</v>
      </c>
    </row>
    <row r="2678" spans="1:8" x14ac:dyDescent="0.3">
      <c r="A2678" s="2">
        <v>649</v>
      </c>
      <c r="B2678" t="s">
        <v>2183</v>
      </c>
      <c r="C2678" t="s">
        <v>3</v>
      </c>
      <c r="D2678" s="2">
        <v>1</v>
      </c>
      <c r="E2678" s="11" t="s">
        <v>1761</v>
      </c>
      <c r="F2678" t="s">
        <v>55</v>
      </c>
      <c r="G2678" s="2" t="s">
        <v>31</v>
      </c>
      <c r="H2678" s="1">
        <v>105.89400000000001</v>
      </c>
    </row>
    <row r="2679" spans="1:8" x14ac:dyDescent="0.3">
      <c r="A2679" s="2">
        <v>649</v>
      </c>
      <c r="B2679" t="s">
        <v>2182</v>
      </c>
      <c r="C2679" t="s">
        <v>3224</v>
      </c>
      <c r="D2679" s="2">
        <v>1</v>
      </c>
      <c r="E2679" s="11" t="s">
        <v>1951</v>
      </c>
      <c r="F2679" t="s">
        <v>55</v>
      </c>
      <c r="G2679" s="2" t="s">
        <v>31</v>
      </c>
      <c r="H2679" s="1">
        <v>100.59400000000001</v>
      </c>
    </row>
    <row r="2680" spans="1:8" x14ac:dyDescent="0.3">
      <c r="A2680" s="2">
        <v>649</v>
      </c>
      <c r="B2680" t="s">
        <v>2169</v>
      </c>
      <c r="C2680" t="s">
        <v>3224</v>
      </c>
      <c r="D2680" s="2">
        <v>1</v>
      </c>
      <c r="E2680" s="11" t="s">
        <v>1880</v>
      </c>
      <c r="F2680" t="s">
        <v>114</v>
      </c>
      <c r="G2680" s="2" t="s">
        <v>31</v>
      </c>
      <c r="H2680" s="1">
        <v>74.094000000000008</v>
      </c>
    </row>
    <row r="2681" spans="1:8" x14ac:dyDescent="0.3">
      <c r="A2681" s="2">
        <v>649</v>
      </c>
      <c r="B2681" t="s">
        <v>2167</v>
      </c>
      <c r="C2681" t="s">
        <v>2</v>
      </c>
      <c r="D2681" s="2">
        <v>1</v>
      </c>
      <c r="E2681" s="11" t="s">
        <v>733</v>
      </c>
      <c r="F2681" t="s">
        <v>114</v>
      </c>
      <c r="G2681" s="2" t="s">
        <v>31</v>
      </c>
      <c r="H2681" s="1">
        <v>132.39400000000001</v>
      </c>
    </row>
    <row r="2682" spans="1:8" x14ac:dyDescent="0.3">
      <c r="A2682" s="2">
        <v>649</v>
      </c>
      <c r="B2682" t="s">
        <v>2181</v>
      </c>
      <c r="C2682" t="s">
        <v>3224</v>
      </c>
      <c r="D2682" s="2">
        <v>1</v>
      </c>
      <c r="E2682" s="11" t="s">
        <v>2180</v>
      </c>
      <c r="F2682" t="s">
        <v>36</v>
      </c>
      <c r="G2682" s="2" t="s">
        <v>31</v>
      </c>
      <c r="H2682" s="1">
        <v>84.694000000000017</v>
      </c>
    </row>
    <row r="2683" spans="1:8" x14ac:dyDescent="0.3">
      <c r="A2683" s="2">
        <v>649</v>
      </c>
      <c r="B2683" t="s">
        <v>2179</v>
      </c>
      <c r="C2683" t="s">
        <v>3</v>
      </c>
      <c r="D2683" s="2">
        <v>1</v>
      </c>
      <c r="E2683" s="11" t="s">
        <v>2178</v>
      </c>
      <c r="F2683" t="s">
        <v>36</v>
      </c>
      <c r="G2683" s="2" t="s">
        <v>31</v>
      </c>
      <c r="H2683" s="1">
        <v>111.19400000000002</v>
      </c>
    </row>
    <row r="2684" spans="1:8" x14ac:dyDescent="0.3">
      <c r="A2684" s="2">
        <v>649</v>
      </c>
      <c r="B2684" t="s">
        <v>337</v>
      </c>
      <c r="C2684" t="s">
        <v>0</v>
      </c>
      <c r="D2684" s="2">
        <v>1</v>
      </c>
      <c r="E2684" s="11" t="s">
        <v>336</v>
      </c>
      <c r="F2684" t="s">
        <v>47</v>
      </c>
      <c r="G2684" s="2" t="s">
        <v>31</v>
      </c>
      <c r="H2684" s="1">
        <v>201.29400000000001</v>
      </c>
    </row>
    <row r="2685" spans="1:8" x14ac:dyDescent="0.3">
      <c r="A2685" s="2">
        <v>649</v>
      </c>
      <c r="B2685" t="s">
        <v>1930</v>
      </c>
      <c r="C2685" t="s">
        <v>3224</v>
      </c>
      <c r="D2685" s="2">
        <v>1</v>
      </c>
      <c r="E2685" s="11" t="s">
        <v>499</v>
      </c>
      <c r="F2685" t="s">
        <v>39</v>
      </c>
      <c r="G2685" s="2" t="s">
        <v>31</v>
      </c>
      <c r="H2685" s="1">
        <v>84.694000000000017</v>
      </c>
    </row>
    <row r="2686" spans="1:8" x14ac:dyDescent="0.3">
      <c r="A2686" s="2">
        <v>649</v>
      </c>
      <c r="B2686" t="s">
        <v>1929</v>
      </c>
      <c r="C2686" t="s">
        <v>3224</v>
      </c>
      <c r="D2686" s="2">
        <v>1</v>
      </c>
      <c r="E2686" s="11" t="s">
        <v>499</v>
      </c>
      <c r="F2686" t="s">
        <v>39</v>
      </c>
      <c r="G2686" s="2" t="s">
        <v>23</v>
      </c>
      <c r="H2686" s="1">
        <v>84.694000000000017</v>
      </c>
    </row>
    <row r="2687" spans="1:8" x14ac:dyDescent="0.3">
      <c r="A2687" s="2">
        <v>649</v>
      </c>
      <c r="B2687" t="s">
        <v>995</v>
      </c>
      <c r="C2687" t="s">
        <v>3</v>
      </c>
      <c r="D2687" s="2">
        <v>1</v>
      </c>
      <c r="E2687" s="11" t="s">
        <v>434</v>
      </c>
      <c r="F2687" t="s">
        <v>39</v>
      </c>
      <c r="G2687" s="2" t="s">
        <v>31</v>
      </c>
      <c r="H2687" s="1">
        <v>105.89400000000001</v>
      </c>
    </row>
    <row r="2688" spans="1:8" x14ac:dyDescent="0.3">
      <c r="A2688" s="2">
        <v>649</v>
      </c>
      <c r="B2688" t="s">
        <v>1189</v>
      </c>
      <c r="C2688" t="s">
        <v>3</v>
      </c>
      <c r="D2688" s="2">
        <v>1</v>
      </c>
      <c r="E2688" s="11" t="s">
        <v>434</v>
      </c>
      <c r="F2688" t="s">
        <v>39</v>
      </c>
      <c r="G2688" s="2" t="s">
        <v>23</v>
      </c>
      <c r="H2688" s="1">
        <v>105.89400000000001</v>
      </c>
    </row>
    <row r="2689" spans="1:8" x14ac:dyDescent="0.3">
      <c r="A2689" s="2">
        <v>649</v>
      </c>
      <c r="B2689" t="s">
        <v>2177</v>
      </c>
      <c r="C2689" t="s">
        <v>3225</v>
      </c>
      <c r="D2689" s="2">
        <v>2</v>
      </c>
      <c r="E2689" s="11" t="s">
        <v>2073</v>
      </c>
      <c r="F2689" t="s">
        <v>28</v>
      </c>
      <c r="G2689" s="2" t="s">
        <v>31</v>
      </c>
      <c r="H2689" s="1">
        <v>201.29400000000001</v>
      </c>
    </row>
    <row r="2690" spans="1:8" x14ac:dyDescent="0.3">
      <c r="A2690" s="2">
        <v>649</v>
      </c>
      <c r="B2690" t="s">
        <v>2176</v>
      </c>
      <c r="C2690" t="s">
        <v>0</v>
      </c>
      <c r="D2690" s="2">
        <v>1</v>
      </c>
      <c r="E2690" s="11" t="s">
        <v>267</v>
      </c>
      <c r="F2690" t="s">
        <v>28</v>
      </c>
      <c r="G2690" s="2" t="s">
        <v>31</v>
      </c>
      <c r="H2690" s="1">
        <v>158.89400000000001</v>
      </c>
    </row>
    <row r="2691" spans="1:8" x14ac:dyDescent="0.3">
      <c r="A2691" s="2">
        <v>650</v>
      </c>
      <c r="B2691" t="s">
        <v>2175</v>
      </c>
      <c r="C2691" t="s">
        <v>3225</v>
      </c>
      <c r="D2691" s="2">
        <v>1</v>
      </c>
      <c r="E2691" s="11" t="s">
        <v>1409</v>
      </c>
      <c r="F2691" t="s">
        <v>55</v>
      </c>
      <c r="G2691" s="2" t="s">
        <v>31</v>
      </c>
      <c r="H2691" s="1">
        <v>158.89400000000001</v>
      </c>
    </row>
    <row r="2692" spans="1:8" x14ac:dyDescent="0.3">
      <c r="A2692" s="2">
        <v>650</v>
      </c>
      <c r="B2692" t="s">
        <v>2174</v>
      </c>
      <c r="C2692" t="s">
        <v>3219</v>
      </c>
      <c r="D2692" s="2">
        <v>1</v>
      </c>
      <c r="E2692" s="11" t="s">
        <v>2172</v>
      </c>
      <c r="F2692" t="s">
        <v>55</v>
      </c>
      <c r="G2692" s="2" t="s">
        <v>23</v>
      </c>
      <c r="H2692" s="1">
        <v>142.994</v>
      </c>
    </row>
    <row r="2693" spans="1:8" x14ac:dyDescent="0.3">
      <c r="A2693" s="2">
        <v>650</v>
      </c>
      <c r="B2693" t="s">
        <v>1869</v>
      </c>
      <c r="C2693" t="s">
        <v>3224</v>
      </c>
      <c r="D2693" s="2">
        <v>1</v>
      </c>
      <c r="E2693" s="11" t="s">
        <v>1685</v>
      </c>
      <c r="F2693" t="s">
        <v>62</v>
      </c>
      <c r="G2693" s="2" t="s">
        <v>31</v>
      </c>
      <c r="H2693" s="1">
        <v>79.394000000000005</v>
      </c>
    </row>
    <row r="2694" spans="1:8" x14ac:dyDescent="0.3">
      <c r="A2694" s="2">
        <v>650</v>
      </c>
      <c r="B2694" t="s">
        <v>2041</v>
      </c>
      <c r="C2694" t="s">
        <v>3224</v>
      </c>
      <c r="D2694" s="2">
        <v>1</v>
      </c>
      <c r="E2694" s="11" t="s">
        <v>1685</v>
      </c>
      <c r="F2694" t="s">
        <v>62</v>
      </c>
      <c r="G2694" s="2" t="s">
        <v>23</v>
      </c>
      <c r="H2694" s="1">
        <v>79.394000000000005</v>
      </c>
    </row>
    <row r="2695" spans="1:8" x14ac:dyDescent="0.3">
      <c r="A2695" s="2">
        <v>650</v>
      </c>
      <c r="B2695" t="s">
        <v>2173</v>
      </c>
      <c r="C2695" t="s">
        <v>3219</v>
      </c>
      <c r="D2695" s="2">
        <v>1</v>
      </c>
      <c r="E2695" s="11" t="s">
        <v>2172</v>
      </c>
      <c r="F2695" t="s">
        <v>114</v>
      </c>
      <c r="G2695" s="2" t="s">
        <v>23</v>
      </c>
      <c r="H2695" s="1">
        <v>142.994</v>
      </c>
    </row>
    <row r="2696" spans="1:8" x14ac:dyDescent="0.3">
      <c r="A2696" s="2">
        <v>650</v>
      </c>
      <c r="B2696" t="s">
        <v>1640</v>
      </c>
      <c r="C2696" t="s">
        <v>3224</v>
      </c>
      <c r="D2696" s="2">
        <v>1</v>
      </c>
      <c r="E2696" s="11" t="s">
        <v>499</v>
      </c>
      <c r="F2696" t="s">
        <v>114</v>
      </c>
      <c r="G2696" s="2" t="s">
        <v>31</v>
      </c>
      <c r="H2696" s="1">
        <v>84.694000000000017</v>
      </c>
    </row>
    <row r="2697" spans="1:8" x14ac:dyDescent="0.3">
      <c r="A2697" s="2">
        <v>650</v>
      </c>
      <c r="B2697" t="s">
        <v>2171</v>
      </c>
      <c r="C2697" t="s">
        <v>3224</v>
      </c>
      <c r="D2697" s="2">
        <v>1</v>
      </c>
      <c r="E2697" s="11" t="s">
        <v>499</v>
      </c>
      <c r="F2697" t="s">
        <v>114</v>
      </c>
      <c r="G2697" s="2" t="s">
        <v>23</v>
      </c>
      <c r="H2697" s="1">
        <v>84.694000000000017</v>
      </c>
    </row>
    <row r="2698" spans="1:8" x14ac:dyDescent="0.3">
      <c r="A2698" s="2">
        <v>650</v>
      </c>
      <c r="B2698" t="s">
        <v>2170</v>
      </c>
      <c r="C2698" t="s">
        <v>3225</v>
      </c>
      <c r="D2698" s="2">
        <v>1</v>
      </c>
      <c r="E2698" s="11" t="s">
        <v>2073</v>
      </c>
      <c r="F2698" t="s">
        <v>114</v>
      </c>
      <c r="G2698" s="2" t="s">
        <v>31</v>
      </c>
      <c r="H2698" s="1">
        <v>201.29400000000001</v>
      </c>
    </row>
    <row r="2699" spans="1:8" x14ac:dyDescent="0.3">
      <c r="A2699" s="2">
        <v>650</v>
      </c>
      <c r="B2699" t="s">
        <v>2169</v>
      </c>
      <c r="C2699" t="s">
        <v>3224</v>
      </c>
      <c r="D2699" s="2">
        <v>1</v>
      </c>
      <c r="E2699" s="11" t="s">
        <v>1880</v>
      </c>
      <c r="F2699" t="s">
        <v>114</v>
      </c>
      <c r="G2699" s="2" t="s">
        <v>31</v>
      </c>
      <c r="H2699" s="1">
        <v>74.094000000000008</v>
      </c>
    </row>
    <row r="2700" spans="1:8" x14ac:dyDescent="0.3">
      <c r="A2700" s="2">
        <v>650</v>
      </c>
      <c r="B2700" t="s">
        <v>2168</v>
      </c>
      <c r="C2700" t="s">
        <v>3224</v>
      </c>
      <c r="D2700" s="2">
        <v>1</v>
      </c>
      <c r="E2700" s="11" t="s">
        <v>1880</v>
      </c>
      <c r="F2700" t="s">
        <v>114</v>
      </c>
      <c r="G2700" s="2" t="s">
        <v>23</v>
      </c>
      <c r="H2700" s="1">
        <v>74.094000000000008</v>
      </c>
    </row>
    <row r="2701" spans="1:8" x14ac:dyDescent="0.3">
      <c r="A2701" s="2">
        <v>650</v>
      </c>
      <c r="B2701" t="s">
        <v>2167</v>
      </c>
      <c r="C2701" t="s">
        <v>2</v>
      </c>
      <c r="D2701" s="2">
        <v>1</v>
      </c>
      <c r="E2701" s="11" t="s">
        <v>733</v>
      </c>
      <c r="F2701" t="s">
        <v>114</v>
      </c>
      <c r="G2701" s="2" t="s">
        <v>31</v>
      </c>
      <c r="H2701" s="1">
        <v>132.39400000000001</v>
      </c>
    </row>
    <row r="2702" spans="1:8" x14ac:dyDescent="0.3">
      <c r="A2702" s="2">
        <v>650</v>
      </c>
      <c r="B2702" t="s">
        <v>1501</v>
      </c>
      <c r="C2702" t="s">
        <v>2</v>
      </c>
      <c r="D2702" s="2">
        <v>1</v>
      </c>
      <c r="E2702" s="11" t="s">
        <v>733</v>
      </c>
      <c r="F2702" t="s">
        <v>114</v>
      </c>
      <c r="G2702" s="2" t="s">
        <v>23</v>
      </c>
      <c r="H2702" s="1">
        <v>132.39400000000001</v>
      </c>
    </row>
    <row r="2703" spans="1:8" x14ac:dyDescent="0.3">
      <c r="A2703" s="2">
        <v>650</v>
      </c>
      <c r="B2703" t="s">
        <v>1408</v>
      </c>
      <c r="C2703" t="s">
        <v>3224</v>
      </c>
      <c r="D2703" s="2">
        <v>1</v>
      </c>
      <c r="E2703" s="11" t="s">
        <v>499</v>
      </c>
      <c r="F2703" t="s">
        <v>47</v>
      </c>
      <c r="G2703" s="2" t="s">
        <v>23</v>
      </c>
      <c r="H2703" s="1">
        <v>84.694000000000017</v>
      </c>
    </row>
    <row r="2704" spans="1:8" x14ac:dyDescent="0.3">
      <c r="A2704" s="2">
        <v>650</v>
      </c>
      <c r="B2704" t="s">
        <v>2166</v>
      </c>
      <c r="C2704" t="s">
        <v>3219</v>
      </c>
      <c r="D2704" s="2">
        <v>1</v>
      </c>
      <c r="E2704" s="11" t="s">
        <v>2123</v>
      </c>
      <c r="F2704" t="s">
        <v>39</v>
      </c>
      <c r="G2704" s="2" t="s">
        <v>31</v>
      </c>
      <c r="H2704" s="1">
        <v>142.994</v>
      </c>
    </row>
    <row r="2705" spans="1:8" x14ac:dyDescent="0.3">
      <c r="A2705" s="2">
        <v>650</v>
      </c>
      <c r="B2705" t="s">
        <v>2165</v>
      </c>
      <c r="C2705" t="s">
        <v>1</v>
      </c>
      <c r="D2705" s="2">
        <v>1</v>
      </c>
      <c r="E2705" s="11" t="s">
        <v>2163</v>
      </c>
      <c r="F2705" t="s">
        <v>39</v>
      </c>
      <c r="G2705" s="2" t="s">
        <v>31</v>
      </c>
      <c r="H2705" s="1">
        <v>84.694000000000017</v>
      </c>
    </row>
    <row r="2706" spans="1:8" x14ac:dyDescent="0.3">
      <c r="A2706" s="2">
        <v>650</v>
      </c>
      <c r="B2706" t="s">
        <v>2164</v>
      </c>
      <c r="C2706" t="s">
        <v>1</v>
      </c>
      <c r="D2706" s="2">
        <v>1</v>
      </c>
      <c r="E2706" s="11" t="s">
        <v>2163</v>
      </c>
      <c r="F2706" t="s">
        <v>39</v>
      </c>
      <c r="G2706" s="2" t="s">
        <v>23</v>
      </c>
      <c r="H2706" s="1">
        <v>84.694000000000017</v>
      </c>
    </row>
    <row r="2707" spans="1:8" x14ac:dyDescent="0.3">
      <c r="A2707" s="2">
        <v>650</v>
      </c>
      <c r="B2707" t="s">
        <v>1029</v>
      </c>
      <c r="C2707" t="s">
        <v>3220</v>
      </c>
      <c r="D2707" s="2">
        <v>1</v>
      </c>
      <c r="E2707" s="11" t="s">
        <v>640</v>
      </c>
      <c r="F2707" t="s">
        <v>39</v>
      </c>
      <c r="G2707" s="2" t="s">
        <v>4</v>
      </c>
      <c r="H2707" s="1">
        <v>21.094000000000001</v>
      </c>
    </row>
    <row r="2708" spans="1:8" x14ac:dyDescent="0.3">
      <c r="A2708" s="2">
        <v>650</v>
      </c>
      <c r="B2708" t="s">
        <v>641</v>
      </c>
      <c r="C2708" t="s">
        <v>3220</v>
      </c>
      <c r="D2708" s="2">
        <v>1</v>
      </c>
      <c r="E2708" s="11" t="s">
        <v>640</v>
      </c>
      <c r="F2708" t="s">
        <v>39</v>
      </c>
      <c r="G2708" s="2" t="s">
        <v>31</v>
      </c>
      <c r="H2708" s="1">
        <v>21.094000000000001</v>
      </c>
    </row>
    <row r="2709" spans="1:8" x14ac:dyDescent="0.3">
      <c r="A2709" s="2">
        <v>650</v>
      </c>
      <c r="B2709" t="s">
        <v>1930</v>
      </c>
      <c r="C2709" t="s">
        <v>3224</v>
      </c>
      <c r="D2709" s="2">
        <v>1</v>
      </c>
      <c r="E2709" s="11" t="s">
        <v>499</v>
      </c>
      <c r="F2709" t="s">
        <v>39</v>
      </c>
      <c r="G2709" s="2" t="s">
        <v>31</v>
      </c>
      <c r="H2709" s="1">
        <v>84.694000000000017</v>
      </c>
    </row>
    <row r="2710" spans="1:8" x14ac:dyDescent="0.3">
      <c r="A2710" s="2">
        <v>650</v>
      </c>
      <c r="B2710" t="s">
        <v>1929</v>
      </c>
      <c r="C2710" t="s">
        <v>3224</v>
      </c>
      <c r="D2710" s="2">
        <v>1</v>
      </c>
      <c r="E2710" s="11" t="s">
        <v>499</v>
      </c>
      <c r="F2710" t="s">
        <v>39</v>
      </c>
      <c r="G2710" s="2" t="s">
        <v>23</v>
      </c>
      <c r="H2710" s="1">
        <v>84.694000000000017</v>
      </c>
    </row>
    <row r="2711" spans="1:8" x14ac:dyDescent="0.3">
      <c r="A2711" s="2">
        <v>650</v>
      </c>
      <c r="B2711" t="s">
        <v>2162</v>
      </c>
      <c r="C2711" t="s">
        <v>3225</v>
      </c>
      <c r="D2711" s="2">
        <v>1</v>
      </c>
      <c r="E2711" s="11" t="s">
        <v>2073</v>
      </c>
      <c r="F2711" t="s">
        <v>39</v>
      </c>
      <c r="G2711" s="2" t="s">
        <v>4</v>
      </c>
      <c r="H2711" s="1">
        <v>201.29400000000001</v>
      </c>
    </row>
    <row r="2712" spans="1:8" x14ac:dyDescent="0.3">
      <c r="A2712" s="2">
        <v>650</v>
      </c>
      <c r="B2712" t="s">
        <v>2161</v>
      </c>
      <c r="C2712" t="s">
        <v>3225</v>
      </c>
      <c r="D2712" s="2">
        <v>1</v>
      </c>
      <c r="E2712" s="11" t="s">
        <v>2073</v>
      </c>
      <c r="F2712" t="s">
        <v>39</v>
      </c>
      <c r="G2712" s="2" t="s">
        <v>23</v>
      </c>
      <c r="H2712" s="1">
        <v>201.29400000000001</v>
      </c>
    </row>
    <row r="2713" spans="1:8" x14ac:dyDescent="0.3">
      <c r="A2713" s="2">
        <v>650</v>
      </c>
      <c r="B2713" t="s">
        <v>1908</v>
      </c>
      <c r="C2713" t="s">
        <v>3224</v>
      </c>
      <c r="D2713" s="2">
        <v>1</v>
      </c>
      <c r="E2713" s="11" t="s">
        <v>1880</v>
      </c>
      <c r="F2713" t="s">
        <v>39</v>
      </c>
      <c r="G2713" s="2" t="s">
        <v>23</v>
      </c>
      <c r="H2713" s="1">
        <v>74.094000000000008</v>
      </c>
    </row>
    <row r="2714" spans="1:8" x14ac:dyDescent="0.3">
      <c r="A2714" s="2">
        <v>650</v>
      </c>
      <c r="B2714" t="s">
        <v>1852</v>
      </c>
      <c r="C2714" t="s">
        <v>2</v>
      </c>
      <c r="D2714" s="2">
        <v>1</v>
      </c>
      <c r="E2714" s="11" t="s">
        <v>733</v>
      </c>
      <c r="F2714" t="s">
        <v>39</v>
      </c>
      <c r="G2714" s="2" t="s">
        <v>23</v>
      </c>
      <c r="H2714" s="1">
        <v>132.39400000000001</v>
      </c>
    </row>
    <row r="2715" spans="1:8" x14ac:dyDescent="0.3">
      <c r="A2715" s="2">
        <v>650</v>
      </c>
      <c r="B2715" t="s">
        <v>2125</v>
      </c>
      <c r="C2715" t="s">
        <v>3219</v>
      </c>
      <c r="D2715" s="2">
        <v>1</v>
      </c>
      <c r="E2715" s="11" t="s">
        <v>673</v>
      </c>
      <c r="F2715" t="s">
        <v>39</v>
      </c>
      <c r="G2715" s="2" t="s">
        <v>4</v>
      </c>
      <c r="H2715" s="1">
        <v>89.994000000000014</v>
      </c>
    </row>
    <row r="2716" spans="1:8" x14ac:dyDescent="0.3">
      <c r="A2716" s="2">
        <v>650</v>
      </c>
      <c r="B2716" t="s">
        <v>2124</v>
      </c>
      <c r="C2716" t="s">
        <v>3219</v>
      </c>
      <c r="D2716" s="2">
        <v>1</v>
      </c>
      <c r="E2716" s="11" t="s">
        <v>2123</v>
      </c>
      <c r="F2716" t="s">
        <v>24</v>
      </c>
      <c r="G2716" s="2" t="s">
        <v>4</v>
      </c>
      <c r="H2716" s="1">
        <v>142.994</v>
      </c>
    </row>
    <row r="2717" spans="1:8" x14ac:dyDescent="0.3">
      <c r="A2717" s="2">
        <v>650</v>
      </c>
      <c r="B2717" t="s">
        <v>2160</v>
      </c>
      <c r="C2717" t="s">
        <v>3219</v>
      </c>
      <c r="D2717" s="2">
        <v>1</v>
      </c>
      <c r="E2717" s="11" t="s">
        <v>673</v>
      </c>
      <c r="F2717" t="s">
        <v>241</v>
      </c>
      <c r="G2717" s="2" t="s">
        <v>23</v>
      </c>
      <c r="H2717" s="1">
        <v>89.994000000000014</v>
      </c>
    </row>
    <row r="2718" spans="1:8" x14ac:dyDescent="0.3">
      <c r="A2718" s="2">
        <v>651</v>
      </c>
      <c r="B2718" t="s">
        <v>2159</v>
      </c>
      <c r="C2718" t="s">
        <v>3224</v>
      </c>
      <c r="D2718" s="2">
        <v>1</v>
      </c>
      <c r="E2718" s="11" t="s">
        <v>2150</v>
      </c>
      <c r="F2718" t="s">
        <v>55</v>
      </c>
      <c r="G2718" s="2" t="s">
        <v>23</v>
      </c>
      <c r="H2718" s="1">
        <v>74.094000000000008</v>
      </c>
    </row>
    <row r="2719" spans="1:8" x14ac:dyDescent="0.3">
      <c r="A2719" s="2">
        <v>651</v>
      </c>
      <c r="B2719" t="s">
        <v>2158</v>
      </c>
      <c r="C2719" t="s">
        <v>0</v>
      </c>
      <c r="D2719" s="2">
        <v>1</v>
      </c>
      <c r="E2719" s="11" t="s">
        <v>987</v>
      </c>
      <c r="F2719" t="s">
        <v>62</v>
      </c>
      <c r="G2719" s="2" t="s">
        <v>23</v>
      </c>
      <c r="H2719" s="1">
        <v>185.39400000000001</v>
      </c>
    </row>
    <row r="2720" spans="1:8" x14ac:dyDescent="0.3">
      <c r="A2720" s="2">
        <v>651</v>
      </c>
      <c r="B2720" t="s">
        <v>2157</v>
      </c>
      <c r="C2720" t="s">
        <v>3224</v>
      </c>
      <c r="D2720" s="2">
        <v>1</v>
      </c>
      <c r="E2720" s="11" t="s">
        <v>2150</v>
      </c>
      <c r="F2720" t="s">
        <v>114</v>
      </c>
      <c r="G2720" s="2" t="s">
        <v>4</v>
      </c>
      <c r="H2720" s="1">
        <v>74.094000000000008</v>
      </c>
    </row>
    <row r="2721" spans="1:8" x14ac:dyDescent="0.3">
      <c r="A2721" s="2">
        <v>651</v>
      </c>
      <c r="B2721" t="s">
        <v>1637</v>
      </c>
      <c r="C2721" t="s">
        <v>0</v>
      </c>
      <c r="D2721" s="2">
        <v>1</v>
      </c>
      <c r="E2721" s="11" t="s">
        <v>987</v>
      </c>
      <c r="F2721" t="s">
        <v>114</v>
      </c>
      <c r="G2721" s="2" t="s">
        <v>31</v>
      </c>
      <c r="H2721" s="1">
        <v>185.39400000000001</v>
      </c>
    </row>
    <row r="2722" spans="1:8" x14ac:dyDescent="0.3">
      <c r="A2722" s="2">
        <v>651</v>
      </c>
      <c r="B2722" t="s">
        <v>2156</v>
      </c>
      <c r="C2722" t="s">
        <v>1</v>
      </c>
      <c r="D2722" s="2">
        <v>1</v>
      </c>
      <c r="E2722" s="11" t="s">
        <v>1966</v>
      </c>
      <c r="F2722" t="s">
        <v>114</v>
      </c>
      <c r="G2722" s="2" t="s">
        <v>31</v>
      </c>
      <c r="H2722" s="1">
        <v>52.893999999999998</v>
      </c>
    </row>
    <row r="2723" spans="1:8" x14ac:dyDescent="0.3">
      <c r="A2723" s="2">
        <v>651</v>
      </c>
      <c r="B2723" t="s">
        <v>2155</v>
      </c>
      <c r="C2723" t="s">
        <v>1</v>
      </c>
      <c r="D2723" s="2">
        <v>1</v>
      </c>
      <c r="E2723" s="11" t="s">
        <v>1966</v>
      </c>
      <c r="F2723" t="s">
        <v>114</v>
      </c>
      <c r="G2723" s="2" t="s">
        <v>23</v>
      </c>
      <c r="H2723" s="1">
        <v>52.893999999999998</v>
      </c>
    </row>
    <row r="2724" spans="1:8" x14ac:dyDescent="0.3">
      <c r="A2724" s="2">
        <v>651</v>
      </c>
      <c r="B2724" t="s">
        <v>2154</v>
      </c>
      <c r="C2724" t="s">
        <v>0</v>
      </c>
      <c r="D2724" s="2">
        <v>1</v>
      </c>
      <c r="E2724" s="11" t="s">
        <v>336</v>
      </c>
      <c r="F2724" t="s">
        <v>114</v>
      </c>
      <c r="G2724" s="2" t="s">
        <v>4</v>
      </c>
      <c r="H2724" s="1">
        <v>201.29400000000001</v>
      </c>
    </row>
    <row r="2725" spans="1:8" x14ac:dyDescent="0.3">
      <c r="A2725" s="2">
        <v>651</v>
      </c>
      <c r="B2725" t="s">
        <v>2153</v>
      </c>
      <c r="C2725" t="s">
        <v>3224</v>
      </c>
      <c r="D2725" s="2">
        <v>1</v>
      </c>
      <c r="E2725" s="11" t="s">
        <v>2150</v>
      </c>
      <c r="F2725" t="s">
        <v>36</v>
      </c>
      <c r="G2725" s="2" t="s">
        <v>4</v>
      </c>
      <c r="H2725" s="1">
        <v>74.094000000000008</v>
      </c>
    </row>
    <row r="2726" spans="1:8" x14ac:dyDescent="0.3">
      <c r="A2726" s="2">
        <v>651</v>
      </c>
      <c r="B2726" t="s">
        <v>2152</v>
      </c>
      <c r="C2726" t="s">
        <v>3224</v>
      </c>
      <c r="D2726" s="2">
        <v>1</v>
      </c>
      <c r="E2726" s="11" t="s">
        <v>2150</v>
      </c>
      <c r="F2726" t="s">
        <v>36</v>
      </c>
      <c r="G2726" s="2" t="s">
        <v>23</v>
      </c>
      <c r="H2726" s="1">
        <v>74.094000000000008</v>
      </c>
    </row>
    <row r="2727" spans="1:8" x14ac:dyDescent="0.3">
      <c r="A2727" s="2">
        <v>651</v>
      </c>
      <c r="B2727" t="s">
        <v>2151</v>
      </c>
      <c r="C2727" t="s">
        <v>3224</v>
      </c>
      <c r="D2727" s="2">
        <v>1</v>
      </c>
      <c r="E2727" s="11" t="s">
        <v>2150</v>
      </c>
      <c r="F2727" t="s">
        <v>78</v>
      </c>
      <c r="G2727" s="2" t="s">
        <v>31</v>
      </c>
      <c r="H2727" s="1">
        <v>74.094000000000008</v>
      </c>
    </row>
    <row r="2728" spans="1:8" x14ac:dyDescent="0.3">
      <c r="A2728" s="2">
        <v>651</v>
      </c>
      <c r="B2728" t="s">
        <v>2149</v>
      </c>
      <c r="C2728" t="s">
        <v>0</v>
      </c>
      <c r="D2728" s="2">
        <v>1</v>
      </c>
      <c r="E2728" s="11" t="s">
        <v>987</v>
      </c>
      <c r="F2728" t="s">
        <v>78</v>
      </c>
      <c r="G2728" s="2" t="s">
        <v>23</v>
      </c>
      <c r="H2728" s="1">
        <v>185.39400000000001</v>
      </c>
    </row>
    <row r="2729" spans="1:8" x14ac:dyDescent="0.3">
      <c r="A2729" s="2">
        <v>651</v>
      </c>
      <c r="B2729" t="s">
        <v>1085</v>
      </c>
      <c r="C2729" t="s">
        <v>0</v>
      </c>
      <c r="D2729" s="2">
        <v>1</v>
      </c>
      <c r="E2729" s="11" t="s">
        <v>987</v>
      </c>
      <c r="F2729" t="s">
        <v>47</v>
      </c>
      <c r="G2729" s="2" t="s">
        <v>31</v>
      </c>
      <c r="H2729" s="1">
        <v>185.39400000000001</v>
      </c>
    </row>
    <row r="2730" spans="1:8" x14ac:dyDescent="0.3">
      <c r="A2730" s="2">
        <v>651</v>
      </c>
      <c r="B2730" t="s">
        <v>2148</v>
      </c>
      <c r="C2730" t="s">
        <v>1</v>
      </c>
      <c r="D2730" s="2">
        <v>1</v>
      </c>
      <c r="E2730" s="11" t="s">
        <v>1966</v>
      </c>
      <c r="F2730" t="s">
        <v>47</v>
      </c>
      <c r="G2730" s="2" t="s">
        <v>31</v>
      </c>
      <c r="H2730" s="1">
        <v>52.893999999999998</v>
      </c>
    </row>
    <row r="2731" spans="1:8" x14ac:dyDescent="0.3">
      <c r="A2731" s="2">
        <v>651</v>
      </c>
      <c r="B2731" t="s">
        <v>2147</v>
      </c>
      <c r="C2731" t="s">
        <v>1</v>
      </c>
      <c r="D2731" s="2">
        <v>1</v>
      </c>
      <c r="E2731" s="11" t="s">
        <v>1966</v>
      </c>
      <c r="F2731" t="s">
        <v>47</v>
      </c>
      <c r="G2731" s="2" t="s">
        <v>23</v>
      </c>
      <c r="H2731" s="1">
        <v>52.893999999999998</v>
      </c>
    </row>
    <row r="2732" spans="1:8" x14ac:dyDescent="0.3">
      <c r="A2732" s="2">
        <v>651</v>
      </c>
      <c r="B2732" t="s">
        <v>2112</v>
      </c>
      <c r="C2732" t="s">
        <v>3224</v>
      </c>
      <c r="D2732" s="2">
        <v>1</v>
      </c>
      <c r="E2732" s="11" t="s">
        <v>1248</v>
      </c>
      <c r="F2732" t="s">
        <v>39</v>
      </c>
      <c r="G2732" s="2" t="s">
        <v>31</v>
      </c>
      <c r="H2732" s="1">
        <v>95.294000000000011</v>
      </c>
    </row>
    <row r="2733" spans="1:8" x14ac:dyDescent="0.3">
      <c r="A2733" s="2">
        <v>651</v>
      </c>
      <c r="B2733" t="s">
        <v>1583</v>
      </c>
      <c r="C2733" t="s">
        <v>0</v>
      </c>
      <c r="D2733" s="2">
        <v>1</v>
      </c>
      <c r="E2733" s="11" t="s">
        <v>336</v>
      </c>
      <c r="F2733" t="s">
        <v>39</v>
      </c>
      <c r="G2733" s="2" t="s">
        <v>31</v>
      </c>
      <c r="H2733" s="1">
        <v>201.29400000000001</v>
      </c>
    </row>
    <row r="2734" spans="1:8" x14ac:dyDescent="0.3">
      <c r="A2734" s="2">
        <v>652</v>
      </c>
      <c r="B2734" t="s">
        <v>2040</v>
      </c>
      <c r="C2734" t="s">
        <v>3224</v>
      </c>
      <c r="D2734" s="2">
        <v>1</v>
      </c>
      <c r="E2734" s="11" t="s">
        <v>2039</v>
      </c>
      <c r="F2734" t="s">
        <v>254</v>
      </c>
      <c r="G2734" s="2" t="s">
        <v>31</v>
      </c>
      <c r="H2734" s="1">
        <v>79.394000000000005</v>
      </c>
    </row>
    <row r="2735" spans="1:8" x14ac:dyDescent="0.3">
      <c r="A2735" s="2">
        <v>652</v>
      </c>
      <c r="B2735" t="s">
        <v>2109</v>
      </c>
      <c r="C2735" t="s">
        <v>3224</v>
      </c>
      <c r="D2735" s="2">
        <v>1</v>
      </c>
      <c r="E2735" s="11" t="s">
        <v>2039</v>
      </c>
      <c r="F2735" t="s">
        <v>254</v>
      </c>
      <c r="G2735" s="2" t="s">
        <v>23</v>
      </c>
      <c r="H2735" s="1">
        <v>79.394000000000005</v>
      </c>
    </row>
    <row r="2736" spans="1:8" x14ac:dyDescent="0.3">
      <c r="A2736" s="2">
        <v>652</v>
      </c>
      <c r="B2736" t="s">
        <v>2115</v>
      </c>
      <c r="C2736" t="s">
        <v>3224</v>
      </c>
      <c r="D2736" s="2">
        <v>1</v>
      </c>
      <c r="E2736" s="11" t="s">
        <v>1977</v>
      </c>
      <c r="F2736" t="s">
        <v>254</v>
      </c>
      <c r="G2736" s="2" t="s">
        <v>23</v>
      </c>
      <c r="H2736" s="1">
        <v>121.79400000000001</v>
      </c>
    </row>
    <row r="2737" spans="1:8" x14ac:dyDescent="0.3">
      <c r="A2737" s="2">
        <v>652</v>
      </c>
      <c r="B2737" t="s">
        <v>2034</v>
      </c>
      <c r="C2737" t="s">
        <v>3</v>
      </c>
      <c r="D2737" s="2">
        <v>1</v>
      </c>
      <c r="E2737" s="11" t="s">
        <v>2033</v>
      </c>
      <c r="F2737" t="s">
        <v>254</v>
      </c>
      <c r="G2737" s="2" t="s">
        <v>23</v>
      </c>
      <c r="H2737" s="1">
        <v>68.794000000000011</v>
      </c>
    </row>
    <row r="2738" spans="1:8" x14ac:dyDescent="0.3">
      <c r="A2738" s="2">
        <v>652</v>
      </c>
      <c r="B2738" t="s">
        <v>2032</v>
      </c>
      <c r="C2738" t="s">
        <v>0</v>
      </c>
      <c r="D2738" s="2">
        <v>1</v>
      </c>
      <c r="E2738" s="11" t="s">
        <v>2031</v>
      </c>
      <c r="F2738" t="s">
        <v>254</v>
      </c>
      <c r="G2738" s="2" t="s">
        <v>31</v>
      </c>
      <c r="H2738" s="1">
        <v>185.39400000000001</v>
      </c>
    </row>
    <row r="2739" spans="1:8" x14ac:dyDescent="0.3">
      <c r="A2739" s="2">
        <v>652</v>
      </c>
      <c r="B2739" t="s">
        <v>2146</v>
      </c>
      <c r="C2739" t="s">
        <v>0</v>
      </c>
      <c r="D2739" s="2">
        <v>1</v>
      </c>
      <c r="E2739" s="11" t="s">
        <v>1211</v>
      </c>
      <c r="F2739" t="s">
        <v>55</v>
      </c>
      <c r="G2739" s="2" t="s">
        <v>31</v>
      </c>
      <c r="H2739" s="1">
        <v>144.29</v>
      </c>
    </row>
    <row r="2740" spans="1:8" x14ac:dyDescent="0.3">
      <c r="A2740" s="2">
        <v>652</v>
      </c>
      <c r="B2740" t="s">
        <v>1570</v>
      </c>
      <c r="C2740" t="s">
        <v>3219</v>
      </c>
      <c r="D2740" s="2">
        <v>1</v>
      </c>
      <c r="E2740" s="11" t="s">
        <v>1214</v>
      </c>
      <c r="F2740" t="s">
        <v>114</v>
      </c>
      <c r="G2740" s="2" t="s">
        <v>31</v>
      </c>
      <c r="H2740" s="1">
        <v>127.09400000000001</v>
      </c>
    </row>
    <row r="2741" spans="1:8" x14ac:dyDescent="0.3">
      <c r="A2741" s="2">
        <v>652</v>
      </c>
      <c r="B2741" t="s">
        <v>1212</v>
      </c>
      <c r="C2741" t="s">
        <v>0</v>
      </c>
      <c r="D2741" s="2">
        <v>1</v>
      </c>
      <c r="E2741" s="11" t="s">
        <v>1211</v>
      </c>
      <c r="F2741" t="s">
        <v>47</v>
      </c>
      <c r="G2741" s="2" t="s">
        <v>4</v>
      </c>
      <c r="H2741" s="1">
        <v>144.29</v>
      </c>
    </row>
    <row r="2742" spans="1:8" x14ac:dyDescent="0.3">
      <c r="A2742" s="2">
        <v>652</v>
      </c>
      <c r="B2742" t="s">
        <v>1233</v>
      </c>
      <c r="C2742" t="s">
        <v>0</v>
      </c>
      <c r="D2742" s="2">
        <v>1</v>
      </c>
      <c r="E2742" s="11" t="s">
        <v>1211</v>
      </c>
      <c r="F2742" t="s">
        <v>47</v>
      </c>
      <c r="G2742" s="2" t="s">
        <v>31</v>
      </c>
      <c r="H2742" s="1">
        <v>144.29</v>
      </c>
    </row>
    <row r="2743" spans="1:8" x14ac:dyDescent="0.3">
      <c r="A2743" s="2">
        <v>652</v>
      </c>
      <c r="B2743" t="s">
        <v>2145</v>
      </c>
      <c r="C2743" t="s">
        <v>0</v>
      </c>
      <c r="D2743" s="2">
        <v>1</v>
      </c>
      <c r="E2743" s="11" t="s">
        <v>1211</v>
      </c>
      <c r="F2743" t="s">
        <v>39</v>
      </c>
      <c r="G2743" s="2" t="s">
        <v>31</v>
      </c>
      <c r="H2743" s="1">
        <v>144.29</v>
      </c>
    </row>
    <row r="2744" spans="1:8" x14ac:dyDescent="0.3">
      <c r="A2744" s="2">
        <v>652</v>
      </c>
      <c r="B2744" t="s">
        <v>2144</v>
      </c>
      <c r="C2744" t="s">
        <v>3224</v>
      </c>
      <c r="D2744" s="2">
        <v>1</v>
      </c>
      <c r="E2744" s="11" t="s">
        <v>1977</v>
      </c>
      <c r="F2744" t="s">
        <v>28</v>
      </c>
      <c r="G2744" s="2" t="s">
        <v>31</v>
      </c>
      <c r="H2744" s="1">
        <v>121.79400000000001</v>
      </c>
    </row>
    <row r="2745" spans="1:8" x14ac:dyDescent="0.3">
      <c r="A2745" s="2">
        <v>652</v>
      </c>
      <c r="B2745" t="s">
        <v>2143</v>
      </c>
      <c r="C2745" t="s">
        <v>3</v>
      </c>
      <c r="D2745" s="2">
        <v>1</v>
      </c>
      <c r="E2745" s="11" t="s">
        <v>2033</v>
      </c>
      <c r="F2745" t="s">
        <v>28</v>
      </c>
      <c r="G2745" s="2" t="s">
        <v>31</v>
      </c>
      <c r="H2745" s="1">
        <v>68.794000000000011</v>
      </c>
    </row>
    <row r="2746" spans="1:8" x14ac:dyDescent="0.3">
      <c r="A2746" s="2">
        <v>652</v>
      </c>
      <c r="B2746" t="s">
        <v>2139</v>
      </c>
      <c r="C2746" t="s">
        <v>0</v>
      </c>
      <c r="D2746" s="2">
        <v>1</v>
      </c>
      <c r="E2746" s="11" t="s">
        <v>2031</v>
      </c>
      <c r="F2746" t="s">
        <v>28</v>
      </c>
      <c r="G2746" s="2" t="s">
        <v>4</v>
      </c>
      <c r="H2746" s="1">
        <v>185.39400000000001</v>
      </c>
    </row>
    <row r="2747" spans="1:8" x14ac:dyDescent="0.3">
      <c r="A2747" s="2">
        <v>652</v>
      </c>
      <c r="B2747" t="s">
        <v>2117</v>
      </c>
      <c r="C2747" t="s">
        <v>0</v>
      </c>
      <c r="D2747" s="2">
        <v>1</v>
      </c>
      <c r="E2747" s="11" t="s">
        <v>2031</v>
      </c>
      <c r="F2747" t="s">
        <v>28</v>
      </c>
      <c r="G2747" s="2" t="s">
        <v>31</v>
      </c>
      <c r="H2747" s="1">
        <v>185.39400000000001</v>
      </c>
    </row>
    <row r="2748" spans="1:8" x14ac:dyDescent="0.3">
      <c r="A2748" s="2">
        <v>652</v>
      </c>
      <c r="B2748" t="s">
        <v>2138</v>
      </c>
      <c r="C2748" t="s">
        <v>0</v>
      </c>
      <c r="D2748" s="2">
        <v>1</v>
      </c>
      <c r="E2748" s="11" t="s">
        <v>2031</v>
      </c>
      <c r="F2748" t="s">
        <v>28</v>
      </c>
      <c r="G2748" s="2" t="s">
        <v>23</v>
      </c>
      <c r="H2748" s="1">
        <v>185.39400000000001</v>
      </c>
    </row>
    <row r="2749" spans="1:8" x14ac:dyDescent="0.3">
      <c r="A2749" s="2">
        <v>653</v>
      </c>
      <c r="B2749" t="s">
        <v>1642</v>
      </c>
      <c r="C2749" t="s">
        <v>3224</v>
      </c>
      <c r="D2749" s="2">
        <v>1</v>
      </c>
      <c r="E2749" s="11" t="s">
        <v>499</v>
      </c>
      <c r="F2749" t="s">
        <v>55</v>
      </c>
      <c r="G2749" s="2" t="s">
        <v>31</v>
      </c>
      <c r="H2749" s="1">
        <v>84.694000000000017</v>
      </c>
    </row>
    <row r="2750" spans="1:8" x14ac:dyDescent="0.3">
      <c r="A2750" s="2">
        <v>653</v>
      </c>
      <c r="B2750" t="s">
        <v>2103</v>
      </c>
      <c r="C2750" t="s">
        <v>3225</v>
      </c>
      <c r="D2750" s="2">
        <v>1</v>
      </c>
      <c r="E2750" s="11" t="s">
        <v>239</v>
      </c>
      <c r="F2750" t="s">
        <v>39</v>
      </c>
      <c r="G2750" s="2" t="s">
        <v>31</v>
      </c>
      <c r="H2750" s="1">
        <v>148.29400000000001</v>
      </c>
    </row>
    <row r="2751" spans="1:8" x14ac:dyDescent="0.3">
      <c r="A2751" s="2">
        <v>653</v>
      </c>
      <c r="B2751" t="s">
        <v>2142</v>
      </c>
      <c r="C2751" t="s">
        <v>3225</v>
      </c>
      <c r="D2751" s="2">
        <v>1</v>
      </c>
      <c r="E2751" s="11" t="s">
        <v>239</v>
      </c>
      <c r="F2751" t="s">
        <v>39</v>
      </c>
      <c r="G2751" s="2" t="s">
        <v>23</v>
      </c>
      <c r="H2751" s="1">
        <v>148.29400000000001</v>
      </c>
    </row>
    <row r="2752" spans="1:8" x14ac:dyDescent="0.3">
      <c r="A2752" s="2">
        <v>653</v>
      </c>
      <c r="B2752" t="s">
        <v>2141</v>
      </c>
      <c r="C2752" t="s">
        <v>0</v>
      </c>
      <c r="D2752" s="2">
        <v>1</v>
      </c>
      <c r="E2752" s="11" t="s">
        <v>2118</v>
      </c>
      <c r="F2752" t="s">
        <v>36</v>
      </c>
      <c r="G2752" s="2" t="s">
        <v>4</v>
      </c>
      <c r="H2752" s="1">
        <v>185.39400000000001</v>
      </c>
    </row>
    <row r="2753" spans="1:8" x14ac:dyDescent="0.3">
      <c r="A2753" s="2">
        <v>653</v>
      </c>
      <c r="B2753" t="s">
        <v>2140</v>
      </c>
      <c r="C2753" t="s">
        <v>0</v>
      </c>
      <c r="D2753" s="2">
        <v>1</v>
      </c>
      <c r="E2753" s="11" t="s">
        <v>2118</v>
      </c>
      <c r="F2753" t="s">
        <v>36</v>
      </c>
      <c r="G2753" s="2" t="s">
        <v>31</v>
      </c>
      <c r="H2753" s="1">
        <v>185.39400000000001</v>
      </c>
    </row>
    <row r="2754" spans="1:8" x14ac:dyDescent="0.3">
      <c r="A2754" s="2">
        <v>653</v>
      </c>
      <c r="B2754" t="s">
        <v>2119</v>
      </c>
      <c r="C2754" t="s">
        <v>0</v>
      </c>
      <c r="D2754" s="2">
        <v>1</v>
      </c>
      <c r="E2754" s="11" t="s">
        <v>2118</v>
      </c>
      <c r="F2754" t="s">
        <v>36</v>
      </c>
      <c r="G2754" s="2" t="s">
        <v>23</v>
      </c>
      <c r="H2754" s="1">
        <v>185.39400000000001</v>
      </c>
    </row>
    <row r="2755" spans="1:8" x14ac:dyDescent="0.3">
      <c r="A2755" s="2">
        <v>653</v>
      </c>
      <c r="B2755" t="s">
        <v>2139</v>
      </c>
      <c r="C2755" t="s">
        <v>0</v>
      </c>
      <c r="D2755" s="2">
        <v>1</v>
      </c>
      <c r="E2755" s="11" t="s">
        <v>2031</v>
      </c>
      <c r="F2755" t="s">
        <v>28</v>
      </c>
      <c r="G2755" s="2" t="s">
        <v>4</v>
      </c>
      <c r="H2755" s="1">
        <v>185.39400000000001</v>
      </c>
    </row>
    <row r="2756" spans="1:8" x14ac:dyDescent="0.3">
      <c r="A2756" s="2">
        <v>653</v>
      </c>
      <c r="B2756" t="s">
        <v>2117</v>
      </c>
      <c r="C2756" t="s">
        <v>0</v>
      </c>
      <c r="D2756" s="2">
        <v>1</v>
      </c>
      <c r="E2756" s="11" t="s">
        <v>2031</v>
      </c>
      <c r="F2756" t="s">
        <v>28</v>
      </c>
      <c r="G2756" s="2" t="s">
        <v>31</v>
      </c>
      <c r="H2756" s="1">
        <v>185.39400000000001</v>
      </c>
    </row>
    <row r="2757" spans="1:8" x14ac:dyDescent="0.3">
      <c r="A2757" s="2">
        <v>653</v>
      </c>
      <c r="B2757" t="s">
        <v>2138</v>
      </c>
      <c r="C2757" t="s">
        <v>0</v>
      </c>
      <c r="D2757" s="2">
        <v>1</v>
      </c>
      <c r="E2757" s="11" t="s">
        <v>2031</v>
      </c>
      <c r="F2757" t="s">
        <v>28</v>
      </c>
      <c r="G2757" s="2" t="s">
        <v>23</v>
      </c>
      <c r="H2757" s="1">
        <v>185.39400000000001</v>
      </c>
    </row>
    <row r="2758" spans="1:8" x14ac:dyDescent="0.3">
      <c r="A2758" s="2">
        <v>654</v>
      </c>
      <c r="B2758" t="s">
        <v>2137</v>
      </c>
      <c r="C2758" t="s">
        <v>1</v>
      </c>
      <c r="D2758" s="2">
        <v>1</v>
      </c>
      <c r="E2758" s="11" t="s">
        <v>2136</v>
      </c>
      <c r="F2758" t="s">
        <v>28</v>
      </c>
      <c r="G2758" s="2" t="s">
        <v>4</v>
      </c>
      <c r="H2758" s="1">
        <v>52.893999999999998</v>
      </c>
    </row>
    <row r="2759" spans="1:8" x14ac:dyDescent="0.3">
      <c r="A2759" s="2">
        <v>654</v>
      </c>
      <c r="B2759" t="s">
        <v>1297</v>
      </c>
      <c r="C2759" t="s">
        <v>3221</v>
      </c>
      <c r="D2759" s="2">
        <v>1</v>
      </c>
      <c r="E2759" s="11" t="s">
        <v>383</v>
      </c>
      <c r="F2759" t="s">
        <v>114</v>
      </c>
      <c r="G2759" s="2" t="s">
        <v>4</v>
      </c>
      <c r="H2759" s="1">
        <v>164.19400000000002</v>
      </c>
    </row>
    <row r="2760" spans="1:8" x14ac:dyDescent="0.3">
      <c r="A2760" s="2">
        <v>654</v>
      </c>
      <c r="B2760" t="s">
        <v>2135</v>
      </c>
      <c r="C2760" t="s">
        <v>1</v>
      </c>
      <c r="D2760" s="2">
        <v>1</v>
      </c>
      <c r="E2760" s="11" t="s">
        <v>1680</v>
      </c>
      <c r="F2760" t="s">
        <v>114</v>
      </c>
      <c r="G2760" s="2" t="s">
        <v>4</v>
      </c>
      <c r="H2760" s="1">
        <v>58.19400000000001</v>
      </c>
    </row>
    <row r="2761" spans="1:8" x14ac:dyDescent="0.3">
      <c r="A2761" s="2">
        <v>654</v>
      </c>
      <c r="B2761" t="s">
        <v>2134</v>
      </c>
      <c r="C2761" t="s">
        <v>3219</v>
      </c>
      <c r="D2761" s="2">
        <v>1</v>
      </c>
      <c r="E2761" s="11" t="s">
        <v>2133</v>
      </c>
      <c r="F2761" t="s">
        <v>28</v>
      </c>
      <c r="G2761" s="2" t="s">
        <v>4</v>
      </c>
      <c r="H2761" s="1">
        <v>132.39400000000001</v>
      </c>
    </row>
    <row r="2762" spans="1:8" x14ac:dyDescent="0.3">
      <c r="A2762" s="2">
        <v>654</v>
      </c>
      <c r="B2762" t="s">
        <v>2132</v>
      </c>
      <c r="C2762" t="s">
        <v>0</v>
      </c>
      <c r="D2762" s="2">
        <v>1</v>
      </c>
      <c r="E2762" s="11" t="s">
        <v>2131</v>
      </c>
      <c r="F2762" t="s">
        <v>36</v>
      </c>
      <c r="G2762" s="2" t="s">
        <v>4</v>
      </c>
      <c r="H2762" s="1">
        <v>169.49400000000003</v>
      </c>
    </row>
    <row r="2763" spans="1:8" x14ac:dyDescent="0.3">
      <c r="A2763" s="2">
        <v>654</v>
      </c>
      <c r="B2763" t="s">
        <v>2130</v>
      </c>
      <c r="C2763" t="s">
        <v>3221</v>
      </c>
      <c r="D2763" s="2">
        <v>1</v>
      </c>
      <c r="E2763" s="11" t="s">
        <v>383</v>
      </c>
      <c r="F2763" t="s">
        <v>39</v>
      </c>
      <c r="G2763" s="2" t="s">
        <v>31</v>
      </c>
      <c r="H2763" s="1">
        <v>164.19400000000002</v>
      </c>
    </row>
    <row r="2764" spans="1:8" x14ac:dyDescent="0.3">
      <c r="A2764" s="2">
        <v>654</v>
      </c>
      <c r="B2764" t="s">
        <v>2129</v>
      </c>
      <c r="C2764" t="s">
        <v>2</v>
      </c>
      <c r="D2764" s="2">
        <v>1</v>
      </c>
      <c r="E2764" s="11" t="s">
        <v>2128</v>
      </c>
      <c r="F2764" t="s">
        <v>39</v>
      </c>
      <c r="G2764" s="2" t="s">
        <v>4</v>
      </c>
      <c r="H2764" s="1">
        <v>116.49400000000001</v>
      </c>
    </row>
    <row r="2765" spans="1:8" x14ac:dyDescent="0.3">
      <c r="A2765" s="2">
        <v>654</v>
      </c>
      <c r="B2765" t="s">
        <v>2127</v>
      </c>
      <c r="C2765" t="s">
        <v>2</v>
      </c>
      <c r="D2765" s="2">
        <v>1</v>
      </c>
      <c r="E2765" s="11" t="s">
        <v>2126</v>
      </c>
      <c r="F2765" t="s">
        <v>39</v>
      </c>
      <c r="G2765" s="2" t="s">
        <v>4</v>
      </c>
      <c r="H2765" s="1">
        <v>95.294000000000011</v>
      </c>
    </row>
    <row r="2766" spans="1:8" x14ac:dyDescent="0.3">
      <c r="A2766" s="2">
        <v>654</v>
      </c>
      <c r="B2766" t="s">
        <v>2125</v>
      </c>
      <c r="C2766" t="s">
        <v>3219</v>
      </c>
      <c r="D2766" s="2">
        <v>1</v>
      </c>
      <c r="E2766" s="11" t="s">
        <v>673</v>
      </c>
      <c r="F2766" t="s">
        <v>39</v>
      </c>
      <c r="G2766" s="2" t="s">
        <v>4</v>
      </c>
      <c r="H2766" s="1">
        <v>89.994000000000014</v>
      </c>
    </row>
    <row r="2767" spans="1:8" x14ac:dyDescent="0.3">
      <c r="A2767" s="2">
        <v>654</v>
      </c>
      <c r="B2767" t="s">
        <v>1688</v>
      </c>
      <c r="C2767" t="s">
        <v>0</v>
      </c>
      <c r="D2767" s="2">
        <v>1</v>
      </c>
      <c r="E2767" s="11" t="s">
        <v>1551</v>
      </c>
      <c r="F2767" t="s">
        <v>28</v>
      </c>
      <c r="G2767" s="2" t="s">
        <v>4</v>
      </c>
      <c r="H2767" s="1">
        <v>121.79400000000001</v>
      </c>
    </row>
    <row r="2768" spans="1:8" x14ac:dyDescent="0.3">
      <c r="A2768" s="2">
        <v>654</v>
      </c>
      <c r="B2768" t="s">
        <v>2124</v>
      </c>
      <c r="C2768" t="s">
        <v>3219</v>
      </c>
      <c r="D2768" s="2">
        <v>1</v>
      </c>
      <c r="E2768" s="11" t="s">
        <v>2123</v>
      </c>
      <c r="F2768" t="s">
        <v>24</v>
      </c>
      <c r="G2768" s="2" t="s">
        <v>4</v>
      </c>
      <c r="H2768" s="1">
        <v>142.994</v>
      </c>
    </row>
    <row r="2769" spans="1:8" x14ac:dyDescent="0.3">
      <c r="A2769" s="2">
        <v>654</v>
      </c>
      <c r="B2769" t="s">
        <v>2122</v>
      </c>
      <c r="C2769" t="s">
        <v>0</v>
      </c>
      <c r="D2769" s="2">
        <v>1</v>
      </c>
      <c r="E2769" s="11" t="s">
        <v>1551</v>
      </c>
      <c r="F2769" t="s">
        <v>24</v>
      </c>
      <c r="G2769" s="2" t="s">
        <v>31</v>
      </c>
      <c r="H2769" s="1">
        <v>121.79400000000001</v>
      </c>
    </row>
    <row r="2770" spans="1:8" x14ac:dyDescent="0.3">
      <c r="A2770" s="2">
        <v>655</v>
      </c>
      <c r="B2770" t="s">
        <v>2121</v>
      </c>
      <c r="C2770" t="s">
        <v>0</v>
      </c>
      <c r="D2770" s="2">
        <v>1</v>
      </c>
      <c r="E2770" s="11" t="s">
        <v>1963</v>
      </c>
      <c r="F2770" t="s">
        <v>65</v>
      </c>
      <c r="G2770" s="2" t="s">
        <v>4</v>
      </c>
      <c r="H2770" s="1">
        <v>164.19400000000002</v>
      </c>
    </row>
    <row r="2771" spans="1:8" x14ac:dyDescent="0.3">
      <c r="A2771" s="2">
        <v>655</v>
      </c>
      <c r="B2771" t="s">
        <v>722</v>
      </c>
      <c r="C2771" t="s">
        <v>1</v>
      </c>
      <c r="D2771" s="2">
        <v>1</v>
      </c>
      <c r="E2771" s="11" t="s">
        <v>222</v>
      </c>
      <c r="F2771" t="s">
        <v>28</v>
      </c>
      <c r="G2771" s="2" t="s">
        <v>23</v>
      </c>
      <c r="H2771" s="1">
        <v>52.893999999999998</v>
      </c>
    </row>
    <row r="2772" spans="1:8" x14ac:dyDescent="0.3">
      <c r="A2772" s="2">
        <v>655</v>
      </c>
      <c r="B2772" t="s">
        <v>2120</v>
      </c>
      <c r="C2772" t="s">
        <v>1</v>
      </c>
      <c r="D2772" s="2">
        <v>1</v>
      </c>
      <c r="E2772" s="11" t="s">
        <v>2018</v>
      </c>
      <c r="F2772" t="s">
        <v>114</v>
      </c>
      <c r="G2772" s="2" t="s">
        <v>31</v>
      </c>
      <c r="H2772" s="1">
        <v>79.394000000000005</v>
      </c>
    </row>
    <row r="2773" spans="1:8" x14ac:dyDescent="0.3">
      <c r="A2773" s="2">
        <v>655</v>
      </c>
      <c r="B2773" t="s">
        <v>1570</v>
      </c>
      <c r="C2773" t="s">
        <v>3219</v>
      </c>
      <c r="D2773" s="2">
        <v>1</v>
      </c>
      <c r="E2773" s="11" t="s">
        <v>1214</v>
      </c>
      <c r="F2773" t="s">
        <v>114</v>
      </c>
      <c r="G2773" s="2" t="s">
        <v>31</v>
      </c>
      <c r="H2773" s="1">
        <v>127.09400000000001</v>
      </c>
    </row>
    <row r="2774" spans="1:8" x14ac:dyDescent="0.3">
      <c r="A2774" s="2">
        <v>655</v>
      </c>
      <c r="B2774" t="s">
        <v>1959</v>
      </c>
      <c r="C2774" t="s">
        <v>3219</v>
      </c>
      <c r="D2774" s="2">
        <v>2</v>
      </c>
      <c r="E2774" s="11" t="s">
        <v>1214</v>
      </c>
      <c r="F2774" t="s">
        <v>114</v>
      </c>
      <c r="G2774" s="2" t="s">
        <v>23</v>
      </c>
      <c r="H2774" s="1">
        <v>127.09400000000001</v>
      </c>
    </row>
    <row r="2775" spans="1:8" x14ac:dyDescent="0.3">
      <c r="A2775" s="2">
        <v>655</v>
      </c>
      <c r="B2775" t="s">
        <v>1416</v>
      </c>
      <c r="C2775" t="s">
        <v>3224</v>
      </c>
      <c r="D2775" s="2">
        <v>1</v>
      </c>
      <c r="E2775" s="11" t="s">
        <v>1248</v>
      </c>
      <c r="F2775" t="s">
        <v>114</v>
      </c>
      <c r="G2775" s="2" t="s">
        <v>23</v>
      </c>
      <c r="H2775" s="1">
        <v>95.294000000000011</v>
      </c>
    </row>
    <row r="2776" spans="1:8" x14ac:dyDescent="0.3">
      <c r="A2776" s="2">
        <v>655</v>
      </c>
      <c r="B2776" t="s">
        <v>1817</v>
      </c>
      <c r="C2776" t="s">
        <v>1</v>
      </c>
      <c r="D2776" s="2">
        <v>1</v>
      </c>
      <c r="E2776" s="11" t="s">
        <v>222</v>
      </c>
      <c r="F2776" t="s">
        <v>47</v>
      </c>
      <c r="G2776" s="2" t="s">
        <v>31</v>
      </c>
      <c r="H2776" s="1">
        <v>52.893999999999998</v>
      </c>
    </row>
    <row r="2777" spans="1:8" x14ac:dyDescent="0.3">
      <c r="A2777" s="2">
        <v>655</v>
      </c>
      <c r="B2777" t="s">
        <v>1993</v>
      </c>
      <c r="C2777" t="s">
        <v>3219</v>
      </c>
      <c r="D2777" s="2">
        <v>1</v>
      </c>
      <c r="E2777" s="11" t="s">
        <v>109</v>
      </c>
      <c r="F2777" t="s">
        <v>39</v>
      </c>
      <c r="G2777" s="2" t="s">
        <v>31</v>
      </c>
      <c r="H2777" s="1">
        <v>158.89400000000001</v>
      </c>
    </row>
    <row r="2778" spans="1:8" x14ac:dyDescent="0.3">
      <c r="A2778" s="2">
        <v>655</v>
      </c>
      <c r="B2778" t="s">
        <v>1015</v>
      </c>
      <c r="C2778" t="s">
        <v>3220</v>
      </c>
      <c r="D2778" s="2">
        <v>1</v>
      </c>
      <c r="E2778" s="11" t="s">
        <v>640</v>
      </c>
      <c r="F2778" t="s">
        <v>39</v>
      </c>
      <c r="G2778" s="2" t="s">
        <v>23</v>
      </c>
      <c r="H2778" s="1">
        <v>21.094000000000001</v>
      </c>
    </row>
    <row r="2779" spans="1:8" x14ac:dyDescent="0.3">
      <c r="A2779" s="2">
        <v>655</v>
      </c>
      <c r="B2779" t="s">
        <v>2119</v>
      </c>
      <c r="C2779" t="s">
        <v>0</v>
      </c>
      <c r="D2779" s="2">
        <v>1</v>
      </c>
      <c r="E2779" s="11" t="s">
        <v>2118</v>
      </c>
      <c r="F2779" t="s">
        <v>36</v>
      </c>
      <c r="G2779" s="2" t="s">
        <v>23</v>
      </c>
      <c r="H2779" s="1">
        <v>185.39400000000001</v>
      </c>
    </row>
    <row r="2780" spans="1:8" x14ac:dyDescent="0.3">
      <c r="A2780" s="2">
        <v>655</v>
      </c>
      <c r="B2780" t="s">
        <v>2117</v>
      </c>
      <c r="C2780" t="s">
        <v>0</v>
      </c>
      <c r="D2780" s="2">
        <v>1</v>
      </c>
      <c r="E2780" s="11" t="s">
        <v>2031</v>
      </c>
      <c r="F2780" t="s">
        <v>28</v>
      </c>
      <c r="G2780" s="2" t="s">
        <v>31</v>
      </c>
      <c r="H2780" s="1">
        <v>185.39400000000001</v>
      </c>
    </row>
    <row r="2781" spans="1:8" x14ac:dyDescent="0.3">
      <c r="A2781" s="2">
        <v>656</v>
      </c>
      <c r="B2781" t="s">
        <v>2116</v>
      </c>
      <c r="C2781" t="s">
        <v>3224</v>
      </c>
      <c r="D2781" s="2">
        <v>1</v>
      </c>
      <c r="E2781" s="11" t="s">
        <v>1977</v>
      </c>
      <c r="F2781" t="s">
        <v>254</v>
      </c>
      <c r="G2781" s="2" t="s">
        <v>31</v>
      </c>
      <c r="H2781" s="1">
        <v>121.79400000000001</v>
      </c>
    </row>
    <row r="2782" spans="1:8" x14ac:dyDescent="0.3">
      <c r="A2782" s="2">
        <v>656</v>
      </c>
      <c r="B2782" t="s">
        <v>2115</v>
      </c>
      <c r="C2782" t="s">
        <v>3224</v>
      </c>
      <c r="D2782" s="2">
        <v>1</v>
      </c>
      <c r="E2782" s="11" t="s">
        <v>1977</v>
      </c>
      <c r="F2782" t="s">
        <v>254</v>
      </c>
      <c r="G2782" s="2" t="s">
        <v>23</v>
      </c>
      <c r="H2782" s="1">
        <v>121.79400000000001</v>
      </c>
    </row>
    <row r="2783" spans="1:8" x14ac:dyDescent="0.3">
      <c r="A2783" s="2">
        <v>656</v>
      </c>
      <c r="B2783" t="s">
        <v>2035</v>
      </c>
      <c r="C2783" t="s">
        <v>3</v>
      </c>
      <c r="D2783" s="2">
        <v>1</v>
      </c>
      <c r="E2783" s="11" t="s">
        <v>2033</v>
      </c>
      <c r="F2783" t="s">
        <v>254</v>
      </c>
      <c r="G2783" s="2" t="s">
        <v>31</v>
      </c>
      <c r="H2783" s="1">
        <v>68.794000000000011</v>
      </c>
    </row>
    <row r="2784" spans="1:8" x14ac:dyDescent="0.3">
      <c r="A2784" s="2">
        <v>656</v>
      </c>
      <c r="B2784" t="s">
        <v>2034</v>
      </c>
      <c r="C2784" t="s">
        <v>3</v>
      </c>
      <c r="D2784" s="2">
        <v>1</v>
      </c>
      <c r="E2784" s="11" t="s">
        <v>2033</v>
      </c>
      <c r="F2784" t="s">
        <v>254</v>
      </c>
      <c r="G2784" s="2" t="s">
        <v>23</v>
      </c>
      <c r="H2784" s="1">
        <v>68.794000000000011</v>
      </c>
    </row>
    <row r="2785" spans="1:8" x14ac:dyDescent="0.3">
      <c r="A2785" s="2">
        <v>656</v>
      </c>
      <c r="B2785" t="s">
        <v>2114</v>
      </c>
      <c r="C2785" t="s">
        <v>2</v>
      </c>
      <c r="D2785" s="2">
        <v>1</v>
      </c>
      <c r="E2785" s="11" t="s">
        <v>60</v>
      </c>
      <c r="F2785" t="s">
        <v>114</v>
      </c>
      <c r="G2785" s="2" t="s">
        <v>23</v>
      </c>
      <c r="H2785" s="1">
        <v>68.794000000000011</v>
      </c>
    </row>
    <row r="2786" spans="1:8" x14ac:dyDescent="0.3">
      <c r="A2786" s="2">
        <v>656</v>
      </c>
      <c r="B2786" t="s">
        <v>1923</v>
      </c>
      <c r="C2786" t="s">
        <v>3224</v>
      </c>
      <c r="D2786" s="2">
        <v>1</v>
      </c>
      <c r="E2786" s="11" t="s">
        <v>1478</v>
      </c>
      <c r="F2786" t="s">
        <v>47</v>
      </c>
      <c r="G2786" s="2" t="s">
        <v>31</v>
      </c>
      <c r="H2786" s="1">
        <v>116.49400000000001</v>
      </c>
    </row>
    <row r="2787" spans="1:8" x14ac:dyDescent="0.3">
      <c r="A2787" s="2">
        <v>656</v>
      </c>
      <c r="B2787" t="s">
        <v>2113</v>
      </c>
      <c r="C2787" t="s">
        <v>1</v>
      </c>
      <c r="D2787" s="2">
        <v>1</v>
      </c>
      <c r="E2787" s="11" t="s">
        <v>1990</v>
      </c>
      <c r="F2787" t="s">
        <v>47</v>
      </c>
      <c r="G2787" s="2" t="s">
        <v>23</v>
      </c>
      <c r="H2787" s="1">
        <v>58.19400000000001</v>
      </c>
    </row>
    <row r="2788" spans="1:8" x14ac:dyDescent="0.3">
      <c r="A2788" s="2">
        <v>656</v>
      </c>
      <c r="B2788" t="s">
        <v>2112</v>
      </c>
      <c r="C2788" t="s">
        <v>3224</v>
      </c>
      <c r="D2788" s="2">
        <v>1</v>
      </c>
      <c r="E2788" s="11" t="s">
        <v>1248</v>
      </c>
      <c r="F2788" t="s">
        <v>39</v>
      </c>
      <c r="G2788" s="2" t="s">
        <v>31</v>
      </c>
      <c r="H2788" s="1">
        <v>95.294000000000011</v>
      </c>
    </row>
    <row r="2789" spans="1:8" x14ac:dyDescent="0.3">
      <c r="A2789" s="2">
        <v>656</v>
      </c>
      <c r="B2789" t="s">
        <v>1689</v>
      </c>
      <c r="C2789" t="s">
        <v>0</v>
      </c>
      <c r="D2789" s="2">
        <v>1</v>
      </c>
      <c r="E2789" s="11" t="s">
        <v>1551</v>
      </c>
      <c r="F2789" t="s">
        <v>39</v>
      </c>
      <c r="G2789" s="2" t="s">
        <v>31</v>
      </c>
      <c r="H2789" s="1">
        <v>121.79400000000001</v>
      </c>
    </row>
    <row r="2790" spans="1:8" x14ac:dyDescent="0.3">
      <c r="A2790" s="2">
        <v>656</v>
      </c>
      <c r="B2790" t="s">
        <v>2111</v>
      </c>
      <c r="C2790" t="s">
        <v>1</v>
      </c>
      <c r="D2790" s="2">
        <v>1</v>
      </c>
      <c r="E2790" s="11" t="s">
        <v>1990</v>
      </c>
      <c r="F2790" t="s">
        <v>39</v>
      </c>
      <c r="G2790" s="2" t="s">
        <v>31</v>
      </c>
      <c r="H2790" s="1">
        <v>58.19400000000001</v>
      </c>
    </row>
    <row r="2791" spans="1:8" x14ac:dyDescent="0.3">
      <c r="A2791" s="2">
        <v>656</v>
      </c>
      <c r="B2791" t="s">
        <v>1582</v>
      </c>
      <c r="C2791" t="s">
        <v>0</v>
      </c>
      <c r="D2791" s="2">
        <v>1</v>
      </c>
      <c r="E2791" s="11" t="s">
        <v>1211</v>
      </c>
      <c r="F2791" t="s">
        <v>39</v>
      </c>
      <c r="G2791" s="2" t="s">
        <v>23</v>
      </c>
      <c r="H2791" s="1">
        <v>144.29</v>
      </c>
    </row>
    <row r="2792" spans="1:8" x14ac:dyDescent="0.3">
      <c r="A2792" s="2">
        <v>656</v>
      </c>
      <c r="B2792" t="s">
        <v>2110</v>
      </c>
      <c r="C2792" t="s">
        <v>1</v>
      </c>
      <c r="D2792" s="2">
        <v>1</v>
      </c>
      <c r="E2792" s="11" t="s">
        <v>1990</v>
      </c>
      <c r="F2792" t="s">
        <v>28</v>
      </c>
      <c r="G2792" s="2" t="s">
        <v>23</v>
      </c>
      <c r="H2792" s="1">
        <v>58.19400000000001</v>
      </c>
    </row>
    <row r="2793" spans="1:8" x14ac:dyDescent="0.3">
      <c r="A2793" s="2">
        <v>657</v>
      </c>
      <c r="B2793" t="s">
        <v>1410</v>
      </c>
      <c r="C2793" t="s">
        <v>3225</v>
      </c>
      <c r="D2793" s="2">
        <v>1</v>
      </c>
      <c r="E2793" s="11" t="s">
        <v>1409</v>
      </c>
      <c r="F2793" t="s">
        <v>55</v>
      </c>
      <c r="G2793" s="2" t="s">
        <v>23</v>
      </c>
      <c r="H2793" s="1">
        <v>158.89400000000001</v>
      </c>
    </row>
    <row r="2794" spans="1:8" x14ac:dyDescent="0.3">
      <c r="A2794" s="2">
        <v>657</v>
      </c>
      <c r="B2794" t="s">
        <v>2109</v>
      </c>
      <c r="C2794" t="s">
        <v>3224</v>
      </c>
      <c r="D2794" s="2">
        <v>1</v>
      </c>
      <c r="E2794" s="11" t="s">
        <v>2039</v>
      </c>
      <c r="F2794" t="s">
        <v>254</v>
      </c>
      <c r="G2794" s="2" t="s">
        <v>23</v>
      </c>
      <c r="H2794" s="1">
        <v>79.394000000000005</v>
      </c>
    </row>
    <row r="2795" spans="1:8" x14ac:dyDescent="0.3">
      <c r="A2795" s="2">
        <v>657</v>
      </c>
      <c r="B2795" t="s">
        <v>2108</v>
      </c>
      <c r="C2795" t="s">
        <v>3220</v>
      </c>
      <c r="D2795" s="2">
        <v>1</v>
      </c>
      <c r="E2795" s="11" t="s">
        <v>2107</v>
      </c>
      <c r="F2795" t="s">
        <v>254</v>
      </c>
      <c r="G2795" s="2" t="s">
        <v>23</v>
      </c>
      <c r="H2795" s="1">
        <v>21.094000000000001</v>
      </c>
    </row>
    <row r="2796" spans="1:8" x14ac:dyDescent="0.3">
      <c r="A2796" s="2">
        <v>657</v>
      </c>
      <c r="B2796" t="s">
        <v>2106</v>
      </c>
      <c r="C2796" t="s">
        <v>2</v>
      </c>
      <c r="D2796" s="2">
        <v>1</v>
      </c>
      <c r="E2796" s="11" t="s">
        <v>2037</v>
      </c>
      <c r="F2796" t="s">
        <v>254</v>
      </c>
      <c r="G2796" s="2" t="s">
        <v>23</v>
      </c>
      <c r="H2796" s="1">
        <v>100.59400000000001</v>
      </c>
    </row>
    <row r="2797" spans="1:8" x14ac:dyDescent="0.3">
      <c r="A2797" s="2">
        <v>657</v>
      </c>
      <c r="B2797" t="s">
        <v>2105</v>
      </c>
      <c r="C2797" t="s">
        <v>3</v>
      </c>
      <c r="D2797" s="2">
        <v>1</v>
      </c>
      <c r="E2797" s="11" t="s">
        <v>2104</v>
      </c>
      <c r="F2797" t="s">
        <v>62</v>
      </c>
      <c r="G2797" s="2" t="s">
        <v>31</v>
      </c>
      <c r="H2797" s="1">
        <v>100.59400000000001</v>
      </c>
    </row>
    <row r="2798" spans="1:8" x14ac:dyDescent="0.3">
      <c r="A2798" s="2">
        <v>657</v>
      </c>
      <c r="B2798" t="s">
        <v>1962</v>
      </c>
      <c r="C2798" t="s">
        <v>0</v>
      </c>
      <c r="D2798" s="2">
        <v>1</v>
      </c>
      <c r="E2798" s="11" t="s">
        <v>1960</v>
      </c>
      <c r="F2798" t="s">
        <v>62</v>
      </c>
      <c r="G2798" s="2" t="s">
        <v>23</v>
      </c>
      <c r="H2798" s="1">
        <v>132.39400000000001</v>
      </c>
    </row>
    <row r="2799" spans="1:8" x14ac:dyDescent="0.3">
      <c r="A2799" s="2">
        <v>657</v>
      </c>
      <c r="B2799" t="s">
        <v>1323</v>
      </c>
      <c r="C2799" t="s">
        <v>1</v>
      </c>
      <c r="D2799" s="2">
        <v>1</v>
      </c>
      <c r="E2799" s="11" t="s">
        <v>53</v>
      </c>
      <c r="F2799" t="s">
        <v>114</v>
      </c>
      <c r="G2799" s="2" t="s">
        <v>23</v>
      </c>
      <c r="H2799" s="1">
        <v>36.994</v>
      </c>
    </row>
    <row r="2800" spans="1:8" x14ac:dyDescent="0.3">
      <c r="A2800" s="2">
        <v>657</v>
      </c>
      <c r="B2800" t="s">
        <v>793</v>
      </c>
      <c r="C2800" t="s">
        <v>3225</v>
      </c>
      <c r="D2800" s="2">
        <v>1</v>
      </c>
      <c r="E2800" s="11" t="s">
        <v>239</v>
      </c>
      <c r="F2800" t="s">
        <v>114</v>
      </c>
      <c r="G2800" s="2" t="s">
        <v>4</v>
      </c>
      <c r="H2800" s="1">
        <v>148.29400000000001</v>
      </c>
    </row>
    <row r="2801" spans="1:8" x14ac:dyDescent="0.3">
      <c r="A2801" s="2">
        <v>657</v>
      </c>
      <c r="B2801" t="s">
        <v>1915</v>
      </c>
      <c r="C2801" t="s">
        <v>3219</v>
      </c>
      <c r="D2801" s="2">
        <v>1</v>
      </c>
      <c r="E2801" s="11" t="s">
        <v>1561</v>
      </c>
      <c r="F2801" t="s">
        <v>47</v>
      </c>
      <c r="G2801" s="2" t="s">
        <v>4</v>
      </c>
      <c r="H2801" s="1">
        <v>148.29400000000001</v>
      </c>
    </row>
    <row r="2802" spans="1:8" x14ac:dyDescent="0.3">
      <c r="A2802" s="2">
        <v>657</v>
      </c>
      <c r="B2802" t="s">
        <v>1475</v>
      </c>
      <c r="C2802" t="s">
        <v>3225</v>
      </c>
      <c r="D2802" s="2">
        <v>1</v>
      </c>
      <c r="E2802" s="11" t="s">
        <v>239</v>
      </c>
      <c r="F2802" t="s">
        <v>39</v>
      </c>
      <c r="G2802" s="2" t="s">
        <v>4</v>
      </c>
      <c r="H2802" s="1">
        <v>148.29400000000001</v>
      </c>
    </row>
    <row r="2803" spans="1:8" x14ac:dyDescent="0.3">
      <c r="A2803" s="2">
        <v>657</v>
      </c>
      <c r="B2803" t="s">
        <v>2103</v>
      </c>
      <c r="C2803" t="s">
        <v>3225</v>
      </c>
      <c r="D2803" s="2">
        <v>1</v>
      </c>
      <c r="E2803" s="11" t="s">
        <v>239</v>
      </c>
      <c r="F2803" t="s">
        <v>39</v>
      </c>
      <c r="G2803" s="2" t="s">
        <v>31</v>
      </c>
      <c r="H2803" s="1">
        <v>148.29400000000001</v>
      </c>
    </row>
    <row r="2804" spans="1:8" x14ac:dyDescent="0.3">
      <c r="A2804" s="2">
        <v>657</v>
      </c>
      <c r="B2804" t="s">
        <v>1930</v>
      </c>
      <c r="C2804" t="s">
        <v>3224</v>
      </c>
      <c r="D2804" s="2">
        <v>1</v>
      </c>
      <c r="E2804" s="11" t="s">
        <v>499</v>
      </c>
      <c r="F2804" t="s">
        <v>39</v>
      </c>
      <c r="G2804" s="2" t="s">
        <v>31</v>
      </c>
      <c r="H2804" s="1">
        <v>84.694000000000017</v>
      </c>
    </row>
    <row r="2805" spans="1:8" x14ac:dyDescent="0.3">
      <c r="A2805" s="2">
        <v>657</v>
      </c>
      <c r="B2805" t="s">
        <v>2102</v>
      </c>
      <c r="C2805" t="s">
        <v>2</v>
      </c>
      <c r="D2805" s="2">
        <v>1</v>
      </c>
      <c r="E2805" s="11" t="s">
        <v>2081</v>
      </c>
      <c r="F2805" t="s">
        <v>28</v>
      </c>
      <c r="G2805" s="2" t="s">
        <v>4</v>
      </c>
      <c r="H2805" s="1">
        <v>74.094000000000008</v>
      </c>
    </row>
    <row r="2806" spans="1:8" x14ac:dyDescent="0.3">
      <c r="A2806" s="2">
        <v>658</v>
      </c>
      <c r="B2806" t="s">
        <v>1123</v>
      </c>
      <c r="C2806" t="s">
        <v>1</v>
      </c>
      <c r="D2806" s="2">
        <v>1</v>
      </c>
      <c r="E2806" s="11" t="s">
        <v>281</v>
      </c>
      <c r="F2806" t="s">
        <v>55</v>
      </c>
      <c r="G2806" s="2" t="s">
        <v>23</v>
      </c>
      <c r="H2806" s="1">
        <v>58.194000000000003</v>
      </c>
    </row>
    <row r="2807" spans="1:8" x14ac:dyDescent="0.3">
      <c r="A2807" s="2">
        <v>658</v>
      </c>
      <c r="B2807" t="s">
        <v>1842</v>
      </c>
      <c r="C2807" t="s">
        <v>1</v>
      </c>
      <c r="D2807" s="2">
        <v>1</v>
      </c>
      <c r="E2807" s="11" t="s">
        <v>243</v>
      </c>
      <c r="F2807" t="s">
        <v>55</v>
      </c>
      <c r="G2807" s="2" t="s">
        <v>4</v>
      </c>
      <c r="H2807" s="1">
        <v>31.693999999999999</v>
      </c>
    </row>
    <row r="2808" spans="1:8" x14ac:dyDescent="0.3">
      <c r="A2808" s="2">
        <v>658</v>
      </c>
      <c r="B2808" t="s">
        <v>295</v>
      </c>
      <c r="C2808" t="s">
        <v>1</v>
      </c>
      <c r="D2808" s="2">
        <v>1</v>
      </c>
      <c r="E2808" s="11" t="s">
        <v>243</v>
      </c>
      <c r="F2808" t="s">
        <v>65</v>
      </c>
      <c r="G2808" s="2" t="s">
        <v>203</v>
      </c>
      <c r="H2808" s="1">
        <v>31.693999999999999</v>
      </c>
    </row>
    <row r="2809" spans="1:8" x14ac:dyDescent="0.3">
      <c r="A2809" s="2">
        <v>658</v>
      </c>
      <c r="B2809" t="s">
        <v>295</v>
      </c>
      <c r="C2809" t="s">
        <v>1</v>
      </c>
      <c r="D2809" s="2">
        <v>1</v>
      </c>
      <c r="E2809" s="11" t="s">
        <v>243</v>
      </c>
      <c r="F2809" t="s">
        <v>65</v>
      </c>
      <c r="G2809" s="2" t="s">
        <v>203</v>
      </c>
      <c r="H2809" s="1">
        <v>31.693999999999999</v>
      </c>
    </row>
    <row r="2810" spans="1:8" x14ac:dyDescent="0.3">
      <c r="A2810" s="2">
        <v>658</v>
      </c>
      <c r="B2810" t="s">
        <v>2101</v>
      </c>
      <c r="C2810" t="s">
        <v>1</v>
      </c>
      <c r="D2810" s="2">
        <v>1</v>
      </c>
      <c r="E2810" s="11" t="s">
        <v>243</v>
      </c>
      <c r="F2810" t="s">
        <v>126</v>
      </c>
      <c r="G2810" s="2" t="s">
        <v>4</v>
      </c>
      <c r="H2810" s="1">
        <v>31.693999999999999</v>
      </c>
    </row>
    <row r="2811" spans="1:8" x14ac:dyDescent="0.3">
      <c r="A2811" s="2">
        <v>658</v>
      </c>
      <c r="B2811" t="s">
        <v>2101</v>
      </c>
      <c r="C2811" t="s">
        <v>1</v>
      </c>
      <c r="D2811" s="2">
        <v>1</v>
      </c>
      <c r="E2811" s="11" t="s">
        <v>243</v>
      </c>
      <c r="F2811" t="s">
        <v>126</v>
      </c>
      <c r="G2811" s="2" t="s">
        <v>4</v>
      </c>
      <c r="H2811" s="1">
        <v>31.693999999999999</v>
      </c>
    </row>
    <row r="2812" spans="1:8" x14ac:dyDescent="0.3">
      <c r="A2812" s="2">
        <v>658</v>
      </c>
      <c r="B2812" t="s">
        <v>80</v>
      </c>
      <c r="C2812" t="s">
        <v>1</v>
      </c>
      <c r="D2812" s="2">
        <v>1</v>
      </c>
      <c r="E2812" s="11" t="s">
        <v>76</v>
      </c>
      <c r="F2812" t="s">
        <v>62</v>
      </c>
      <c r="G2812" s="2" t="s">
        <v>4</v>
      </c>
      <c r="H2812" s="1">
        <v>63.494</v>
      </c>
    </row>
    <row r="2813" spans="1:8" x14ac:dyDescent="0.3">
      <c r="A2813" s="2">
        <v>658</v>
      </c>
      <c r="B2813" t="s">
        <v>2100</v>
      </c>
      <c r="C2813" t="s">
        <v>1</v>
      </c>
      <c r="D2813" s="2">
        <v>1</v>
      </c>
      <c r="E2813" s="11" t="s">
        <v>76</v>
      </c>
      <c r="F2813" t="s">
        <v>62</v>
      </c>
      <c r="G2813" s="2" t="s">
        <v>31</v>
      </c>
      <c r="H2813" s="1">
        <v>63.494</v>
      </c>
    </row>
    <row r="2814" spans="1:8" x14ac:dyDescent="0.3">
      <c r="A2814" s="2">
        <v>658</v>
      </c>
      <c r="B2814" t="s">
        <v>1421</v>
      </c>
      <c r="C2814" t="s">
        <v>1</v>
      </c>
      <c r="D2814" s="2">
        <v>1</v>
      </c>
      <c r="E2814" s="11" t="s">
        <v>76</v>
      </c>
      <c r="F2814" t="s">
        <v>62</v>
      </c>
      <c r="G2814" s="2" t="s">
        <v>23</v>
      </c>
      <c r="H2814" s="1">
        <v>63.494</v>
      </c>
    </row>
    <row r="2815" spans="1:8" x14ac:dyDescent="0.3">
      <c r="A2815" s="2">
        <v>658</v>
      </c>
      <c r="B2815" t="s">
        <v>2099</v>
      </c>
      <c r="C2815" t="s">
        <v>1</v>
      </c>
      <c r="D2815" s="2">
        <v>1</v>
      </c>
      <c r="E2815" s="11" t="s">
        <v>1680</v>
      </c>
      <c r="F2815" t="s">
        <v>62</v>
      </c>
      <c r="G2815" s="2" t="s">
        <v>31</v>
      </c>
      <c r="H2815" s="1">
        <v>58.19400000000001</v>
      </c>
    </row>
    <row r="2816" spans="1:8" x14ac:dyDescent="0.3">
      <c r="A2816" s="2">
        <v>658</v>
      </c>
      <c r="B2816" t="s">
        <v>1861</v>
      </c>
      <c r="C2816" t="s">
        <v>1</v>
      </c>
      <c r="D2816" s="2">
        <v>1</v>
      </c>
      <c r="E2816" s="11" t="s">
        <v>281</v>
      </c>
      <c r="F2816" t="s">
        <v>62</v>
      </c>
      <c r="G2816" s="2" t="s">
        <v>31</v>
      </c>
      <c r="H2816" s="1">
        <v>58.194000000000003</v>
      </c>
    </row>
    <row r="2817" spans="1:8" x14ac:dyDescent="0.3">
      <c r="A2817" s="2">
        <v>658</v>
      </c>
      <c r="B2817" t="s">
        <v>2098</v>
      </c>
      <c r="C2817" t="s">
        <v>1</v>
      </c>
      <c r="D2817" s="2">
        <v>1</v>
      </c>
      <c r="E2817" s="11" t="s">
        <v>243</v>
      </c>
      <c r="F2817" t="s">
        <v>241</v>
      </c>
      <c r="G2817" s="2" t="s">
        <v>23</v>
      </c>
      <c r="H2817" s="1">
        <v>31.693999999999999</v>
      </c>
    </row>
    <row r="2818" spans="1:8" x14ac:dyDescent="0.3">
      <c r="A2818" s="2">
        <v>658</v>
      </c>
      <c r="B2818" t="s">
        <v>2097</v>
      </c>
      <c r="C2818" t="s">
        <v>1</v>
      </c>
      <c r="D2818" s="2">
        <v>1</v>
      </c>
      <c r="E2818" s="11" t="s">
        <v>281</v>
      </c>
      <c r="F2818" t="s">
        <v>959</v>
      </c>
      <c r="G2818" s="2" t="s">
        <v>4</v>
      </c>
      <c r="H2818" s="1">
        <v>58.194000000000003</v>
      </c>
    </row>
    <row r="2819" spans="1:8" x14ac:dyDescent="0.3">
      <c r="A2819" s="2">
        <v>658</v>
      </c>
      <c r="B2819" t="s">
        <v>686</v>
      </c>
      <c r="C2819" t="s">
        <v>1</v>
      </c>
      <c r="D2819" s="2">
        <v>1</v>
      </c>
      <c r="E2819" s="11" t="s">
        <v>76</v>
      </c>
      <c r="F2819" t="s">
        <v>114</v>
      </c>
      <c r="G2819" s="2" t="s">
        <v>23</v>
      </c>
      <c r="H2819" s="1">
        <v>63.494</v>
      </c>
    </row>
    <row r="2820" spans="1:8" x14ac:dyDescent="0.3">
      <c r="A2820" s="2">
        <v>658</v>
      </c>
      <c r="B2820" t="s">
        <v>1681</v>
      </c>
      <c r="C2820" t="s">
        <v>1</v>
      </c>
      <c r="D2820" s="2">
        <v>1</v>
      </c>
      <c r="E2820" s="11" t="s">
        <v>1680</v>
      </c>
      <c r="F2820" t="s">
        <v>114</v>
      </c>
      <c r="G2820" s="2" t="s">
        <v>23</v>
      </c>
      <c r="H2820" s="1">
        <v>58.19400000000001</v>
      </c>
    </row>
    <row r="2821" spans="1:8" x14ac:dyDescent="0.3">
      <c r="A2821" s="2">
        <v>658</v>
      </c>
      <c r="B2821" t="s">
        <v>2096</v>
      </c>
      <c r="C2821" t="s">
        <v>1</v>
      </c>
      <c r="D2821" s="2">
        <v>1</v>
      </c>
      <c r="E2821" s="11" t="s">
        <v>243</v>
      </c>
      <c r="F2821" t="s">
        <v>114</v>
      </c>
      <c r="G2821" s="2" t="s">
        <v>203</v>
      </c>
      <c r="H2821" s="1">
        <v>31.693999999999999</v>
      </c>
    </row>
    <row r="2822" spans="1:8" x14ac:dyDescent="0.3">
      <c r="A2822" s="2">
        <v>658</v>
      </c>
      <c r="B2822" t="s">
        <v>860</v>
      </c>
      <c r="C2822" t="s">
        <v>1</v>
      </c>
      <c r="D2822" s="2">
        <v>1</v>
      </c>
      <c r="E2822" s="11" t="s">
        <v>243</v>
      </c>
      <c r="F2822" t="s">
        <v>683</v>
      </c>
      <c r="G2822" s="2" t="s">
        <v>31</v>
      </c>
      <c r="H2822" s="1">
        <v>31.693999999999999</v>
      </c>
    </row>
    <row r="2823" spans="1:8" x14ac:dyDescent="0.3">
      <c r="A2823" s="2">
        <v>658</v>
      </c>
      <c r="B2823" t="s">
        <v>1284</v>
      </c>
      <c r="C2823" t="s">
        <v>1</v>
      </c>
      <c r="D2823" s="2">
        <v>1</v>
      </c>
      <c r="E2823" s="11" t="s">
        <v>76</v>
      </c>
      <c r="F2823" t="s">
        <v>78</v>
      </c>
      <c r="G2823" s="2" t="s">
        <v>4</v>
      </c>
      <c r="H2823" s="1">
        <v>63.494</v>
      </c>
    </row>
    <row r="2824" spans="1:8" x14ac:dyDescent="0.3">
      <c r="A2824" s="2">
        <v>658</v>
      </c>
      <c r="B2824" t="s">
        <v>79</v>
      </c>
      <c r="C2824" t="s">
        <v>1</v>
      </c>
      <c r="D2824" s="2">
        <v>1</v>
      </c>
      <c r="E2824" s="11" t="s">
        <v>76</v>
      </c>
      <c r="F2824" t="s">
        <v>78</v>
      </c>
      <c r="G2824" s="2" t="s">
        <v>31</v>
      </c>
      <c r="H2824" s="1">
        <v>63.494</v>
      </c>
    </row>
    <row r="2825" spans="1:8" x14ac:dyDescent="0.3">
      <c r="A2825" s="2">
        <v>658</v>
      </c>
      <c r="B2825" t="s">
        <v>2095</v>
      </c>
      <c r="C2825" t="s">
        <v>1</v>
      </c>
      <c r="D2825" s="2">
        <v>1</v>
      </c>
      <c r="E2825" s="11" t="s">
        <v>76</v>
      </c>
      <c r="F2825" t="s">
        <v>78</v>
      </c>
      <c r="G2825" s="2" t="s">
        <v>23</v>
      </c>
      <c r="H2825" s="1">
        <v>63.494</v>
      </c>
    </row>
    <row r="2826" spans="1:8" x14ac:dyDescent="0.3">
      <c r="A2826" s="2">
        <v>658</v>
      </c>
      <c r="B2826" t="s">
        <v>1796</v>
      </c>
      <c r="C2826" t="s">
        <v>1</v>
      </c>
      <c r="D2826" s="2">
        <v>1</v>
      </c>
      <c r="E2826" s="11" t="s">
        <v>281</v>
      </c>
      <c r="F2826" t="s">
        <v>78</v>
      </c>
      <c r="G2826" s="2" t="s">
        <v>23</v>
      </c>
      <c r="H2826" s="1">
        <v>58.194000000000003</v>
      </c>
    </row>
    <row r="2827" spans="1:8" x14ac:dyDescent="0.3">
      <c r="A2827" s="2">
        <v>658</v>
      </c>
      <c r="B2827" t="s">
        <v>1859</v>
      </c>
      <c r="C2827" t="s">
        <v>1</v>
      </c>
      <c r="D2827" s="2">
        <v>1</v>
      </c>
      <c r="E2827" s="11" t="s">
        <v>281</v>
      </c>
      <c r="F2827" t="s">
        <v>276</v>
      </c>
      <c r="G2827" s="2" t="s">
        <v>31</v>
      </c>
      <c r="H2827" s="1">
        <v>58.194000000000003</v>
      </c>
    </row>
    <row r="2828" spans="1:8" x14ac:dyDescent="0.3">
      <c r="A2828" s="2">
        <v>658</v>
      </c>
      <c r="B2828" t="s">
        <v>2094</v>
      </c>
      <c r="C2828" t="s">
        <v>1</v>
      </c>
      <c r="D2828" s="2">
        <v>1</v>
      </c>
      <c r="E2828" s="11" t="s">
        <v>76</v>
      </c>
      <c r="F2828" t="s">
        <v>47</v>
      </c>
      <c r="G2828" s="2" t="s">
        <v>4</v>
      </c>
      <c r="H2828" s="1">
        <v>63.494</v>
      </c>
    </row>
    <row r="2829" spans="1:8" x14ac:dyDescent="0.3">
      <c r="A2829" s="2">
        <v>658</v>
      </c>
      <c r="B2829" t="s">
        <v>533</v>
      </c>
      <c r="C2829" t="s">
        <v>1</v>
      </c>
      <c r="D2829" s="2">
        <v>1</v>
      </c>
      <c r="E2829" s="11" t="s">
        <v>76</v>
      </c>
      <c r="F2829" t="s">
        <v>47</v>
      </c>
      <c r="G2829" s="2" t="s">
        <v>31</v>
      </c>
      <c r="H2829" s="1">
        <v>63.494</v>
      </c>
    </row>
    <row r="2830" spans="1:8" x14ac:dyDescent="0.3">
      <c r="A2830" s="2">
        <v>658</v>
      </c>
      <c r="B2830" t="s">
        <v>77</v>
      </c>
      <c r="C2830" t="s">
        <v>1</v>
      </c>
      <c r="D2830" s="2">
        <v>1</v>
      </c>
      <c r="E2830" s="11" t="s">
        <v>76</v>
      </c>
      <c r="F2830" t="s">
        <v>47</v>
      </c>
      <c r="G2830" s="2" t="s">
        <v>23</v>
      </c>
      <c r="H2830" s="1">
        <v>63.494</v>
      </c>
    </row>
    <row r="2831" spans="1:8" x14ac:dyDescent="0.3">
      <c r="A2831" s="2">
        <v>658</v>
      </c>
      <c r="B2831" t="s">
        <v>2093</v>
      </c>
      <c r="C2831" t="s">
        <v>1</v>
      </c>
      <c r="D2831" s="2">
        <v>1</v>
      </c>
      <c r="E2831" s="11" t="s">
        <v>1680</v>
      </c>
      <c r="F2831" t="s">
        <v>47</v>
      </c>
      <c r="G2831" s="2" t="s">
        <v>4</v>
      </c>
      <c r="H2831" s="1">
        <v>58.19400000000001</v>
      </c>
    </row>
    <row r="2832" spans="1:8" x14ac:dyDescent="0.3">
      <c r="A2832" s="2">
        <v>658</v>
      </c>
      <c r="B2832" t="s">
        <v>2092</v>
      </c>
      <c r="C2832" t="s">
        <v>3220</v>
      </c>
      <c r="D2832" s="2">
        <v>1</v>
      </c>
      <c r="E2832" s="11" t="s">
        <v>1138</v>
      </c>
      <c r="F2832" t="s">
        <v>47</v>
      </c>
      <c r="G2832" s="2" t="s">
        <v>31</v>
      </c>
      <c r="H2832" s="1">
        <v>68.794000000000011</v>
      </c>
    </row>
    <row r="2833" spans="1:8" x14ac:dyDescent="0.3">
      <c r="A2833" s="2">
        <v>658</v>
      </c>
      <c r="B2833" t="s">
        <v>1139</v>
      </c>
      <c r="C2833" t="s">
        <v>3220</v>
      </c>
      <c r="D2833" s="2">
        <v>1</v>
      </c>
      <c r="E2833" s="11" t="s">
        <v>1138</v>
      </c>
      <c r="F2833" t="s">
        <v>47</v>
      </c>
      <c r="G2833" s="2" t="s">
        <v>23</v>
      </c>
      <c r="H2833" s="1">
        <v>68.794000000000011</v>
      </c>
    </row>
    <row r="2834" spans="1:8" x14ac:dyDescent="0.3">
      <c r="A2834" s="2">
        <v>658</v>
      </c>
      <c r="B2834" t="s">
        <v>2091</v>
      </c>
      <c r="C2834" t="s">
        <v>1</v>
      </c>
      <c r="D2834" s="2">
        <v>1</v>
      </c>
      <c r="E2834" s="11" t="s">
        <v>243</v>
      </c>
      <c r="F2834" t="s">
        <v>47</v>
      </c>
      <c r="G2834" s="2" t="s">
        <v>203</v>
      </c>
      <c r="H2834" s="1">
        <v>31.693999999999999</v>
      </c>
    </row>
    <row r="2835" spans="1:8" x14ac:dyDescent="0.3">
      <c r="A2835" s="2">
        <v>658</v>
      </c>
      <c r="B2835" t="s">
        <v>1190</v>
      </c>
      <c r="C2835" t="s">
        <v>1</v>
      </c>
      <c r="D2835" s="2">
        <v>1</v>
      </c>
      <c r="E2835" s="11" t="s">
        <v>281</v>
      </c>
      <c r="F2835" t="s">
        <v>47</v>
      </c>
      <c r="G2835" s="2" t="s">
        <v>203</v>
      </c>
      <c r="H2835" s="1">
        <v>58.194000000000003</v>
      </c>
    </row>
    <row r="2836" spans="1:8" x14ac:dyDescent="0.3">
      <c r="A2836" s="2">
        <v>658</v>
      </c>
      <c r="B2836" t="s">
        <v>711</v>
      </c>
      <c r="C2836" t="s">
        <v>1</v>
      </c>
      <c r="D2836" s="2">
        <v>1</v>
      </c>
      <c r="E2836" s="11" t="s">
        <v>281</v>
      </c>
      <c r="F2836" t="s">
        <v>47</v>
      </c>
      <c r="G2836" s="2" t="s">
        <v>23</v>
      </c>
      <c r="H2836" s="1">
        <v>58.194000000000003</v>
      </c>
    </row>
    <row r="2837" spans="1:8" x14ac:dyDescent="0.3">
      <c r="A2837" s="2">
        <v>658</v>
      </c>
      <c r="B2837" t="s">
        <v>2090</v>
      </c>
      <c r="C2837" t="s">
        <v>1</v>
      </c>
      <c r="D2837" s="2">
        <v>1</v>
      </c>
      <c r="E2837" s="11" t="s">
        <v>1241</v>
      </c>
      <c r="F2837" t="s">
        <v>39</v>
      </c>
      <c r="G2837" s="2" t="s">
        <v>31</v>
      </c>
      <c r="H2837" s="1">
        <v>74.094000000000008</v>
      </c>
    </row>
    <row r="2838" spans="1:8" x14ac:dyDescent="0.3">
      <c r="A2838" s="2">
        <v>658</v>
      </c>
      <c r="B2838" t="s">
        <v>2071</v>
      </c>
      <c r="C2838" t="s">
        <v>1</v>
      </c>
      <c r="D2838" s="2">
        <v>2</v>
      </c>
      <c r="E2838" s="11" t="s">
        <v>1241</v>
      </c>
      <c r="F2838" t="s">
        <v>39</v>
      </c>
      <c r="G2838" s="2" t="s">
        <v>23</v>
      </c>
      <c r="H2838" s="1">
        <v>74.094000000000008</v>
      </c>
    </row>
    <row r="2839" spans="1:8" x14ac:dyDescent="0.3">
      <c r="A2839" s="2">
        <v>658</v>
      </c>
      <c r="B2839" t="s">
        <v>2089</v>
      </c>
      <c r="C2839" t="s">
        <v>1</v>
      </c>
      <c r="D2839" s="2">
        <v>1</v>
      </c>
      <c r="E2839" s="11" t="s">
        <v>243</v>
      </c>
      <c r="F2839" t="s">
        <v>39</v>
      </c>
      <c r="G2839" s="2" t="s">
        <v>203</v>
      </c>
      <c r="H2839" s="1">
        <v>31.693999999999999</v>
      </c>
    </row>
    <row r="2840" spans="1:8" x14ac:dyDescent="0.3">
      <c r="A2840" s="2">
        <v>658</v>
      </c>
      <c r="B2840" t="s">
        <v>284</v>
      </c>
      <c r="C2840" t="s">
        <v>1</v>
      </c>
      <c r="D2840" s="2">
        <v>1</v>
      </c>
      <c r="E2840" s="11" t="s">
        <v>281</v>
      </c>
      <c r="F2840" t="s">
        <v>39</v>
      </c>
      <c r="G2840" s="2" t="s">
        <v>203</v>
      </c>
      <c r="H2840" s="1">
        <v>58.194000000000003</v>
      </c>
    </row>
    <row r="2841" spans="1:8" x14ac:dyDescent="0.3">
      <c r="A2841" s="2">
        <v>658</v>
      </c>
      <c r="B2841" t="s">
        <v>1235</v>
      </c>
      <c r="C2841" t="s">
        <v>1</v>
      </c>
      <c r="D2841" s="2">
        <v>1</v>
      </c>
      <c r="E2841" s="11" t="s">
        <v>281</v>
      </c>
      <c r="F2841" t="s">
        <v>39</v>
      </c>
      <c r="G2841" s="2" t="s">
        <v>23</v>
      </c>
      <c r="H2841" s="1">
        <v>58.194000000000003</v>
      </c>
    </row>
    <row r="2842" spans="1:8" x14ac:dyDescent="0.3">
      <c r="A2842" s="2">
        <v>658</v>
      </c>
      <c r="B2842" t="s">
        <v>1799</v>
      </c>
      <c r="C2842" t="s">
        <v>0</v>
      </c>
      <c r="D2842" s="2">
        <v>1</v>
      </c>
      <c r="E2842" s="11" t="s">
        <v>267</v>
      </c>
      <c r="F2842" t="s">
        <v>28</v>
      </c>
      <c r="G2842" s="2" t="s">
        <v>23</v>
      </c>
      <c r="H2842" s="1">
        <v>158.89400000000001</v>
      </c>
    </row>
    <row r="2843" spans="1:8" x14ac:dyDescent="0.3">
      <c r="A2843" s="2">
        <v>658</v>
      </c>
      <c r="B2843" t="s">
        <v>1851</v>
      </c>
      <c r="C2843" t="s">
        <v>3220</v>
      </c>
      <c r="D2843" s="2">
        <v>1</v>
      </c>
      <c r="E2843" s="11" t="s">
        <v>1138</v>
      </c>
      <c r="F2843" t="s">
        <v>28</v>
      </c>
      <c r="G2843" s="2" t="s">
        <v>31</v>
      </c>
      <c r="H2843" s="1">
        <v>68.794000000000011</v>
      </c>
    </row>
    <row r="2844" spans="1:8" x14ac:dyDescent="0.3">
      <c r="A2844" s="2">
        <v>658</v>
      </c>
      <c r="B2844" t="s">
        <v>1850</v>
      </c>
      <c r="C2844" t="s">
        <v>3220</v>
      </c>
      <c r="D2844" s="2">
        <v>1</v>
      </c>
      <c r="E2844" s="11" t="s">
        <v>1138</v>
      </c>
      <c r="F2844" t="s">
        <v>28</v>
      </c>
      <c r="G2844" s="2" t="s">
        <v>23</v>
      </c>
      <c r="H2844" s="1">
        <v>68.794000000000011</v>
      </c>
    </row>
    <row r="2845" spans="1:8" x14ac:dyDescent="0.3">
      <c r="A2845" s="2">
        <v>659</v>
      </c>
      <c r="B2845" t="s">
        <v>2088</v>
      </c>
      <c r="C2845" t="s">
        <v>3224</v>
      </c>
      <c r="D2845" s="2">
        <v>1</v>
      </c>
      <c r="E2845" s="11" t="s">
        <v>1719</v>
      </c>
      <c r="F2845" t="s">
        <v>55</v>
      </c>
      <c r="G2845" s="2" t="s">
        <v>31</v>
      </c>
      <c r="H2845" s="1">
        <v>105.89400000000001</v>
      </c>
    </row>
    <row r="2846" spans="1:8" x14ac:dyDescent="0.3">
      <c r="A2846" s="2">
        <v>659</v>
      </c>
      <c r="B2846" t="s">
        <v>2087</v>
      </c>
      <c r="C2846" t="s">
        <v>2</v>
      </c>
      <c r="D2846" s="2">
        <v>1</v>
      </c>
      <c r="E2846" s="11" t="s">
        <v>1678</v>
      </c>
      <c r="F2846" t="s">
        <v>55</v>
      </c>
      <c r="G2846" s="2" t="s">
        <v>31</v>
      </c>
      <c r="H2846" s="1">
        <v>73.093999999999994</v>
      </c>
    </row>
    <row r="2847" spans="1:8" x14ac:dyDescent="0.3">
      <c r="A2847" s="2">
        <v>659</v>
      </c>
      <c r="B2847" t="s">
        <v>752</v>
      </c>
      <c r="C2847" t="s">
        <v>1</v>
      </c>
      <c r="D2847" s="2">
        <v>1</v>
      </c>
      <c r="E2847" s="11" t="s">
        <v>737</v>
      </c>
      <c r="F2847" t="s">
        <v>65</v>
      </c>
      <c r="G2847" s="2" t="s">
        <v>31</v>
      </c>
      <c r="H2847" s="1">
        <v>74.094000000000008</v>
      </c>
    </row>
    <row r="2848" spans="1:8" x14ac:dyDescent="0.3">
      <c r="A2848" s="2">
        <v>659</v>
      </c>
      <c r="B2848" t="s">
        <v>2030</v>
      </c>
      <c r="C2848" t="s">
        <v>2</v>
      </c>
      <c r="D2848" s="2">
        <v>1</v>
      </c>
      <c r="E2848" s="11" t="s">
        <v>1288</v>
      </c>
      <c r="F2848" t="s">
        <v>254</v>
      </c>
      <c r="G2848" s="2" t="s">
        <v>23</v>
      </c>
      <c r="H2848" s="1">
        <v>89.994000000000014</v>
      </c>
    </row>
    <row r="2849" spans="1:8" x14ac:dyDescent="0.3">
      <c r="A2849" s="2">
        <v>659</v>
      </c>
      <c r="B2849" t="s">
        <v>1793</v>
      </c>
      <c r="C2849" t="s">
        <v>3233</v>
      </c>
      <c r="D2849" s="2">
        <v>1</v>
      </c>
      <c r="E2849" s="11" t="s">
        <v>258</v>
      </c>
      <c r="F2849" t="s">
        <v>254</v>
      </c>
      <c r="G2849" s="2" t="s">
        <v>23</v>
      </c>
      <c r="H2849" s="1">
        <v>79.394000000000005</v>
      </c>
    </row>
    <row r="2850" spans="1:8" x14ac:dyDescent="0.3">
      <c r="A2850" s="2">
        <v>659</v>
      </c>
      <c r="B2850" t="s">
        <v>2086</v>
      </c>
      <c r="C2850" t="s">
        <v>0</v>
      </c>
      <c r="D2850" s="2">
        <v>1</v>
      </c>
      <c r="E2850" s="11" t="s">
        <v>272</v>
      </c>
      <c r="F2850" t="s">
        <v>28</v>
      </c>
      <c r="G2850" s="2" t="s">
        <v>31</v>
      </c>
      <c r="H2850" s="1">
        <v>174.79400000000001</v>
      </c>
    </row>
    <row r="2851" spans="1:8" x14ac:dyDescent="0.3">
      <c r="A2851" s="2">
        <v>659</v>
      </c>
      <c r="B2851" t="s">
        <v>1482</v>
      </c>
      <c r="C2851" t="s">
        <v>0</v>
      </c>
      <c r="D2851" s="2">
        <v>1</v>
      </c>
      <c r="E2851" s="11" t="s">
        <v>1481</v>
      </c>
      <c r="F2851" t="s">
        <v>28</v>
      </c>
      <c r="G2851" s="2" t="s">
        <v>4</v>
      </c>
      <c r="H2851" s="1">
        <v>195.99400000000003</v>
      </c>
    </row>
    <row r="2852" spans="1:8" x14ac:dyDescent="0.3">
      <c r="A2852" s="2">
        <v>659</v>
      </c>
      <c r="B2852" t="s">
        <v>2056</v>
      </c>
      <c r="C2852" t="s">
        <v>0</v>
      </c>
      <c r="D2852" s="2">
        <v>2</v>
      </c>
      <c r="E2852" s="11" t="s">
        <v>1481</v>
      </c>
      <c r="F2852" t="s">
        <v>28</v>
      </c>
      <c r="G2852" s="2" t="s">
        <v>31</v>
      </c>
      <c r="H2852" s="1">
        <v>195.99400000000003</v>
      </c>
    </row>
    <row r="2853" spans="1:8" x14ac:dyDescent="0.3">
      <c r="A2853" s="2">
        <v>659</v>
      </c>
      <c r="B2853" t="s">
        <v>1728</v>
      </c>
      <c r="C2853" t="s">
        <v>0</v>
      </c>
      <c r="D2853" s="2">
        <v>1</v>
      </c>
      <c r="E2853" s="11" t="s">
        <v>1481</v>
      </c>
      <c r="F2853" t="s">
        <v>28</v>
      </c>
      <c r="G2853" s="2" t="s">
        <v>23</v>
      </c>
      <c r="H2853" s="1">
        <v>195.99400000000003</v>
      </c>
    </row>
    <row r="2854" spans="1:8" x14ac:dyDescent="0.3">
      <c r="A2854" s="2">
        <v>659</v>
      </c>
      <c r="B2854" t="s">
        <v>238</v>
      </c>
      <c r="C2854" t="s">
        <v>3224</v>
      </c>
      <c r="D2854" s="2">
        <v>1</v>
      </c>
      <c r="E2854" s="11" t="s">
        <v>191</v>
      </c>
      <c r="F2854" t="s">
        <v>114</v>
      </c>
      <c r="G2854" s="2" t="s">
        <v>31</v>
      </c>
      <c r="H2854" s="1">
        <v>63.494000000000007</v>
      </c>
    </row>
    <row r="2855" spans="1:8" x14ac:dyDescent="0.3">
      <c r="A2855" s="2">
        <v>659</v>
      </c>
      <c r="B2855" t="s">
        <v>1720</v>
      </c>
      <c r="C2855" t="s">
        <v>3224</v>
      </c>
      <c r="D2855" s="2">
        <v>1</v>
      </c>
      <c r="E2855" s="11" t="s">
        <v>1719</v>
      </c>
      <c r="F2855" t="s">
        <v>114</v>
      </c>
      <c r="G2855" s="2" t="s">
        <v>23</v>
      </c>
      <c r="H2855" s="1">
        <v>105.89400000000001</v>
      </c>
    </row>
    <row r="2856" spans="1:8" x14ac:dyDescent="0.3">
      <c r="A2856" s="2">
        <v>659</v>
      </c>
      <c r="B2856" t="s">
        <v>1679</v>
      </c>
      <c r="C2856" t="s">
        <v>2</v>
      </c>
      <c r="D2856" s="2">
        <v>1</v>
      </c>
      <c r="E2856" s="11" t="s">
        <v>1678</v>
      </c>
      <c r="F2856" t="s">
        <v>114</v>
      </c>
      <c r="G2856" s="2" t="s">
        <v>23</v>
      </c>
      <c r="H2856" s="1">
        <v>73.093999999999994</v>
      </c>
    </row>
    <row r="2857" spans="1:8" x14ac:dyDescent="0.3">
      <c r="A2857" s="2">
        <v>659</v>
      </c>
      <c r="B2857" t="s">
        <v>225</v>
      </c>
      <c r="C2857" t="s">
        <v>3224</v>
      </c>
      <c r="D2857" s="2">
        <v>1</v>
      </c>
      <c r="E2857" s="11" t="s">
        <v>191</v>
      </c>
      <c r="F2857" t="s">
        <v>47</v>
      </c>
      <c r="G2857" s="2" t="s">
        <v>31</v>
      </c>
      <c r="H2857" s="1">
        <v>63.494000000000007</v>
      </c>
    </row>
    <row r="2858" spans="1:8" x14ac:dyDescent="0.3">
      <c r="A2858" s="2">
        <v>659</v>
      </c>
      <c r="B2858" t="s">
        <v>221</v>
      </c>
      <c r="C2858" t="s">
        <v>3225</v>
      </c>
      <c r="D2858" s="2">
        <v>1</v>
      </c>
      <c r="E2858" s="11" t="s">
        <v>220</v>
      </c>
      <c r="F2858" t="s">
        <v>47</v>
      </c>
      <c r="G2858" s="2" t="s">
        <v>31</v>
      </c>
      <c r="H2858" s="1">
        <v>195.99400000000003</v>
      </c>
    </row>
    <row r="2859" spans="1:8" x14ac:dyDescent="0.3">
      <c r="A2859" s="2">
        <v>659</v>
      </c>
      <c r="B2859" t="s">
        <v>512</v>
      </c>
      <c r="C2859" t="s">
        <v>3225</v>
      </c>
      <c r="D2859" s="2">
        <v>1</v>
      </c>
      <c r="E2859" s="11" t="s">
        <v>220</v>
      </c>
      <c r="F2859" t="s">
        <v>47</v>
      </c>
      <c r="G2859" s="2" t="s">
        <v>23</v>
      </c>
      <c r="H2859" s="1">
        <v>195.99400000000003</v>
      </c>
    </row>
    <row r="2860" spans="1:8" x14ac:dyDescent="0.3">
      <c r="A2860" s="2">
        <v>659</v>
      </c>
      <c r="B2860" t="s">
        <v>984</v>
      </c>
      <c r="C2860" t="s">
        <v>0</v>
      </c>
      <c r="D2860" s="2">
        <v>1</v>
      </c>
      <c r="E2860" s="11" t="s">
        <v>217</v>
      </c>
      <c r="F2860" t="s">
        <v>47</v>
      </c>
      <c r="G2860" s="2" t="s">
        <v>4</v>
      </c>
      <c r="H2860" s="1">
        <v>142.994</v>
      </c>
    </row>
    <row r="2861" spans="1:8" x14ac:dyDescent="0.3">
      <c r="A2861" s="2">
        <v>659</v>
      </c>
      <c r="B2861" t="s">
        <v>830</v>
      </c>
      <c r="C2861" t="s">
        <v>0</v>
      </c>
      <c r="D2861" s="2">
        <v>1</v>
      </c>
      <c r="E2861" s="11" t="s">
        <v>217</v>
      </c>
      <c r="F2861" t="s">
        <v>47</v>
      </c>
      <c r="G2861" s="2" t="s">
        <v>23</v>
      </c>
      <c r="H2861" s="1">
        <v>142.994</v>
      </c>
    </row>
    <row r="2862" spans="1:8" x14ac:dyDescent="0.3">
      <c r="A2862" s="2">
        <v>659</v>
      </c>
      <c r="B2862" t="s">
        <v>2015</v>
      </c>
      <c r="C2862" t="s">
        <v>0</v>
      </c>
      <c r="D2862" s="2">
        <v>1</v>
      </c>
      <c r="E2862" s="11" t="s">
        <v>1724</v>
      </c>
      <c r="F2862" t="s">
        <v>39</v>
      </c>
      <c r="G2862" s="2" t="s">
        <v>4</v>
      </c>
      <c r="H2862" s="1">
        <v>137.69400000000002</v>
      </c>
    </row>
    <row r="2863" spans="1:8" x14ac:dyDescent="0.3">
      <c r="A2863" s="2">
        <v>659</v>
      </c>
      <c r="B2863" t="s">
        <v>2085</v>
      </c>
      <c r="C2863" t="s">
        <v>0</v>
      </c>
      <c r="D2863" s="2">
        <v>1</v>
      </c>
      <c r="E2863" s="11" t="s">
        <v>217</v>
      </c>
      <c r="F2863" t="s">
        <v>39</v>
      </c>
      <c r="G2863" s="2" t="s">
        <v>31</v>
      </c>
      <c r="H2863" s="1">
        <v>142.994</v>
      </c>
    </row>
    <row r="2864" spans="1:8" x14ac:dyDescent="0.3">
      <c r="A2864" s="2">
        <v>659</v>
      </c>
      <c r="B2864" t="s">
        <v>2084</v>
      </c>
      <c r="C2864" t="s">
        <v>1</v>
      </c>
      <c r="D2864" s="2">
        <v>1</v>
      </c>
      <c r="E2864" s="11" t="s">
        <v>737</v>
      </c>
      <c r="F2864" t="s">
        <v>28</v>
      </c>
      <c r="G2864" s="2" t="s">
        <v>4</v>
      </c>
      <c r="H2864" s="1">
        <v>74.094000000000008</v>
      </c>
    </row>
    <row r="2865" spans="1:8" x14ac:dyDescent="0.3">
      <c r="A2865" s="2">
        <v>659</v>
      </c>
      <c r="B2865" t="s">
        <v>2083</v>
      </c>
      <c r="C2865" t="s">
        <v>1</v>
      </c>
      <c r="D2865" s="2">
        <v>1</v>
      </c>
      <c r="E2865" s="11" t="s">
        <v>737</v>
      </c>
      <c r="F2865" t="s">
        <v>24</v>
      </c>
      <c r="G2865" s="2" t="s">
        <v>31</v>
      </c>
      <c r="H2865" s="1">
        <v>74.094000000000008</v>
      </c>
    </row>
    <row r="2866" spans="1:8" x14ac:dyDescent="0.3">
      <c r="A2866" s="2">
        <v>660</v>
      </c>
      <c r="B2866" t="s">
        <v>238</v>
      </c>
      <c r="C2866" t="s">
        <v>3224</v>
      </c>
      <c r="D2866" s="2">
        <v>1</v>
      </c>
      <c r="E2866" s="11" t="s">
        <v>191</v>
      </c>
      <c r="F2866" t="s">
        <v>114</v>
      </c>
      <c r="G2866" s="2" t="s">
        <v>31</v>
      </c>
      <c r="H2866" s="1">
        <v>63.494000000000007</v>
      </c>
    </row>
    <row r="2867" spans="1:8" x14ac:dyDescent="0.3">
      <c r="A2867" s="2">
        <v>660</v>
      </c>
      <c r="B2867" t="s">
        <v>505</v>
      </c>
      <c r="C2867" t="s">
        <v>3224</v>
      </c>
      <c r="D2867" s="2">
        <v>1</v>
      </c>
      <c r="E2867" s="11" t="s">
        <v>191</v>
      </c>
      <c r="F2867" t="s">
        <v>114</v>
      </c>
      <c r="G2867" s="2" t="s">
        <v>23</v>
      </c>
      <c r="H2867" s="1">
        <v>63.494000000000007</v>
      </c>
    </row>
    <row r="2868" spans="1:8" x14ac:dyDescent="0.3">
      <c r="A2868" s="2">
        <v>660</v>
      </c>
      <c r="B2868" t="s">
        <v>1502</v>
      </c>
      <c r="C2868" t="s">
        <v>2</v>
      </c>
      <c r="D2868" s="2">
        <v>1</v>
      </c>
      <c r="E2868" s="11" t="s">
        <v>60</v>
      </c>
      <c r="F2868" t="s">
        <v>114</v>
      </c>
      <c r="G2868" s="2" t="s">
        <v>4</v>
      </c>
      <c r="H2868" s="1">
        <v>68.794000000000011</v>
      </c>
    </row>
    <row r="2869" spans="1:8" x14ac:dyDescent="0.3">
      <c r="A2869" s="2">
        <v>660</v>
      </c>
      <c r="B2869" t="s">
        <v>1501</v>
      </c>
      <c r="C2869" t="s">
        <v>2</v>
      </c>
      <c r="D2869" s="2">
        <v>1</v>
      </c>
      <c r="E2869" s="11" t="s">
        <v>733</v>
      </c>
      <c r="F2869" t="s">
        <v>114</v>
      </c>
      <c r="G2869" s="2" t="s">
        <v>23</v>
      </c>
      <c r="H2869" s="1">
        <v>132.39400000000001</v>
      </c>
    </row>
    <row r="2870" spans="1:8" x14ac:dyDescent="0.3">
      <c r="A2870" s="2">
        <v>660</v>
      </c>
      <c r="B2870" t="s">
        <v>225</v>
      </c>
      <c r="C2870" t="s">
        <v>3224</v>
      </c>
      <c r="D2870" s="2">
        <v>1</v>
      </c>
      <c r="E2870" s="11" t="s">
        <v>191</v>
      </c>
      <c r="F2870" t="s">
        <v>47</v>
      </c>
      <c r="G2870" s="2" t="s">
        <v>31</v>
      </c>
      <c r="H2870" s="1">
        <v>63.494000000000007</v>
      </c>
    </row>
    <row r="2871" spans="1:8" x14ac:dyDescent="0.3">
      <c r="A2871" s="2">
        <v>660</v>
      </c>
      <c r="B2871" t="s">
        <v>162</v>
      </c>
      <c r="C2871" t="s">
        <v>2</v>
      </c>
      <c r="D2871" s="2">
        <v>1</v>
      </c>
      <c r="E2871" s="11" t="s">
        <v>60</v>
      </c>
      <c r="F2871" t="s">
        <v>47</v>
      </c>
      <c r="G2871" s="2" t="s">
        <v>23</v>
      </c>
      <c r="H2871" s="1">
        <v>68.794000000000011</v>
      </c>
    </row>
    <row r="2872" spans="1:8" x14ac:dyDescent="0.3">
      <c r="A2872" s="2">
        <v>660</v>
      </c>
      <c r="B2872" t="s">
        <v>2082</v>
      </c>
      <c r="C2872" t="s">
        <v>2</v>
      </c>
      <c r="D2872" s="2">
        <v>1</v>
      </c>
      <c r="E2872" s="11" t="s">
        <v>2081</v>
      </c>
      <c r="F2872" t="s">
        <v>39</v>
      </c>
      <c r="G2872" s="2" t="s">
        <v>4</v>
      </c>
      <c r="H2872" s="1">
        <v>74.094000000000008</v>
      </c>
    </row>
    <row r="2873" spans="1:8" x14ac:dyDescent="0.3">
      <c r="A2873" s="2">
        <v>660</v>
      </c>
      <c r="B2873" t="s">
        <v>2017</v>
      </c>
      <c r="C2873" t="s">
        <v>3224</v>
      </c>
      <c r="D2873" s="2">
        <v>1</v>
      </c>
      <c r="E2873" s="11" t="s">
        <v>191</v>
      </c>
      <c r="F2873" t="s">
        <v>39</v>
      </c>
      <c r="G2873" s="2" t="s">
        <v>31</v>
      </c>
      <c r="H2873" s="1">
        <v>63.494000000000007</v>
      </c>
    </row>
    <row r="2874" spans="1:8" x14ac:dyDescent="0.3">
      <c r="A2874" s="2">
        <v>660</v>
      </c>
      <c r="B2874" t="s">
        <v>2055</v>
      </c>
      <c r="C2874" t="s">
        <v>3224</v>
      </c>
      <c r="D2874" s="2">
        <v>1</v>
      </c>
      <c r="E2874" s="11" t="s">
        <v>191</v>
      </c>
      <c r="F2874" t="s">
        <v>39</v>
      </c>
      <c r="G2874" s="2" t="s">
        <v>23</v>
      </c>
      <c r="H2874" s="1">
        <v>63.494000000000007</v>
      </c>
    </row>
    <row r="2875" spans="1:8" x14ac:dyDescent="0.3">
      <c r="A2875" s="2">
        <v>660</v>
      </c>
      <c r="B2875" t="s">
        <v>823</v>
      </c>
      <c r="C2875" t="s">
        <v>2</v>
      </c>
      <c r="D2875" s="2">
        <v>1</v>
      </c>
      <c r="E2875" s="11" t="s">
        <v>733</v>
      </c>
      <c r="F2875" t="s">
        <v>39</v>
      </c>
      <c r="G2875" s="2" t="s">
        <v>31</v>
      </c>
      <c r="H2875" s="1">
        <v>132.39400000000001</v>
      </c>
    </row>
    <row r="2876" spans="1:8" x14ac:dyDescent="0.3">
      <c r="A2876" s="2">
        <v>660</v>
      </c>
      <c r="B2876" t="s">
        <v>822</v>
      </c>
      <c r="C2876" t="s">
        <v>3224</v>
      </c>
      <c r="D2876" s="2">
        <v>1</v>
      </c>
      <c r="E2876" s="11" t="s">
        <v>191</v>
      </c>
      <c r="F2876" t="s">
        <v>36</v>
      </c>
      <c r="G2876" s="2" t="s">
        <v>31</v>
      </c>
      <c r="H2876" s="1">
        <v>63.494000000000007</v>
      </c>
    </row>
    <row r="2877" spans="1:8" x14ac:dyDescent="0.3">
      <c r="A2877" s="2">
        <v>660</v>
      </c>
      <c r="B2877" t="s">
        <v>776</v>
      </c>
      <c r="C2877" t="s">
        <v>2</v>
      </c>
      <c r="D2877" s="2">
        <v>1</v>
      </c>
      <c r="E2877" s="11" t="s">
        <v>60</v>
      </c>
      <c r="F2877" t="s">
        <v>36</v>
      </c>
      <c r="G2877" s="2" t="s">
        <v>23</v>
      </c>
      <c r="H2877" s="1">
        <v>68.794000000000011</v>
      </c>
    </row>
    <row r="2878" spans="1:8" x14ac:dyDescent="0.3">
      <c r="A2878" s="2">
        <v>661</v>
      </c>
      <c r="B2878" t="s">
        <v>1735</v>
      </c>
      <c r="C2878" t="s">
        <v>2</v>
      </c>
      <c r="D2878" s="2">
        <v>1</v>
      </c>
      <c r="E2878" s="11" t="s">
        <v>1678</v>
      </c>
      <c r="F2878" t="s">
        <v>55</v>
      </c>
      <c r="G2878" s="2" t="s">
        <v>23</v>
      </c>
      <c r="H2878" s="1">
        <v>73.093999999999994</v>
      </c>
    </row>
    <row r="2879" spans="1:8" x14ac:dyDescent="0.3">
      <c r="A2879" s="2">
        <v>661</v>
      </c>
      <c r="B2879" t="s">
        <v>2080</v>
      </c>
      <c r="C2879" t="s">
        <v>0</v>
      </c>
      <c r="D2879" s="2">
        <v>1</v>
      </c>
      <c r="E2879" s="11" t="s">
        <v>2079</v>
      </c>
      <c r="F2879" t="s">
        <v>55</v>
      </c>
      <c r="G2879" s="2" t="s">
        <v>23</v>
      </c>
      <c r="H2879" s="1">
        <v>132.39400000000001</v>
      </c>
    </row>
    <row r="2880" spans="1:8" x14ac:dyDescent="0.3">
      <c r="A2880" s="2">
        <v>661</v>
      </c>
      <c r="B2880" t="s">
        <v>2078</v>
      </c>
      <c r="C2880" t="s">
        <v>0</v>
      </c>
      <c r="D2880" s="2">
        <v>1</v>
      </c>
      <c r="E2880" s="11" t="s">
        <v>2048</v>
      </c>
      <c r="F2880" t="s">
        <v>65</v>
      </c>
      <c r="G2880" s="2" t="s">
        <v>23</v>
      </c>
      <c r="H2880" s="1">
        <v>164.19400000000002</v>
      </c>
    </row>
    <row r="2881" spans="1:8" x14ac:dyDescent="0.3">
      <c r="A2881" s="2">
        <v>661</v>
      </c>
      <c r="B2881" t="s">
        <v>2077</v>
      </c>
      <c r="C2881" t="s">
        <v>1</v>
      </c>
      <c r="D2881" s="2">
        <v>1</v>
      </c>
      <c r="E2881" s="11" t="s">
        <v>737</v>
      </c>
      <c r="F2881" t="s">
        <v>126</v>
      </c>
      <c r="G2881" s="2" t="s">
        <v>23</v>
      </c>
      <c r="H2881" s="1">
        <v>74.094000000000008</v>
      </c>
    </row>
    <row r="2882" spans="1:8" x14ac:dyDescent="0.3">
      <c r="A2882" s="2">
        <v>661</v>
      </c>
      <c r="B2882" t="s">
        <v>1684</v>
      </c>
      <c r="C2882" t="s">
        <v>1</v>
      </c>
      <c r="D2882" s="2">
        <v>1</v>
      </c>
      <c r="E2882" s="11" t="s">
        <v>1680</v>
      </c>
      <c r="F2882" t="s">
        <v>62</v>
      </c>
      <c r="G2882" s="2" t="s">
        <v>23</v>
      </c>
      <c r="H2882" s="1">
        <v>58.19400000000001</v>
      </c>
    </row>
    <row r="2883" spans="1:8" x14ac:dyDescent="0.3">
      <c r="A2883" s="2">
        <v>661</v>
      </c>
      <c r="B2883" t="s">
        <v>2076</v>
      </c>
      <c r="C2883" t="s">
        <v>0</v>
      </c>
      <c r="D2883" s="2">
        <v>1</v>
      </c>
      <c r="E2883" s="11" t="s">
        <v>2075</v>
      </c>
      <c r="F2883" t="s">
        <v>62</v>
      </c>
      <c r="G2883" s="2" t="s">
        <v>23</v>
      </c>
      <c r="H2883" s="1">
        <v>148.29400000000001</v>
      </c>
    </row>
    <row r="2884" spans="1:8" x14ac:dyDescent="0.3">
      <c r="A2884" s="2">
        <v>661</v>
      </c>
      <c r="B2884" t="s">
        <v>1756</v>
      </c>
      <c r="C2884" t="s">
        <v>2</v>
      </c>
      <c r="D2884" s="2">
        <v>1</v>
      </c>
      <c r="E2884" s="11" t="s">
        <v>1428</v>
      </c>
      <c r="F2884" t="s">
        <v>36</v>
      </c>
      <c r="G2884" s="2" t="s">
        <v>23</v>
      </c>
      <c r="H2884" s="1">
        <v>100.59400000000001</v>
      </c>
    </row>
    <row r="2885" spans="1:8" x14ac:dyDescent="0.3">
      <c r="A2885" s="2">
        <v>661</v>
      </c>
      <c r="B2885" t="s">
        <v>162</v>
      </c>
      <c r="C2885" t="s">
        <v>2</v>
      </c>
      <c r="D2885" s="2">
        <v>1</v>
      </c>
      <c r="E2885" s="11" t="s">
        <v>60</v>
      </c>
      <c r="F2885" t="s">
        <v>47</v>
      </c>
      <c r="G2885" s="2" t="s">
        <v>23</v>
      </c>
      <c r="H2885" s="1">
        <v>68.794000000000011</v>
      </c>
    </row>
    <row r="2886" spans="1:8" x14ac:dyDescent="0.3">
      <c r="A2886" s="2">
        <v>661</v>
      </c>
      <c r="B2886" t="s">
        <v>2074</v>
      </c>
      <c r="C2886" t="s">
        <v>3225</v>
      </c>
      <c r="D2886" s="2">
        <v>1</v>
      </c>
      <c r="E2886" s="11" t="s">
        <v>2073</v>
      </c>
      <c r="F2886" t="s">
        <v>47</v>
      </c>
      <c r="G2886" s="2" t="s">
        <v>23</v>
      </c>
      <c r="H2886" s="1">
        <v>201.29400000000001</v>
      </c>
    </row>
    <row r="2887" spans="1:8" x14ac:dyDescent="0.3">
      <c r="A2887" s="2">
        <v>661</v>
      </c>
      <c r="B2887" t="s">
        <v>985</v>
      </c>
      <c r="C2887" t="s">
        <v>0</v>
      </c>
      <c r="D2887" s="2">
        <v>1</v>
      </c>
      <c r="E2887" s="11" t="s">
        <v>336</v>
      </c>
      <c r="F2887" t="s">
        <v>47</v>
      </c>
      <c r="G2887" s="2" t="s">
        <v>23</v>
      </c>
      <c r="H2887" s="1">
        <v>201.29400000000001</v>
      </c>
    </row>
    <row r="2888" spans="1:8" x14ac:dyDescent="0.3">
      <c r="A2888" s="2">
        <v>661</v>
      </c>
      <c r="B2888" t="s">
        <v>1447</v>
      </c>
      <c r="C2888" t="s">
        <v>3224</v>
      </c>
      <c r="D2888" s="2">
        <v>1</v>
      </c>
      <c r="E2888" s="11" t="s">
        <v>1223</v>
      </c>
      <c r="F2888" t="s">
        <v>47</v>
      </c>
      <c r="G2888" s="2" t="s">
        <v>23</v>
      </c>
      <c r="H2888" s="1">
        <v>52.893999999999998</v>
      </c>
    </row>
    <row r="2889" spans="1:8" x14ac:dyDescent="0.3">
      <c r="A2889" s="2">
        <v>661</v>
      </c>
      <c r="B2889" t="s">
        <v>1667</v>
      </c>
      <c r="C2889" t="s">
        <v>0</v>
      </c>
      <c r="D2889" s="2">
        <v>1</v>
      </c>
      <c r="E2889" s="11" t="s">
        <v>1584</v>
      </c>
      <c r="F2889" t="s">
        <v>39</v>
      </c>
      <c r="G2889" s="2" t="s">
        <v>23</v>
      </c>
      <c r="H2889" s="1">
        <v>169.49400000000003</v>
      </c>
    </row>
    <row r="2890" spans="1:8" x14ac:dyDescent="0.3">
      <c r="A2890" s="2">
        <v>661</v>
      </c>
      <c r="B2890" t="s">
        <v>2072</v>
      </c>
      <c r="C2890" t="s">
        <v>2</v>
      </c>
      <c r="D2890" s="2">
        <v>1</v>
      </c>
      <c r="E2890" s="11" t="s">
        <v>2053</v>
      </c>
      <c r="F2890" t="s">
        <v>39</v>
      </c>
      <c r="G2890" s="2" t="s">
        <v>23</v>
      </c>
      <c r="H2890" s="1">
        <v>121.79400000000001</v>
      </c>
    </row>
    <row r="2891" spans="1:8" x14ac:dyDescent="0.3">
      <c r="A2891" s="2">
        <v>661</v>
      </c>
      <c r="B2891" t="s">
        <v>2071</v>
      </c>
      <c r="C2891" t="s">
        <v>1</v>
      </c>
      <c r="D2891" s="2">
        <v>1</v>
      </c>
      <c r="E2891" s="11" t="s">
        <v>1241</v>
      </c>
      <c r="F2891" t="s">
        <v>39</v>
      </c>
      <c r="G2891" s="2" t="s">
        <v>23</v>
      </c>
      <c r="H2891" s="1">
        <v>74.094000000000008</v>
      </c>
    </row>
    <row r="2892" spans="1:8" x14ac:dyDescent="0.3">
      <c r="A2892" s="2">
        <v>661</v>
      </c>
      <c r="B2892" t="s">
        <v>1748</v>
      </c>
      <c r="C2892" t="s">
        <v>2</v>
      </c>
      <c r="D2892" s="2">
        <v>1</v>
      </c>
      <c r="E2892" s="11" t="s">
        <v>1288</v>
      </c>
      <c r="F2892" t="s">
        <v>39</v>
      </c>
      <c r="G2892" s="2" t="s">
        <v>23</v>
      </c>
      <c r="H2892" s="1">
        <v>89.994000000000014</v>
      </c>
    </row>
    <row r="2893" spans="1:8" x14ac:dyDescent="0.3">
      <c r="A2893" s="2">
        <v>661</v>
      </c>
      <c r="B2893" t="s">
        <v>2070</v>
      </c>
      <c r="C2893" t="s">
        <v>1</v>
      </c>
      <c r="D2893" s="2">
        <v>1</v>
      </c>
      <c r="E2893" s="11" t="s">
        <v>1774</v>
      </c>
      <c r="F2893" t="s">
        <v>36</v>
      </c>
      <c r="G2893" s="2" t="s">
        <v>23</v>
      </c>
      <c r="H2893" s="1">
        <v>89.994000000000014</v>
      </c>
    </row>
    <row r="2894" spans="1:8" x14ac:dyDescent="0.3">
      <c r="A2894" s="2">
        <v>661</v>
      </c>
      <c r="B2894" t="s">
        <v>1455</v>
      </c>
      <c r="C2894" t="s">
        <v>1</v>
      </c>
      <c r="D2894" s="2">
        <v>1</v>
      </c>
      <c r="E2894" s="11" t="s">
        <v>1454</v>
      </c>
      <c r="F2894" t="s">
        <v>28</v>
      </c>
      <c r="G2894" s="2" t="s">
        <v>23</v>
      </c>
      <c r="H2894" s="1">
        <v>79.394000000000005</v>
      </c>
    </row>
    <row r="2895" spans="1:8" x14ac:dyDescent="0.3">
      <c r="A2895" s="2">
        <v>661</v>
      </c>
      <c r="B2895" t="s">
        <v>2069</v>
      </c>
      <c r="C2895" t="s">
        <v>1</v>
      </c>
      <c r="D2895" s="2">
        <v>1</v>
      </c>
      <c r="E2895" s="11" t="s">
        <v>737</v>
      </c>
      <c r="F2895" t="s">
        <v>28</v>
      </c>
      <c r="G2895" s="2" t="s">
        <v>23</v>
      </c>
      <c r="H2895" s="1">
        <v>74.094000000000008</v>
      </c>
    </row>
    <row r="2896" spans="1:8" x14ac:dyDescent="0.3">
      <c r="A2896" s="2">
        <v>661</v>
      </c>
      <c r="B2896" t="s">
        <v>1721</v>
      </c>
      <c r="C2896" t="s">
        <v>2</v>
      </c>
      <c r="D2896" s="2">
        <v>1</v>
      </c>
      <c r="E2896" s="11" t="s">
        <v>1428</v>
      </c>
      <c r="F2896" t="s">
        <v>28</v>
      </c>
      <c r="G2896" s="2" t="s">
        <v>23</v>
      </c>
      <c r="H2896" s="1">
        <v>100.59400000000001</v>
      </c>
    </row>
    <row r="2897" spans="1:8" x14ac:dyDescent="0.3">
      <c r="A2897" s="2">
        <v>661</v>
      </c>
      <c r="B2897" t="s">
        <v>2068</v>
      </c>
      <c r="C2897" t="s">
        <v>1</v>
      </c>
      <c r="D2897" s="2">
        <v>1</v>
      </c>
      <c r="E2897" s="11" t="s">
        <v>737</v>
      </c>
      <c r="F2897" t="s">
        <v>24</v>
      </c>
      <c r="G2897" s="2" t="s">
        <v>23</v>
      </c>
      <c r="H2897" s="1">
        <v>74.094000000000008</v>
      </c>
    </row>
    <row r="2898" spans="1:8" x14ac:dyDescent="0.3">
      <c r="A2898" s="2">
        <v>662</v>
      </c>
      <c r="B2898" t="s">
        <v>2067</v>
      </c>
      <c r="C2898" t="s">
        <v>3224</v>
      </c>
      <c r="D2898" s="2">
        <v>1</v>
      </c>
      <c r="E2898" s="11" t="s">
        <v>1719</v>
      </c>
      <c r="F2898" t="s">
        <v>55</v>
      </c>
      <c r="G2898" s="2" t="s">
        <v>23</v>
      </c>
      <c r="H2898" s="1">
        <v>105.89400000000001</v>
      </c>
    </row>
    <row r="2899" spans="1:8" x14ac:dyDescent="0.3">
      <c r="A2899" s="2">
        <v>662</v>
      </c>
      <c r="B2899" t="s">
        <v>1735</v>
      </c>
      <c r="C2899" t="s">
        <v>2</v>
      </c>
      <c r="D2899" s="2">
        <v>1</v>
      </c>
      <c r="E2899" s="11" t="s">
        <v>1678</v>
      </c>
      <c r="F2899" t="s">
        <v>55</v>
      </c>
      <c r="G2899" s="2" t="s">
        <v>23</v>
      </c>
      <c r="H2899" s="1">
        <v>73.093999999999994</v>
      </c>
    </row>
    <row r="2900" spans="1:8" x14ac:dyDescent="0.3">
      <c r="A2900" s="2">
        <v>662</v>
      </c>
      <c r="B2900" t="s">
        <v>2056</v>
      </c>
      <c r="C2900" t="s">
        <v>0</v>
      </c>
      <c r="D2900" s="2">
        <v>1</v>
      </c>
      <c r="E2900" s="11" t="s">
        <v>1481</v>
      </c>
      <c r="F2900" t="s">
        <v>28</v>
      </c>
      <c r="G2900" s="2" t="s">
        <v>31</v>
      </c>
      <c r="H2900" s="1">
        <v>195.99400000000003</v>
      </c>
    </row>
    <row r="2901" spans="1:8" x14ac:dyDescent="0.3">
      <c r="A2901" s="2">
        <v>662</v>
      </c>
      <c r="B2901" t="s">
        <v>1728</v>
      </c>
      <c r="C2901" t="s">
        <v>0</v>
      </c>
      <c r="D2901" s="2">
        <v>1</v>
      </c>
      <c r="E2901" s="11" t="s">
        <v>1481</v>
      </c>
      <c r="F2901" t="s">
        <v>28</v>
      </c>
      <c r="G2901" s="2" t="s">
        <v>23</v>
      </c>
      <c r="H2901" s="1">
        <v>195.99400000000003</v>
      </c>
    </row>
    <row r="2902" spans="1:8" x14ac:dyDescent="0.3">
      <c r="A2902" s="2">
        <v>662</v>
      </c>
      <c r="B2902" t="s">
        <v>505</v>
      </c>
      <c r="C2902" t="s">
        <v>3224</v>
      </c>
      <c r="D2902" s="2">
        <v>1</v>
      </c>
      <c r="E2902" s="11" t="s">
        <v>191</v>
      </c>
      <c r="F2902" t="s">
        <v>114</v>
      </c>
      <c r="G2902" s="2" t="s">
        <v>23</v>
      </c>
      <c r="H2902" s="1">
        <v>63.494000000000007</v>
      </c>
    </row>
    <row r="2903" spans="1:8" x14ac:dyDescent="0.3">
      <c r="A2903" s="2">
        <v>662</v>
      </c>
      <c r="B2903" t="s">
        <v>2055</v>
      </c>
      <c r="C2903" t="s">
        <v>3224</v>
      </c>
      <c r="D2903" s="2">
        <v>1</v>
      </c>
      <c r="E2903" s="11" t="s">
        <v>191</v>
      </c>
      <c r="F2903" t="s">
        <v>39</v>
      </c>
      <c r="G2903" s="2" t="s">
        <v>23</v>
      </c>
      <c r="H2903" s="1">
        <v>63.494000000000007</v>
      </c>
    </row>
    <row r="2904" spans="1:8" x14ac:dyDescent="0.3">
      <c r="A2904" s="2">
        <v>662</v>
      </c>
      <c r="B2904" t="s">
        <v>2066</v>
      </c>
      <c r="C2904" t="s">
        <v>2</v>
      </c>
      <c r="D2904" s="2">
        <v>1</v>
      </c>
      <c r="E2904" s="11" t="s">
        <v>1428</v>
      </c>
      <c r="F2904" t="s">
        <v>39</v>
      </c>
      <c r="G2904" s="2" t="s">
        <v>23</v>
      </c>
      <c r="H2904" s="1">
        <v>100.59400000000001</v>
      </c>
    </row>
    <row r="2905" spans="1:8" x14ac:dyDescent="0.3">
      <c r="A2905" s="2">
        <v>662</v>
      </c>
      <c r="B2905" t="s">
        <v>1290</v>
      </c>
      <c r="C2905" t="s">
        <v>2</v>
      </c>
      <c r="D2905" s="2">
        <v>1</v>
      </c>
      <c r="E2905" s="11" t="s">
        <v>1288</v>
      </c>
      <c r="F2905" t="s">
        <v>28</v>
      </c>
      <c r="G2905" s="2" t="s">
        <v>4</v>
      </c>
      <c r="H2905" s="1">
        <v>89.994000000000014</v>
      </c>
    </row>
    <row r="2906" spans="1:8" x14ac:dyDescent="0.3">
      <c r="A2906" s="2">
        <v>662</v>
      </c>
      <c r="B2906" t="s">
        <v>1372</v>
      </c>
      <c r="C2906" t="s">
        <v>2</v>
      </c>
      <c r="D2906" s="2">
        <v>1</v>
      </c>
      <c r="E2906" s="11" t="s">
        <v>1288</v>
      </c>
      <c r="F2906" t="s">
        <v>28</v>
      </c>
      <c r="G2906" s="2" t="s">
        <v>23</v>
      </c>
      <c r="H2906" s="1">
        <v>89.994000000000014</v>
      </c>
    </row>
    <row r="2907" spans="1:8" x14ac:dyDescent="0.3">
      <c r="A2907" s="2">
        <v>662</v>
      </c>
      <c r="B2907" t="s">
        <v>1371</v>
      </c>
      <c r="C2907" t="s">
        <v>3233</v>
      </c>
      <c r="D2907" s="2">
        <v>1</v>
      </c>
      <c r="E2907" s="11" t="s">
        <v>258</v>
      </c>
      <c r="F2907" t="s">
        <v>28</v>
      </c>
      <c r="G2907" s="2" t="s">
        <v>4</v>
      </c>
      <c r="H2907" s="1">
        <v>79.394000000000005</v>
      </c>
    </row>
    <row r="2908" spans="1:8" x14ac:dyDescent="0.3">
      <c r="A2908" s="2">
        <v>662</v>
      </c>
      <c r="B2908" t="s">
        <v>1369</v>
      </c>
      <c r="C2908" t="s">
        <v>3233</v>
      </c>
      <c r="D2908" s="2">
        <v>2</v>
      </c>
      <c r="E2908" s="11" t="s">
        <v>258</v>
      </c>
      <c r="F2908" t="s">
        <v>28</v>
      </c>
      <c r="G2908" s="2" t="s">
        <v>23</v>
      </c>
      <c r="H2908" s="1">
        <v>79.394000000000005</v>
      </c>
    </row>
    <row r="2909" spans="1:8" x14ac:dyDescent="0.3">
      <c r="A2909" s="2">
        <v>663</v>
      </c>
      <c r="B2909" t="s">
        <v>2065</v>
      </c>
      <c r="C2909" t="s">
        <v>0</v>
      </c>
      <c r="D2909" s="2">
        <v>1</v>
      </c>
      <c r="E2909" s="11" t="s">
        <v>2060</v>
      </c>
      <c r="F2909" t="s">
        <v>65</v>
      </c>
      <c r="G2909" s="2" t="s">
        <v>4</v>
      </c>
      <c r="H2909" s="1">
        <v>158.89400000000001</v>
      </c>
    </row>
    <row r="2910" spans="1:8" x14ac:dyDescent="0.3">
      <c r="A2910" s="2">
        <v>663</v>
      </c>
      <c r="B2910" t="s">
        <v>2064</v>
      </c>
      <c r="C2910" t="s">
        <v>0</v>
      </c>
      <c r="D2910" s="2">
        <v>1</v>
      </c>
      <c r="E2910" s="12" t="s">
        <v>2063</v>
      </c>
      <c r="F2910" t="s">
        <v>81</v>
      </c>
      <c r="G2910" s="2" t="s">
        <v>4</v>
      </c>
      <c r="H2910" s="1">
        <v>153.59400000000002</v>
      </c>
    </row>
    <row r="2911" spans="1:8" x14ac:dyDescent="0.3">
      <c r="A2911" s="2">
        <v>663</v>
      </c>
      <c r="B2911" t="s">
        <v>649</v>
      </c>
      <c r="C2911" t="s">
        <v>3220</v>
      </c>
      <c r="D2911" s="2">
        <v>1</v>
      </c>
      <c r="E2911" s="11" t="s">
        <v>647</v>
      </c>
      <c r="F2911" t="s">
        <v>254</v>
      </c>
      <c r="G2911" s="2" t="s">
        <v>31</v>
      </c>
      <c r="H2911" s="1">
        <v>15.793999999999999</v>
      </c>
    </row>
    <row r="2912" spans="1:8" x14ac:dyDescent="0.3">
      <c r="A2912" s="2">
        <v>663</v>
      </c>
      <c r="B2912" t="s">
        <v>1763</v>
      </c>
      <c r="C2912" t="s">
        <v>2</v>
      </c>
      <c r="D2912" s="2">
        <v>1</v>
      </c>
      <c r="E2912" s="11" t="s">
        <v>1288</v>
      </c>
      <c r="F2912" t="s">
        <v>254</v>
      </c>
      <c r="G2912" s="2" t="s">
        <v>31</v>
      </c>
      <c r="H2912" s="1">
        <v>89.994000000000014</v>
      </c>
    </row>
    <row r="2913" spans="1:8" x14ac:dyDescent="0.3">
      <c r="A2913" s="2">
        <v>663</v>
      </c>
      <c r="B2913" t="s">
        <v>259</v>
      </c>
      <c r="C2913" t="s">
        <v>3233</v>
      </c>
      <c r="D2913" s="2">
        <v>1</v>
      </c>
      <c r="E2913" s="11" t="s">
        <v>258</v>
      </c>
      <c r="F2913" t="s">
        <v>254</v>
      </c>
      <c r="G2913" s="2" t="s">
        <v>31</v>
      </c>
      <c r="H2913" s="1">
        <v>79.394000000000005</v>
      </c>
    </row>
    <row r="2914" spans="1:8" x14ac:dyDescent="0.3">
      <c r="A2914" s="2">
        <v>663</v>
      </c>
      <c r="B2914" t="s">
        <v>1899</v>
      </c>
      <c r="C2914" t="s">
        <v>3</v>
      </c>
      <c r="D2914" s="2">
        <v>1</v>
      </c>
      <c r="E2914" s="11" t="s">
        <v>1884</v>
      </c>
      <c r="F2914" t="s">
        <v>62</v>
      </c>
      <c r="G2914" s="2" t="s">
        <v>4</v>
      </c>
      <c r="H2914" s="1">
        <v>100.59400000000001</v>
      </c>
    </row>
    <row r="2915" spans="1:8" x14ac:dyDescent="0.3">
      <c r="A2915" s="2">
        <v>663</v>
      </c>
      <c r="B2915" t="s">
        <v>1646</v>
      </c>
      <c r="C2915" t="s">
        <v>1</v>
      </c>
      <c r="D2915" s="2">
        <v>1</v>
      </c>
      <c r="E2915" s="11" t="s">
        <v>1645</v>
      </c>
      <c r="F2915" t="s">
        <v>114</v>
      </c>
      <c r="G2915" s="2" t="s">
        <v>31</v>
      </c>
      <c r="H2915" s="1">
        <v>63.494000000000007</v>
      </c>
    </row>
    <row r="2916" spans="1:8" x14ac:dyDescent="0.3">
      <c r="A2916" s="2">
        <v>663</v>
      </c>
      <c r="B2916" t="s">
        <v>2062</v>
      </c>
      <c r="C2916" t="s">
        <v>3</v>
      </c>
      <c r="D2916" s="2">
        <v>1</v>
      </c>
      <c r="E2916" s="11" t="s">
        <v>1940</v>
      </c>
      <c r="F2916" t="s">
        <v>47</v>
      </c>
      <c r="G2916" s="2" t="s">
        <v>4</v>
      </c>
      <c r="H2916" s="1">
        <v>100.59400000000001</v>
      </c>
    </row>
    <row r="2917" spans="1:8" x14ac:dyDescent="0.3">
      <c r="A2917" s="2">
        <v>663</v>
      </c>
      <c r="B2917" t="s">
        <v>2061</v>
      </c>
      <c r="C2917" t="s">
        <v>0</v>
      </c>
      <c r="D2917" s="2">
        <v>1</v>
      </c>
      <c r="E2917" s="11" t="s">
        <v>2060</v>
      </c>
      <c r="F2917" t="s">
        <v>47</v>
      </c>
      <c r="G2917" s="2" t="s">
        <v>31</v>
      </c>
      <c r="H2917" s="1">
        <v>158.89400000000001</v>
      </c>
    </row>
    <row r="2918" spans="1:8" x14ac:dyDescent="0.3">
      <c r="A2918" s="2">
        <v>663</v>
      </c>
      <c r="B2918" t="s">
        <v>1552</v>
      </c>
      <c r="C2918" t="s">
        <v>0</v>
      </c>
      <c r="D2918" s="2">
        <v>1</v>
      </c>
      <c r="E2918" s="11" t="s">
        <v>1551</v>
      </c>
      <c r="F2918" t="s">
        <v>39</v>
      </c>
      <c r="G2918" s="2" t="s">
        <v>4</v>
      </c>
      <c r="H2918" s="1">
        <v>121.79400000000001</v>
      </c>
    </row>
    <row r="2919" spans="1:8" x14ac:dyDescent="0.3">
      <c r="A2919" s="2">
        <v>663</v>
      </c>
      <c r="B2919" t="s">
        <v>2059</v>
      </c>
      <c r="C2919" t="s">
        <v>3220</v>
      </c>
      <c r="D2919" s="2">
        <v>1</v>
      </c>
      <c r="E2919" s="11" t="s">
        <v>647</v>
      </c>
      <c r="F2919" t="s">
        <v>39</v>
      </c>
      <c r="G2919" s="2" t="s">
        <v>4</v>
      </c>
      <c r="H2919" s="1">
        <v>15.793999999999999</v>
      </c>
    </row>
    <row r="2920" spans="1:8" x14ac:dyDescent="0.3">
      <c r="A2920" s="2">
        <v>663</v>
      </c>
      <c r="B2920" t="s">
        <v>2058</v>
      </c>
      <c r="C2920" t="s">
        <v>2</v>
      </c>
      <c r="D2920" s="2">
        <v>1</v>
      </c>
      <c r="E2920" s="11" t="s">
        <v>1288</v>
      </c>
      <c r="F2920" t="s">
        <v>39</v>
      </c>
      <c r="G2920" s="2" t="s">
        <v>4</v>
      </c>
      <c r="H2920" s="1">
        <v>89.994000000000014</v>
      </c>
    </row>
    <row r="2921" spans="1:8" x14ac:dyDescent="0.3">
      <c r="A2921" s="2">
        <v>663</v>
      </c>
      <c r="B2921" t="s">
        <v>1981</v>
      </c>
      <c r="C2921" t="s">
        <v>3233</v>
      </c>
      <c r="D2921" s="2">
        <v>1</v>
      </c>
      <c r="E2921" s="11" t="s">
        <v>258</v>
      </c>
      <c r="F2921" t="s">
        <v>39</v>
      </c>
      <c r="G2921" s="2" t="s">
        <v>4</v>
      </c>
      <c r="H2921" s="1">
        <v>79.394000000000005</v>
      </c>
    </row>
    <row r="2922" spans="1:8" x14ac:dyDescent="0.3">
      <c r="A2922" s="2">
        <v>663</v>
      </c>
      <c r="B2922" t="s">
        <v>2057</v>
      </c>
      <c r="C2922" t="s">
        <v>1</v>
      </c>
      <c r="D2922" s="2">
        <v>1</v>
      </c>
      <c r="E2922" s="11" t="s">
        <v>1990</v>
      </c>
      <c r="F2922" t="s">
        <v>28</v>
      </c>
      <c r="G2922" s="2" t="s">
        <v>4</v>
      </c>
      <c r="H2922" s="1">
        <v>58.19400000000001</v>
      </c>
    </row>
    <row r="2923" spans="1:8" x14ac:dyDescent="0.3">
      <c r="A2923" s="2">
        <v>664</v>
      </c>
      <c r="B2923" t="s">
        <v>273</v>
      </c>
      <c r="C2923" t="s">
        <v>0</v>
      </c>
      <c r="D2923" s="2">
        <v>1</v>
      </c>
      <c r="E2923" s="11" t="s">
        <v>272</v>
      </c>
      <c r="F2923" t="s">
        <v>28</v>
      </c>
      <c r="G2923" s="2" t="s">
        <v>23</v>
      </c>
      <c r="H2923" s="1">
        <v>174.79400000000001</v>
      </c>
    </row>
    <row r="2924" spans="1:8" x14ac:dyDescent="0.3">
      <c r="A2924" s="2">
        <v>664</v>
      </c>
      <c r="B2924" t="s">
        <v>2056</v>
      </c>
      <c r="C2924" t="s">
        <v>0</v>
      </c>
      <c r="D2924" s="2">
        <v>1</v>
      </c>
      <c r="E2924" s="11" t="s">
        <v>1481</v>
      </c>
      <c r="F2924" t="s">
        <v>28</v>
      </c>
      <c r="G2924" s="2" t="s">
        <v>31</v>
      </c>
      <c r="H2924" s="1">
        <v>195.99400000000003</v>
      </c>
    </row>
    <row r="2925" spans="1:8" x14ac:dyDescent="0.3">
      <c r="A2925" s="2">
        <v>664</v>
      </c>
      <c r="B2925" t="s">
        <v>238</v>
      </c>
      <c r="C2925" t="s">
        <v>3224</v>
      </c>
      <c r="D2925" s="2">
        <v>1</v>
      </c>
      <c r="E2925" s="11" t="s">
        <v>191</v>
      </c>
      <c r="F2925" t="s">
        <v>114</v>
      </c>
      <c r="G2925" s="2" t="s">
        <v>31</v>
      </c>
      <c r="H2925" s="1">
        <v>63.494000000000007</v>
      </c>
    </row>
    <row r="2926" spans="1:8" x14ac:dyDescent="0.3">
      <c r="A2926" s="2">
        <v>664</v>
      </c>
      <c r="B2926" t="s">
        <v>505</v>
      </c>
      <c r="C2926" t="s">
        <v>3224</v>
      </c>
      <c r="D2926" s="2">
        <v>2</v>
      </c>
      <c r="E2926" s="11" t="s">
        <v>191</v>
      </c>
      <c r="F2926" t="s">
        <v>114</v>
      </c>
      <c r="G2926" s="2" t="s">
        <v>23</v>
      </c>
      <c r="H2926" s="1">
        <v>63.494000000000007</v>
      </c>
    </row>
    <row r="2927" spans="1:8" x14ac:dyDescent="0.3">
      <c r="A2927" s="2">
        <v>664</v>
      </c>
      <c r="B2927" t="s">
        <v>225</v>
      </c>
      <c r="C2927" t="s">
        <v>3224</v>
      </c>
      <c r="D2927" s="2">
        <v>1</v>
      </c>
      <c r="E2927" s="11" t="s">
        <v>191</v>
      </c>
      <c r="F2927" t="s">
        <v>47</v>
      </c>
      <c r="G2927" s="2" t="s">
        <v>31</v>
      </c>
      <c r="H2927" s="1">
        <v>63.494000000000007</v>
      </c>
    </row>
    <row r="2928" spans="1:8" x14ac:dyDescent="0.3">
      <c r="A2928" s="2">
        <v>664</v>
      </c>
      <c r="B2928" t="s">
        <v>221</v>
      </c>
      <c r="C2928" t="s">
        <v>3225</v>
      </c>
      <c r="D2928" s="2">
        <v>1</v>
      </c>
      <c r="E2928" s="11" t="s">
        <v>220</v>
      </c>
      <c r="F2928" t="s">
        <v>47</v>
      </c>
      <c r="G2928" s="2" t="s">
        <v>31</v>
      </c>
      <c r="H2928" s="1">
        <v>195.99400000000003</v>
      </c>
    </row>
    <row r="2929" spans="1:8" x14ac:dyDescent="0.3">
      <c r="A2929" s="2">
        <v>664</v>
      </c>
      <c r="B2929" t="s">
        <v>1430</v>
      </c>
      <c r="C2929" t="s">
        <v>2</v>
      </c>
      <c r="D2929" s="2">
        <v>1</v>
      </c>
      <c r="E2929" s="11" t="s">
        <v>1428</v>
      </c>
      <c r="F2929" t="s">
        <v>47</v>
      </c>
      <c r="G2929" s="2" t="s">
        <v>31</v>
      </c>
      <c r="H2929" s="1">
        <v>100.59400000000001</v>
      </c>
    </row>
    <row r="2930" spans="1:8" x14ac:dyDescent="0.3">
      <c r="A2930" s="2">
        <v>664</v>
      </c>
      <c r="B2930" t="s">
        <v>2017</v>
      </c>
      <c r="C2930" t="s">
        <v>3224</v>
      </c>
      <c r="D2930" s="2">
        <v>2</v>
      </c>
      <c r="E2930" s="11" t="s">
        <v>191</v>
      </c>
      <c r="F2930" t="s">
        <v>39</v>
      </c>
      <c r="G2930" s="2" t="s">
        <v>31</v>
      </c>
      <c r="H2930" s="1">
        <v>63.494000000000007</v>
      </c>
    </row>
    <row r="2931" spans="1:8" x14ac:dyDescent="0.3">
      <c r="A2931" s="2">
        <v>664</v>
      </c>
      <c r="B2931" t="s">
        <v>2055</v>
      </c>
      <c r="C2931" t="s">
        <v>3224</v>
      </c>
      <c r="D2931" s="2">
        <v>3</v>
      </c>
      <c r="E2931" s="11" t="s">
        <v>191</v>
      </c>
      <c r="F2931" t="s">
        <v>39</v>
      </c>
      <c r="G2931" s="2" t="s">
        <v>23</v>
      </c>
      <c r="H2931" s="1">
        <v>63.494000000000007</v>
      </c>
    </row>
    <row r="2932" spans="1:8" x14ac:dyDescent="0.3">
      <c r="A2932" s="2">
        <v>664</v>
      </c>
      <c r="B2932" t="s">
        <v>2054</v>
      </c>
      <c r="C2932" t="s">
        <v>2</v>
      </c>
      <c r="D2932" s="2">
        <v>1</v>
      </c>
      <c r="E2932" s="11" t="s">
        <v>2053</v>
      </c>
      <c r="F2932" t="s">
        <v>39</v>
      </c>
      <c r="G2932" s="2" t="s">
        <v>31</v>
      </c>
      <c r="H2932" s="1">
        <v>121.79400000000001</v>
      </c>
    </row>
    <row r="2933" spans="1:8" x14ac:dyDescent="0.3">
      <c r="A2933" s="2">
        <v>664</v>
      </c>
      <c r="B2933" t="s">
        <v>545</v>
      </c>
      <c r="C2933" t="s">
        <v>3225</v>
      </c>
      <c r="D2933" s="2">
        <v>2</v>
      </c>
      <c r="E2933" s="11" t="s">
        <v>220</v>
      </c>
      <c r="F2933" t="s">
        <v>39</v>
      </c>
      <c r="G2933" s="2" t="s">
        <v>31</v>
      </c>
      <c r="H2933" s="1">
        <v>195.99400000000003</v>
      </c>
    </row>
    <row r="2934" spans="1:8" x14ac:dyDescent="0.3">
      <c r="A2934" s="2">
        <v>664</v>
      </c>
      <c r="B2934" t="s">
        <v>582</v>
      </c>
      <c r="C2934" t="s">
        <v>3225</v>
      </c>
      <c r="D2934" s="2">
        <v>1</v>
      </c>
      <c r="E2934" s="11" t="s">
        <v>220</v>
      </c>
      <c r="F2934" t="s">
        <v>39</v>
      </c>
      <c r="G2934" s="2" t="s">
        <v>23</v>
      </c>
      <c r="H2934" s="1">
        <v>195.99400000000003</v>
      </c>
    </row>
    <row r="2935" spans="1:8" x14ac:dyDescent="0.3">
      <c r="A2935" s="2">
        <v>665</v>
      </c>
      <c r="B2935" t="s">
        <v>225</v>
      </c>
      <c r="C2935" t="s">
        <v>3224</v>
      </c>
      <c r="D2935" s="2">
        <v>1</v>
      </c>
      <c r="E2935" s="11" t="s">
        <v>191</v>
      </c>
      <c r="F2935" t="s">
        <v>47</v>
      </c>
      <c r="G2935" s="2" t="s">
        <v>31</v>
      </c>
      <c r="H2935" s="1">
        <v>63.494000000000007</v>
      </c>
    </row>
    <row r="2936" spans="1:8" x14ac:dyDescent="0.3">
      <c r="A2936" s="2">
        <v>665</v>
      </c>
      <c r="B2936" t="s">
        <v>583</v>
      </c>
      <c r="C2936" t="s">
        <v>3225</v>
      </c>
      <c r="D2936" s="2">
        <v>1</v>
      </c>
      <c r="E2936" s="11" t="s">
        <v>220</v>
      </c>
      <c r="F2936" t="s">
        <v>47</v>
      </c>
      <c r="G2936" s="2" t="s">
        <v>4</v>
      </c>
      <c r="H2936" s="1">
        <v>195.99400000000003</v>
      </c>
    </row>
    <row r="2937" spans="1:8" x14ac:dyDescent="0.3">
      <c r="A2937" s="2">
        <v>665</v>
      </c>
      <c r="B2937" t="s">
        <v>221</v>
      </c>
      <c r="C2937" t="s">
        <v>3225</v>
      </c>
      <c r="D2937" s="2">
        <v>1</v>
      </c>
      <c r="E2937" s="11" t="s">
        <v>220</v>
      </c>
      <c r="F2937" t="s">
        <v>47</v>
      </c>
      <c r="G2937" s="2" t="s">
        <v>31</v>
      </c>
      <c r="H2937" s="1">
        <v>195.99400000000003</v>
      </c>
    </row>
    <row r="2938" spans="1:8" x14ac:dyDescent="0.3">
      <c r="A2938" s="2">
        <v>665</v>
      </c>
      <c r="B2938" t="s">
        <v>512</v>
      </c>
      <c r="C2938" t="s">
        <v>3225</v>
      </c>
      <c r="D2938" s="2">
        <v>1</v>
      </c>
      <c r="E2938" s="11" t="s">
        <v>220</v>
      </c>
      <c r="F2938" t="s">
        <v>47</v>
      </c>
      <c r="G2938" s="2" t="s">
        <v>23</v>
      </c>
      <c r="H2938" s="1">
        <v>195.99400000000003</v>
      </c>
    </row>
    <row r="2939" spans="1:8" x14ac:dyDescent="0.3">
      <c r="A2939" s="2">
        <v>665</v>
      </c>
      <c r="B2939" t="s">
        <v>1984</v>
      </c>
      <c r="C2939" t="s">
        <v>3</v>
      </c>
      <c r="D2939" s="2">
        <v>1</v>
      </c>
      <c r="E2939" s="11" t="s">
        <v>1195</v>
      </c>
      <c r="F2939" t="s">
        <v>47</v>
      </c>
      <c r="G2939" s="2" t="s">
        <v>4</v>
      </c>
      <c r="H2939" s="1">
        <v>116.49400000000001</v>
      </c>
    </row>
    <row r="2940" spans="1:8" x14ac:dyDescent="0.3">
      <c r="A2940" s="2">
        <v>665</v>
      </c>
      <c r="B2940" t="s">
        <v>1921</v>
      </c>
      <c r="C2940" t="s">
        <v>3</v>
      </c>
      <c r="D2940" s="2">
        <v>1</v>
      </c>
      <c r="E2940" s="11" t="s">
        <v>1195</v>
      </c>
      <c r="F2940" t="s">
        <v>47</v>
      </c>
      <c r="G2940" s="2" t="s">
        <v>31</v>
      </c>
      <c r="H2940" s="1">
        <v>116.49400000000001</v>
      </c>
    </row>
    <row r="2941" spans="1:8" x14ac:dyDescent="0.3">
      <c r="A2941" s="2">
        <v>665</v>
      </c>
      <c r="B2941" t="s">
        <v>1920</v>
      </c>
      <c r="C2941" t="s">
        <v>3</v>
      </c>
      <c r="D2941" s="2">
        <v>1</v>
      </c>
      <c r="E2941" s="11" t="s">
        <v>1195</v>
      </c>
      <c r="F2941" t="s">
        <v>47</v>
      </c>
      <c r="G2941" s="2" t="s">
        <v>23</v>
      </c>
      <c r="H2941" s="1">
        <v>116.49400000000001</v>
      </c>
    </row>
    <row r="2942" spans="1:8" x14ac:dyDescent="0.3">
      <c r="A2942" s="2">
        <v>665</v>
      </c>
      <c r="B2942" t="s">
        <v>2006</v>
      </c>
      <c r="C2942" t="s">
        <v>3225</v>
      </c>
      <c r="D2942" s="2">
        <v>1</v>
      </c>
      <c r="E2942" s="11" t="s">
        <v>220</v>
      </c>
      <c r="F2942" t="s">
        <v>39</v>
      </c>
      <c r="G2942" s="2" t="s">
        <v>4</v>
      </c>
      <c r="H2942" s="1">
        <v>195.99400000000003</v>
      </c>
    </row>
    <row r="2943" spans="1:8" x14ac:dyDescent="0.3">
      <c r="A2943" s="2">
        <v>665</v>
      </c>
      <c r="B2943" t="s">
        <v>545</v>
      </c>
      <c r="C2943" t="s">
        <v>3225</v>
      </c>
      <c r="D2943" s="2">
        <v>1</v>
      </c>
      <c r="E2943" s="11" t="s">
        <v>220</v>
      </c>
      <c r="F2943" t="s">
        <v>39</v>
      </c>
      <c r="G2943" s="2" t="s">
        <v>31</v>
      </c>
      <c r="H2943" s="1">
        <v>195.99400000000003</v>
      </c>
    </row>
    <row r="2944" spans="1:8" x14ac:dyDescent="0.3">
      <c r="A2944" s="2">
        <v>665</v>
      </c>
      <c r="B2944" t="s">
        <v>582</v>
      </c>
      <c r="C2944" t="s">
        <v>3225</v>
      </c>
      <c r="D2944" s="2">
        <v>1</v>
      </c>
      <c r="E2944" s="11" t="s">
        <v>220</v>
      </c>
      <c r="F2944" t="s">
        <v>39</v>
      </c>
      <c r="G2944" s="2" t="s">
        <v>23</v>
      </c>
      <c r="H2944" s="1">
        <v>195.99400000000003</v>
      </c>
    </row>
    <row r="2945" spans="1:8" x14ac:dyDescent="0.3">
      <c r="A2945" s="2">
        <v>665</v>
      </c>
      <c r="B2945" t="s">
        <v>2052</v>
      </c>
      <c r="C2945" t="s">
        <v>3224</v>
      </c>
      <c r="D2945" s="2">
        <v>1</v>
      </c>
      <c r="E2945" s="11" t="s">
        <v>191</v>
      </c>
      <c r="F2945" t="s">
        <v>36</v>
      </c>
      <c r="G2945" s="2" t="s">
        <v>4</v>
      </c>
      <c r="H2945" s="1">
        <v>63.494000000000007</v>
      </c>
    </row>
    <row r="2946" spans="1:8" x14ac:dyDescent="0.3">
      <c r="A2946" s="2">
        <v>665</v>
      </c>
      <c r="B2946" t="s">
        <v>822</v>
      </c>
      <c r="C2946" t="s">
        <v>3224</v>
      </c>
      <c r="D2946" s="2">
        <v>1</v>
      </c>
      <c r="E2946" s="11" t="s">
        <v>191</v>
      </c>
      <c r="F2946" t="s">
        <v>36</v>
      </c>
      <c r="G2946" s="2" t="s">
        <v>31</v>
      </c>
      <c r="H2946" s="1">
        <v>63.494000000000007</v>
      </c>
    </row>
    <row r="2947" spans="1:8" x14ac:dyDescent="0.3">
      <c r="A2947" s="2">
        <v>665</v>
      </c>
      <c r="B2947" t="s">
        <v>2051</v>
      </c>
      <c r="C2947" t="s">
        <v>0</v>
      </c>
      <c r="D2947" s="2">
        <v>1</v>
      </c>
      <c r="E2947" s="11" t="s">
        <v>2048</v>
      </c>
      <c r="F2947" t="s">
        <v>28</v>
      </c>
      <c r="G2947" s="2" t="s">
        <v>4</v>
      </c>
      <c r="H2947" s="1">
        <v>164.19400000000002</v>
      </c>
    </row>
    <row r="2948" spans="1:8" x14ac:dyDescent="0.3">
      <c r="A2948" s="2">
        <v>665</v>
      </c>
      <c r="B2948" t="s">
        <v>2050</v>
      </c>
      <c r="C2948" t="s">
        <v>0</v>
      </c>
      <c r="D2948" s="2">
        <v>1</v>
      </c>
      <c r="E2948" s="11" t="s">
        <v>2048</v>
      </c>
      <c r="F2948" t="s">
        <v>28</v>
      </c>
      <c r="G2948" s="2" t="s">
        <v>31</v>
      </c>
      <c r="H2948" s="1">
        <v>164.19400000000002</v>
      </c>
    </row>
    <row r="2949" spans="1:8" x14ac:dyDescent="0.3">
      <c r="A2949" s="2">
        <v>665</v>
      </c>
      <c r="B2949" t="s">
        <v>2049</v>
      </c>
      <c r="C2949" t="s">
        <v>0</v>
      </c>
      <c r="D2949" s="2">
        <v>1</v>
      </c>
      <c r="E2949" s="11" t="s">
        <v>2048</v>
      </c>
      <c r="F2949" t="s">
        <v>28</v>
      </c>
      <c r="G2949" s="2" t="s">
        <v>23</v>
      </c>
      <c r="H2949" s="1">
        <v>164.19400000000002</v>
      </c>
    </row>
    <row r="2950" spans="1:8" x14ac:dyDescent="0.3">
      <c r="A2950" s="2">
        <v>666</v>
      </c>
      <c r="B2950" t="s">
        <v>1410</v>
      </c>
      <c r="C2950" t="s">
        <v>3225</v>
      </c>
      <c r="D2950" s="2">
        <v>1</v>
      </c>
      <c r="E2950" s="11" t="s">
        <v>1409</v>
      </c>
      <c r="F2950" t="s">
        <v>55</v>
      </c>
      <c r="G2950" s="2" t="s">
        <v>23</v>
      </c>
      <c r="H2950" s="1">
        <v>158.89400000000001</v>
      </c>
    </row>
    <row r="2951" spans="1:8" x14ac:dyDescent="0.3">
      <c r="A2951" s="2">
        <v>666</v>
      </c>
      <c r="B2951" t="s">
        <v>2047</v>
      </c>
      <c r="C2951" t="s">
        <v>0</v>
      </c>
      <c r="D2951" s="2">
        <v>1</v>
      </c>
      <c r="E2951" s="11" t="s">
        <v>1083</v>
      </c>
      <c r="F2951" t="s">
        <v>55</v>
      </c>
      <c r="G2951" s="2" t="s">
        <v>31</v>
      </c>
      <c r="H2951" s="1">
        <v>169.49400000000003</v>
      </c>
    </row>
    <row r="2952" spans="1:8" x14ac:dyDescent="0.3">
      <c r="A2952" s="2">
        <v>666</v>
      </c>
      <c r="B2952" t="s">
        <v>2046</v>
      </c>
      <c r="C2952" t="s">
        <v>1</v>
      </c>
      <c r="D2952" s="2">
        <v>1</v>
      </c>
      <c r="E2952" s="11" t="s">
        <v>1645</v>
      </c>
      <c r="F2952" t="s">
        <v>55</v>
      </c>
      <c r="G2952" s="2" t="s">
        <v>31</v>
      </c>
      <c r="H2952" s="1">
        <v>63.494000000000007</v>
      </c>
    </row>
    <row r="2953" spans="1:8" x14ac:dyDescent="0.3">
      <c r="A2953" s="2">
        <v>666</v>
      </c>
      <c r="B2953" t="s">
        <v>2045</v>
      </c>
      <c r="C2953" t="s">
        <v>3</v>
      </c>
      <c r="D2953" s="2">
        <v>1</v>
      </c>
      <c r="E2953" s="11" t="s">
        <v>1535</v>
      </c>
      <c r="F2953" t="s">
        <v>55</v>
      </c>
      <c r="G2953" s="2" t="s">
        <v>31</v>
      </c>
      <c r="H2953" s="1">
        <v>95.294000000000011</v>
      </c>
    </row>
    <row r="2954" spans="1:8" x14ac:dyDescent="0.3">
      <c r="A2954" s="2">
        <v>666</v>
      </c>
      <c r="B2954" t="s">
        <v>992</v>
      </c>
      <c r="C2954" t="s">
        <v>3225</v>
      </c>
      <c r="D2954" s="2">
        <v>1</v>
      </c>
      <c r="E2954" s="11" t="s">
        <v>220</v>
      </c>
      <c r="F2954" t="s">
        <v>55</v>
      </c>
      <c r="G2954" s="2" t="s">
        <v>23</v>
      </c>
      <c r="H2954" s="1">
        <v>195.99400000000003</v>
      </c>
    </row>
    <row r="2955" spans="1:8" x14ac:dyDescent="0.3">
      <c r="A2955" s="2">
        <v>666</v>
      </c>
      <c r="B2955" t="s">
        <v>131</v>
      </c>
      <c r="C2955" t="s">
        <v>3219</v>
      </c>
      <c r="D2955" s="2">
        <v>1</v>
      </c>
      <c r="E2955" s="11" t="s">
        <v>102</v>
      </c>
      <c r="F2955" t="s">
        <v>65</v>
      </c>
      <c r="G2955" s="2" t="s">
        <v>4</v>
      </c>
      <c r="H2955" s="1">
        <v>121.79400000000001</v>
      </c>
    </row>
    <row r="2956" spans="1:8" x14ac:dyDescent="0.3">
      <c r="A2956" s="2">
        <v>666</v>
      </c>
      <c r="B2956" t="s">
        <v>1900</v>
      </c>
      <c r="C2956" t="s">
        <v>3224</v>
      </c>
      <c r="D2956" s="2">
        <v>1</v>
      </c>
      <c r="E2956" s="11" t="s">
        <v>1685</v>
      </c>
      <c r="F2956" t="s">
        <v>65</v>
      </c>
      <c r="G2956" s="2" t="s">
        <v>4</v>
      </c>
      <c r="H2956" s="1">
        <v>79.394000000000005</v>
      </c>
    </row>
    <row r="2957" spans="1:8" x14ac:dyDescent="0.3">
      <c r="A2957" s="2">
        <v>666</v>
      </c>
      <c r="B2957" t="s">
        <v>2044</v>
      </c>
      <c r="C2957" t="s">
        <v>3224</v>
      </c>
      <c r="D2957" s="2">
        <v>1</v>
      </c>
      <c r="E2957" s="11" t="s">
        <v>1685</v>
      </c>
      <c r="F2957" t="s">
        <v>65</v>
      </c>
      <c r="G2957" s="2" t="s">
        <v>31</v>
      </c>
      <c r="H2957" s="1">
        <v>79.394000000000005</v>
      </c>
    </row>
    <row r="2958" spans="1:8" x14ac:dyDescent="0.3">
      <c r="A2958" s="2">
        <v>666</v>
      </c>
      <c r="B2958" t="s">
        <v>1768</v>
      </c>
      <c r="C2958" t="s">
        <v>3</v>
      </c>
      <c r="D2958" s="2">
        <v>1</v>
      </c>
      <c r="E2958" s="11" t="s">
        <v>1767</v>
      </c>
      <c r="F2958" t="s">
        <v>65</v>
      </c>
      <c r="G2958" s="2" t="s">
        <v>4</v>
      </c>
      <c r="H2958" s="1">
        <v>95.294000000000011</v>
      </c>
    </row>
    <row r="2959" spans="1:8" x14ac:dyDescent="0.3">
      <c r="A2959" s="2">
        <v>666</v>
      </c>
      <c r="B2959" t="s">
        <v>2043</v>
      </c>
      <c r="C2959" t="s">
        <v>3</v>
      </c>
      <c r="D2959" s="2">
        <v>1</v>
      </c>
      <c r="E2959" s="11" t="s">
        <v>1767</v>
      </c>
      <c r="F2959" t="s">
        <v>65</v>
      </c>
      <c r="G2959" s="2" t="s">
        <v>31</v>
      </c>
      <c r="H2959" s="1">
        <v>95.294000000000011</v>
      </c>
    </row>
    <row r="2960" spans="1:8" x14ac:dyDescent="0.3">
      <c r="A2960" s="2">
        <v>666</v>
      </c>
      <c r="B2960" t="s">
        <v>2042</v>
      </c>
      <c r="C2960" t="s">
        <v>1</v>
      </c>
      <c r="D2960" s="2">
        <v>1</v>
      </c>
      <c r="E2960" s="11" t="s">
        <v>2018</v>
      </c>
      <c r="F2960" t="s">
        <v>126</v>
      </c>
      <c r="G2960" s="2" t="s">
        <v>31</v>
      </c>
      <c r="H2960" s="1">
        <v>79.394000000000005</v>
      </c>
    </row>
    <row r="2961" spans="1:8" x14ac:dyDescent="0.3">
      <c r="A2961" s="2">
        <v>666</v>
      </c>
      <c r="B2961" t="s">
        <v>1692</v>
      </c>
      <c r="C2961" t="s">
        <v>0</v>
      </c>
      <c r="D2961" s="2">
        <v>1</v>
      </c>
      <c r="E2961" s="11" t="s">
        <v>1584</v>
      </c>
      <c r="F2961" t="s">
        <v>126</v>
      </c>
      <c r="G2961" s="2" t="s">
        <v>4</v>
      </c>
      <c r="H2961" s="1">
        <v>169.49400000000003</v>
      </c>
    </row>
    <row r="2962" spans="1:8" x14ac:dyDescent="0.3">
      <c r="A2962" s="2">
        <v>666</v>
      </c>
      <c r="B2962" t="s">
        <v>1976</v>
      </c>
      <c r="C2962" t="s">
        <v>3365</v>
      </c>
      <c r="D2962" s="2">
        <v>1</v>
      </c>
      <c r="E2962" s="11" t="s">
        <v>1541</v>
      </c>
      <c r="F2962" t="s">
        <v>126</v>
      </c>
      <c r="G2962" s="2" t="s">
        <v>31</v>
      </c>
      <c r="H2962" s="1">
        <v>137.69400000000002</v>
      </c>
    </row>
    <row r="2963" spans="1:8" x14ac:dyDescent="0.3">
      <c r="A2963" s="2">
        <v>666</v>
      </c>
      <c r="B2963" t="s">
        <v>1469</v>
      </c>
      <c r="C2963" t="s">
        <v>1</v>
      </c>
      <c r="D2963" s="2">
        <v>1</v>
      </c>
      <c r="E2963" s="11" t="s">
        <v>1454</v>
      </c>
      <c r="F2963" t="s">
        <v>62</v>
      </c>
      <c r="G2963" s="2" t="s">
        <v>31</v>
      </c>
      <c r="H2963" s="1">
        <v>79.394000000000005</v>
      </c>
    </row>
    <row r="2964" spans="1:8" x14ac:dyDescent="0.3">
      <c r="A2964" s="2">
        <v>666</v>
      </c>
      <c r="B2964" t="s">
        <v>2041</v>
      </c>
      <c r="C2964" t="s">
        <v>3224</v>
      </c>
      <c r="D2964" s="2">
        <v>2</v>
      </c>
      <c r="E2964" s="11" t="s">
        <v>1685</v>
      </c>
      <c r="F2964" t="s">
        <v>62</v>
      </c>
      <c r="G2964" s="2" t="s">
        <v>23</v>
      </c>
      <c r="H2964" s="1">
        <v>79.394000000000005</v>
      </c>
    </row>
    <row r="2965" spans="1:8" x14ac:dyDescent="0.3">
      <c r="A2965" s="2">
        <v>666</v>
      </c>
      <c r="B2965" t="s">
        <v>2008</v>
      </c>
      <c r="C2965" t="s">
        <v>3</v>
      </c>
      <c r="D2965" s="2">
        <v>2</v>
      </c>
      <c r="E2965" s="11" t="s">
        <v>1767</v>
      </c>
      <c r="F2965" t="s">
        <v>62</v>
      </c>
      <c r="G2965" s="2" t="s">
        <v>23</v>
      </c>
      <c r="H2965" s="1">
        <v>95.294000000000011</v>
      </c>
    </row>
    <row r="2966" spans="1:8" x14ac:dyDescent="0.3">
      <c r="A2966" s="2">
        <v>666</v>
      </c>
      <c r="B2966" t="s">
        <v>2040</v>
      </c>
      <c r="C2966" t="s">
        <v>3224</v>
      </c>
      <c r="D2966" s="2">
        <v>1</v>
      </c>
      <c r="E2966" s="11" t="s">
        <v>2039</v>
      </c>
      <c r="F2966" t="s">
        <v>254</v>
      </c>
      <c r="G2966" s="2" t="s">
        <v>31</v>
      </c>
      <c r="H2966" s="1">
        <v>79.394000000000005</v>
      </c>
    </row>
    <row r="2967" spans="1:8" x14ac:dyDescent="0.3">
      <c r="A2967" s="2">
        <v>666</v>
      </c>
      <c r="B2967" t="s">
        <v>2038</v>
      </c>
      <c r="C2967" t="s">
        <v>2</v>
      </c>
      <c r="D2967" s="2">
        <v>1</v>
      </c>
      <c r="E2967" s="11" t="s">
        <v>2037</v>
      </c>
      <c r="F2967" t="s">
        <v>254</v>
      </c>
      <c r="G2967" s="2" t="s">
        <v>31</v>
      </c>
      <c r="H2967" s="1">
        <v>100.59400000000001</v>
      </c>
    </row>
    <row r="2968" spans="1:8" x14ac:dyDescent="0.3">
      <c r="A2968" s="2">
        <v>666</v>
      </c>
      <c r="B2968" t="s">
        <v>2036</v>
      </c>
      <c r="C2968" t="s">
        <v>3</v>
      </c>
      <c r="D2968" s="2">
        <v>1</v>
      </c>
      <c r="E2968" s="11" t="s">
        <v>2033</v>
      </c>
      <c r="F2968" t="s">
        <v>254</v>
      </c>
      <c r="G2968" s="2" t="s">
        <v>4</v>
      </c>
      <c r="H2968" s="1">
        <v>68.794000000000011</v>
      </c>
    </row>
    <row r="2969" spans="1:8" x14ac:dyDescent="0.3">
      <c r="A2969" s="2">
        <v>666</v>
      </c>
      <c r="B2969" t="s">
        <v>2035</v>
      </c>
      <c r="C2969" t="s">
        <v>3</v>
      </c>
      <c r="D2969" s="2">
        <v>1</v>
      </c>
      <c r="E2969" s="11" t="s">
        <v>2033</v>
      </c>
      <c r="F2969" t="s">
        <v>254</v>
      </c>
      <c r="G2969" s="2" t="s">
        <v>31</v>
      </c>
      <c r="H2969" s="1">
        <v>68.794000000000011</v>
      </c>
    </row>
    <row r="2970" spans="1:8" x14ac:dyDescent="0.3">
      <c r="A2970" s="2">
        <v>666</v>
      </c>
      <c r="B2970" t="s">
        <v>2034</v>
      </c>
      <c r="C2970" t="s">
        <v>3</v>
      </c>
      <c r="D2970" s="2">
        <v>1</v>
      </c>
      <c r="E2970" s="11" t="s">
        <v>2033</v>
      </c>
      <c r="F2970" t="s">
        <v>254</v>
      </c>
      <c r="G2970" s="2" t="s">
        <v>23</v>
      </c>
      <c r="H2970" s="1">
        <v>68.794000000000011</v>
      </c>
    </row>
    <row r="2971" spans="1:8" x14ac:dyDescent="0.3">
      <c r="A2971" s="2">
        <v>666</v>
      </c>
      <c r="B2971" t="s">
        <v>2032</v>
      </c>
      <c r="C2971" t="s">
        <v>0</v>
      </c>
      <c r="D2971" s="2">
        <v>1</v>
      </c>
      <c r="E2971" s="11" t="s">
        <v>2031</v>
      </c>
      <c r="F2971" t="s">
        <v>254</v>
      </c>
      <c r="G2971" s="2" t="s">
        <v>31</v>
      </c>
      <c r="H2971" s="1">
        <v>185.39400000000001</v>
      </c>
    </row>
    <row r="2972" spans="1:8" x14ac:dyDescent="0.3">
      <c r="A2972" s="2">
        <v>666</v>
      </c>
      <c r="B2972" t="s">
        <v>2030</v>
      </c>
      <c r="C2972" t="s">
        <v>2</v>
      </c>
      <c r="D2972" s="2">
        <v>1</v>
      </c>
      <c r="E2972" s="11" t="s">
        <v>1288</v>
      </c>
      <c r="F2972" t="s">
        <v>254</v>
      </c>
      <c r="G2972" s="2" t="s">
        <v>23</v>
      </c>
      <c r="H2972" s="1">
        <v>89.994000000000014</v>
      </c>
    </row>
    <row r="2973" spans="1:8" x14ac:dyDescent="0.3">
      <c r="A2973" s="2">
        <v>666</v>
      </c>
      <c r="B2973" t="s">
        <v>1793</v>
      </c>
      <c r="C2973" t="s">
        <v>3233</v>
      </c>
      <c r="D2973" s="2">
        <v>1</v>
      </c>
      <c r="E2973" s="11" t="s">
        <v>258</v>
      </c>
      <c r="F2973" t="s">
        <v>254</v>
      </c>
      <c r="G2973" s="2" t="s">
        <v>23</v>
      </c>
      <c r="H2973" s="1">
        <v>79.394000000000005</v>
      </c>
    </row>
    <row r="2974" spans="1:8" x14ac:dyDescent="0.3">
      <c r="A2974" s="2">
        <v>666</v>
      </c>
      <c r="B2974" t="s">
        <v>1867</v>
      </c>
      <c r="C2974" t="s">
        <v>3219</v>
      </c>
      <c r="D2974" s="2">
        <v>1</v>
      </c>
      <c r="E2974" s="11" t="s">
        <v>102</v>
      </c>
      <c r="F2974" t="s">
        <v>62</v>
      </c>
      <c r="G2974" s="2" t="s">
        <v>31</v>
      </c>
      <c r="H2974" s="1">
        <v>121.79400000000001</v>
      </c>
    </row>
    <row r="2975" spans="1:8" x14ac:dyDescent="0.3">
      <c r="A2975" s="2">
        <v>666</v>
      </c>
      <c r="B2975" t="s">
        <v>1129</v>
      </c>
      <c r="C2975" t="s">
        <v>3219</v>
      </c>
      <c r="D2975" s="2">
        <v>1</v>
      </c>
      <c r="E2975" s="11" t="s">
        <v>102</v>
      </c>
      <c r="F2975" t="s">
        <v>62</v>
      </c>
      <c r="G2975" s="2" t="s">
        <v>23</v>
      </c>
      <c r="H2975" s="1">
        <v>121.79400000000001</v>
      </c>
    </row>
    <row r="2976" spans="1:8" x14ac:dyDescent="0.3">
      <c r="A2976" s="2">
        <v>666</v>
      </c>
      <c r="B2976" t="s">
        <v>2029</v>
      </c>
      <c r="C2976" t="s">
        <v>1</v>
      </c>
      <c r="D2976" s="2">
        <v>1</v>
      </c>
      <c r="E2976" s="11" t="s">
        <v>1995</v>
      </c>
      <c r="F2976" t="s">
        <v>62</v>
      </c>
      <c r="G2976" s="2" t="s">
        <v>4</v>
      </c>
      <c r="H2976" s="1">
        <v>105.89400000000001</v>
      </c>
    </row>
    <row r="2977" spans="1:8" x14ac:dyDescent="0.3">
      <c r="A2977" s="2">
        <v>666</v>
      </c>
      <c r="B2977" t="s">
        <v>2028</v>
      </c>
      <c r="C2977" t="s">
        <v>0</v>
      </c>
      <c r="D2977" s="2">
        <v>1</v>
      </c>
      <c r="E2977" s="11" t="s">
        <v>1960</v>
      </c>
      <c r="F2977" t="s">
        <v>62</v>
      </c>
      <c r="G2977" s="2" t="s">
        <v>31</v>
      </c>
      <c r="H2977" s="1">
        <v>132.39400000000001</v>
      </c>
    </row>
    <row r="2978" spans="1:8" x14ac:dyDescent="0.3">
      <c r="A2978" s="2">
        <v>666</v>
      </c>
      <c r="B2978" t="s">
        <v>1127</v>
      </c>
      <c r="C2978" t="s">
        <v>3219</v>
      </c>
      <c r="D2978" s="2">
        <v>1</v>
      </c>
      <c r="E2978" s="11" t="s">
        <v>102</v>
      </c>
      <c r="F2978" t="s">
        <v>55</v>
      </c>
      <c r="G2978" s="2" t="s">
        <v>31</v>
      </c>
      <c r="H2978" s="1">
        <v>121.79400000000001</v>
      </c>
    </row>
    <row r="2979" spans="1:8" x14ac:dyDescent="0.3">
      <c r="A2979" s="2">
        <v>666</v>
      </c>
      <c r="B2979" t="s">
        <v>123</v>
      </c>
      <c r="C2979" t="s">
        <v>3219</v>
      </c>
      <c r="D2979" s="2">
        <v>1</v>
      </c>
      <c r="E2979" s="11" t="s">
        <v>102</v>
      </c>
      <c r="F2979" t="s">
        <v>55</v>
      </c>
      <c r="G2979" s="2" t="s">
        <v>23</v>
      </c>
      <c r="H2979" s="1">
        <v>121.79400000000001</v>
      </c>
    </row>
    <row r="2980" spans="1:8" x14ac:dyDescent="0.3">
      <c r="A2980" s="2">
        <v>666</v>
      </c>
      <c r="B2980" t="s">
        <v>2027</v>
      </c>
      <c r="C2980" t="s">
        <v>3365</v>
      </c>
      <c r="D2980" s="2">
        <v>1</v>
      </c>
      <c r="E2980" s="11" t="s">
        <v>1541</v>
      </c>
      <c r="F2980" t="s">
        <v>55</v>
      </c>
      <c r="G2980" s="2" t="s">
        <v>23</v>
      </c>
      <c r="H2980" s="1">
        <v>137.69400000000002</v>
      </c>
    </row>
    <row r="2981" spans="1:8" x14ac:dyDescent="0.3">
      <c r="A2981" s="2">
        <v>666</v>
      </c>
      <c r="B2981" t="s">
        <v>2026</v>
      </c>
      <c r="C2981" t="s">
        <v>1</v>
      </c>
      <c r="D2981" s="2">
        <v>1</v>
      </c>
      <c r="E2981" s="11" t="s">
        <v>1995</v>
      </c>
      <c r="F2981" t="s">
        <v>959</v>
      </c>
      <c r="G2981" s="2" t="s">
        <v>23</v>
      </c>
      <c r="H2981" s="1">
        <v>105.89400000000001</v>
      </c>
    </row>
    <row r="2982" spans="1:8" x14ac:dyDescent="0.3">
      <c r="A2982" s="2">
        <v>666</v>
      </c>
      <c r="B2982" t="s">
        <v>2025</v>
      </c>
      <c r="C2982" t="s">
        <v>0</v>
      </c>
      <c r="D2982" s="2">
        <v>1</v>
      </c>
      <c r="E2982" s="11" t="s">
        <v>1960</v>
      </c>
      <c r="F2982" t="s">
        <v>959</v>
      </c>
      <c r="G2982" s="2" t="s">
        <v>23</v>
      </c>
      <c r="H2982" s="1">
        <v>132.39400000000001</v>
      </c>
    </row>
    <row r="2983" spans="1:8" x14ac:dyDescent="0.3">
      <c r="A2983" s="2">
        <v>666</v>
      </c>
      <c r="B2983" t="s">
        <v>240</v>
      </c>
      <c r="C2983" t="s">
        <v>3225</v>
      </c>
      <c r="D2983" s="2">
        <v>1</v>
      </c>
      <c r="E2983" s="11" t="s">
        <v>239</v>
      </c>
      <c r="F2983" t="s">
        <v>114</v>
      </c>
      <c r="G2983" s="2" t="s">
        <v>23</v>
      </c>
      <c r="H2983" s="1">
        <v>148.29400000000001</v>
      </c>
    </row>
    <row r="2984" spans="1:8" x14ac:dyDescent="0.3">
      <c r="A2984" s="2">
        <v>666</v>
      </c>
      <c r="B2984" t="s">
        <v>1415</v>
      </c>
      <c r="C2984" t="s">
        <v>1</v>
      </c>
      <c r="D2984" s="2">
        <v>1</v>
      </c>
      <c r="E2984" s="11" t="s">
        <v>189</v>
      </c>
      <c r="F2984" t="s">
        <v>114</v>
      </c>
      <c r="G2984" s="2" t="s">
        <v>4</v>
      </c>
      <c r="H2984" s="1">
        <v>63.494000000000007</v>
      </c>
    </row>
    <row r="2985" spans="1:8" x14ac:dyDescent="0.3">
      <c r="A2985" s="2">
        <v>666</v>
      </c>
      <c r="B2985" t="s">
        <v>1837</v>
      </c>
      <c r="C2985" t="s">
        <v>1</v>
      </c>
      <c r="D2985" s="2">
        <v>1</v>
      </c>
      <c r="E2985" s="11" t="s">
        <v>1645</v>
      </c>
      <c r="F2985" t="s">
        <v>114</v>
      </c>
      <c r="G2985" s="2" t="s">
        <v>23</v>
      </c>
      <c r="H2985" s="1">
        <v>63.494000000000007</v>
      </c>
    </row>
    <row r="2986" spans="1:8" x14ac:dyDescent="0.3">
      <c r="A2986" s="2">
        <v>666</v>
      </c>
      <c r="B2986" t="s">
        <v>2024</v>
      </c>
      <c r="C2986" t="s">
        <v>3</v>
      </c>
      <c r="D2986" s="2">
        <v>1</v>
      </c>
      <c r="E2986" s="11" t="s">
        <v>1535</v>
      </c>
      <c r="F2986" t="s">
        <v>114</v>
      </c>
      <c r="G2986" s="2" t="s">
        <v>23</v>
      </c>
      <c r="H2986" s="1">
        <v>95.294000000000011</v>
      </c>
    </row>
    <row r="2987" spans="1:8" x14ac:dyDescent="0.3">
      <c r="A2987" s="2">
        <v>666</v>
      </c>
      <c r="B2987" t="s">
        <v>2023</v>
      </c>
      <c r="C2987" t="s">
        <v>3219</v>
      </c>
      <c r="D2987" s="2">
        <v>1</v>
      </c>
      <c r="E2987" s="11" t="s">
        <v>102</v>
      </c>
      <c r="F2987" t="s">
        <v>2021</v>
      </c>
      <c r="G2987" s="2" t="s">
        <v>31</v>
      </c>
      <c r="H2987" s="1">
        <v>121.79400000000001</v>
      </c>
    </row>
    <row r="2988" spans="1:8" x14ac:dyDescent="0.3">
      <c r="A2988" s="2">
        <v>666</v>
      </c>
      <c r="B2988" t="s">
        <v>2022</v>
      </c>
      <c r="C2988" t="s">
        <v>3219</v>
      </c>
      <c r="D2988" s="2">
        <v>2</v>
      </c>
      <c r="E2988" s="11" t="s">
        <v>102</v>
      </c>
      <c r="F2988" t="s">
        <v>2021</v>
      </c>
      <c r="G2988" s="2" t="s">
        <v>23</v>
      </c>
      <c r="H2988" s="1">
        <v>121.79400000000001</v>
      </c>
    </row>
    <row r="2989" spans="1:8" x14ac:dyDescent="0.3">
      <c r="A2989" s="2">
        <v>666</v>
      </c>
      <c r="B2989" t="s">
        <v>1580</v>
      </c>
      <c r="C2989" t="s">
        <v>3219</v>
      </c>
      <c r="D2989" s="2">
        <v>1</v>
      </c>
      <c r="E2989" s="11" t="s">
        <v>102</v>
      </c>
      <c r="F2989" t="s">
        <v>47</v>
      </c>
      <c r="G2989" s="2" t="s">
        <v>31</v>
      </c>
      <c r="H2989" s="1">
        <v>121.79400000000001</v>
      </c>
    </row>
    <row r="2990" spans="1:8" x14ac:dyDescent="0.3">
      <c r="A2990" s="2">
        <v>666</v>
      </c>
      <c r="B2990" t="s">
        <v>2020</v>
      </c>
      <c r="C2990" t="s">
        <v>1</v>
      </c>
      <c r="D2990" s="2">
        <v>1</v>
      </c>
      <c r="E2990" s="11" t="s">
        <v>189</v>
      </c>
      <c r="F2990" t="s">
        <v>47</v>
      </c>
      <c r="G2990" s="2" t="s">
        <v>31</v>
      </c>
      <c r="H2990" s="1">
        <v>63.494000000000007</v>
      </c>
    </row>
    <row r="2991" spans="1:8" x14ac:dyDescent="0.3">
      <c r="A2991" s="2">
        <v>666</v>
      </c>
      <c r="B2991" t="s">
        <v>1915</v>
      </c>
      <c r="C2991" t="s">
        <v>3219</v>
      </c>
      <c r="D2991" s="2">
        <v>1</v>
      </c>
      <c r="E2991" s="11" t="s">
        <v>1561</v>
      </c>
      <c r="F2991" t="s">
        <v>47</v>
      </c>
      <c r="G2991" s="2" t="s">
        <v>4</v>
      </c>
      <c r="H2991" s="1">
        <v>148.29400000000001</v>
      </c>
    </row>
    <row r="2992" spans="1:8" x14ac:dyDescent="0.3">
      <c r="A2992" s="2">
        <v>666</v>
      </c>
      <c r="B2992" t="s">
        <v>1413</v>
      </c>
      <c r="C2992" t="s">
        <v>0</v>
      </c>
      <c r="D2992" s="2">
        <v>1</v>
      </c>
      <c r="E2992" s="11" t="s">
        <v>267</v>
      </c>
      <c r="F2992" t="s">
        <v>47</v>
      </c>
      <c r="G2992" s="2" t="s">
        <v>31</v>
      </c>
      <c r="H2992" s="1">
        <v>158.89400000000001</v>
      </c>
    </row>
    <row r="2993" spans="1:8" x14ac:dyDescent="0.3">
      <c r="A2993" s="2">
        <v>666</v>
      </c>
      <c r="B2993" t="s">
        <v>1984</v>
      </c>
      <c r="C2993" t="s">
        <v>3</v>
      </c>
      <c r="D2993" s="2">
        <v>1</v>
      </c>
      <c r="E2993" s="11" t="s">
        <v>1195</v>
      </c>
      <c r="F2993" t="s">
        <v>47</v>
      </c>
      <c r="G2993" s="2" t="s">
        <v>4</v>
      </c>
      <c r="H2993" s="1">
        <v>116.49400000000001</v>
      </c>
    </row>
    <row r="2994" spans="1:8" x14ac:dyDescent="0.3">
      <c r="A2994" s="2">
        <v>666</v>
      </c>
      <c r="B2994" t="s">
        <v>1921</v>
      </c>
      <c r="C2994" t="s">
        <v>3</v>
      </c>
      <c r="D2994" s="2">
        <v>1</v>
      </c>
      <c r="E2994" s="11" t="s">
        <v>1195</v>
      </c>
      <c r="F2994" t="s">
        <v>47</v>
      </c>
      <c r="G2994" s="2" t="s">
        <v>31</v>
      </c>
      <c r="H2994" s="1">
        <v>116.49400000000001</v>
      </c>
    </row>
    <row r="2995" spans="1:8" x14ac:dyDescent="0.3">
      <c r="A2995" s="2">
        <v>666</v>
      </c>
      <c r="B2995" t="s">
        <v>1920</v>
      </c>
      <c r="C2995" t="s">
        <v>3</v>
      </c>
      <c r="D2995" s="2">
        <v>1</v>
      </c>
      <c r="E2995" s="11" t="s">
        <v>1195</v>
      </c>
      <c r="F2995" t="s">
        <v>47</v>
      </c>
      <c r="G2995" s="2" t="s">
        <v>23</v>
      </c>
      <c r="H2995" s="1">
        <v>116.49400000000001</v>
      </c>
    </row>
    <row r="2996" spans="1:8" x14ac:dyDescent="0.3">
      <c r="A2996" s="2">
        <v>666</v>
      </c>
      <c r="B2996" t="s">
        <v>2019</v>
      </c>
      <c r="C2996" t="s">
        <v>1</v>
      </c>
      <c r="D2996" s="2">
        <v>1</v>
      </c>
      <c r="E2996" s="11" t="s">
        <v>2018</v>
      </c>
      <c r="F2996" t="s">
        <v>39</v>
      </c>
      <c r="G2996" s="2" t="s">
        <v>4</v>
      </c>
      <c r="H2996" s="1">
        <v>79.394000000000005</v>
      </c>
    </row>
    <row r="2997" spans="1:8" x14ac:dyDescent="0.3">
      <c r="A2997" s="2">
        <v>666</v>
      </c>
      <c r="B2997" t="s">
        <v>1475</v>
      </c>
      <c r="C2997" t="s">
        <v>3225</v>
      </c>
      <c r="D2997" s="2">
        <v>1</v>
      </c>
      <c r="E2997" s="11" t="s">
        <v>239</v>
      </c>
      <c r="F2997" t="s">
        <v>39</v>
      </c>
      <c r="G2997" s="2" t="s">
        <v>4</v>
      </c>
      <c r="H2997" s="1">
        <v>148.29400000000001</v>
      </c>
    </row>
    <row r="2998" spans="1:8" x14ac:dyDescent="0.3">
      <c r="A2998" s="2">
        <v>666</v>
      </c>
      <c r="B2998" t="s">
        <v>2017</v>
      </c>
      <c r="C2998" t="s">
        <v>3224</v>
      </c>
      <c r="D2998" s="2">
        <v>1</v>
      </c>
      <c r="E2998" s="11" t="s">
        <v>191</v>
      </c>
      <c r="F2998" t="s">
        <v>39</v>
      </c>
      <c r="G2998" s="2" t="s">
        <v>31</v>
      </c>
      <c r="H2998" s="1">
        <v>63.494000000000007</v>
      </c>
    </row>
    <row r="2999" spans="1:8" x14ac:dyDescent="0.3">
      <c r="A2999" s="2">
        <v>666</v>
      </c>
      <c r="B2999" t="s">
        <v>1667</v>
      </c>
      <c r="C2999" t="s">
        <v>0</v>
      </c>
      <c r="D2999" s="2">
        <v>1</v>
      </c>
      <c r="E2999" s="11" t="s">
        <v>1584</v>
      </c>
      <c r="F2999" t="s">
        <v>39</v>
      </c>
      <c r="G2999" s="2" t="s">
        <v>23</v>
      </c>
      <c r="H2999" s="1">
        <v>169.49400000000003</v>
      </c>
    </row>
    <row r="3000" spans="1:8" x14ac:dyDescent="0.3">
      <c r="A3000" s="2">
        <v>666</v>
      </c>
      <c r="B3000" t="s">
        <v>1661</v>
      </c>
      <c r="C3000" t="s">
        <v>0</v>
      </c>
      <c r="D3000" s="2">
        <v>1</v>
      </c>
      <c r="E3000" s="11" t="s">
        <v>1551</v>
      </c>
      <c r="F3000" t="s">
        <v>39</v>
      </c>
      <c r="G3000" s="2" t="s">
        <v>23</v>
      </c>
      <c r="H3000" s="1">
        <v>121.79400000000001</v>
      </c>
    </row>
    <row r="3001" spans="1:8" x14ac:dyDescent="0.3">
      <c r="A3001" s="2">
        <v>666</v>
      </c>
      <c r="B3001" t="s">
        <v>2016</v>
      </c>
      <c r="C3001" t="s">
        <v>0</v>
      </c>
      <c r="D3001" s="2">
        <v>1</v>
      </c>
      <c r="E3001" s="11" t="s">
        <v>1945</v>
      </c>
      <c r="F3001" t="s">
        <v>39</v>
      </c>
      <c r="G3001" s="2" t="s">
        <v>4</v>
      </c>
      <c r="H3001" s="1">
        <v>132.39400000000001</v>
      </c>
    </row>
    <row r="3002" spans="1:8" x14ac:dyDescent="0.3">
      <c r="A3002" s="2">
        <v>666</v>
      </c>
      <c r="B3002" t="s">
        <v>1576</v>
      </c>
      <c r="C3002" t="s">
        <v>3224</v>
      </c>
      <c r="D3002" s="2">
        <v>1</v>
      </c>
      <c r="E3002" s="11" t="s">
        <v>1575</v>
      </c>
      <c r="F3002" t="s">
        <v>39</v>
      </c>
      <c r="G3002" s="2" t="s">
        <v>23</v>
      </c>
      <c r="H3002" s="1">
        <v>89.994000000000014</v>
      </c>
    </row>
    <row r="3003" spans="1:8" x14ac:dyDescent="0.3">
      <c r="A3003" s="2">
        <v>666</v>
      </c>
      <c r="B3003" t="s">
        <v>2015</v>
      </c>
      <c r="C3003" t="s">
        <v>0</v>
      </c>
      <c r="D3003" s="2">
        <v>1</v>
      </c>
      <c r="E3003" s="11" t="s">
        <v>1724</v>
      </c>
      <c r="F3003" t="s">
        <v>39</v>
      </c>
      <c r="G3003" s="2" t="s">
        <v>4</v>
      </c>
      <c r="H3003" s="1">
        <v>137.69400000000002</v>
      </c>
    </row>
    <row r="3004" spans="1:8" x14ac:dyDescent="0.3">
      <c r="A3004" s="2">
        <v>666</v>
      </c>
      <c r="B3004" t="s">
        <v>1749</v>
      </c>
      <c r="C3004" t="s">
        <v>2</v>
      </c>
      <c r="D3004" s="2">
        <v>1</v>
      </c>
      <c r="E3004" s="11" t="s">
        <v>1742</v>
      </c>
      <c r="F3004" t="s">
        <v>39</v>
      </c>
      <c r="G3004" s="2" t="s">
        <v>23</v>
      </c>
      <c r="H3004" s="1">
        <v>137.69400000000002</v>
      </c>
    </row>
    <row r="3005" spans="1:8" x14ac:dyDescent="0.3">
      <c r="A3005" s="2">
        <v>666</v>
      </c>
      <c r="B3005" t="s">
        <v>2006</v>
      </c>
      <c r="C3005" t="s">
        <v>3225</v>
      </c>
      <c r="D3005" s="2">
        <v>1</v>
      </c>
      <c r="E3005" s="11" t="s">
        <v>220</v>
      </c>
      <c r="F3005" t="s">
        <v>39</v>
      </c>
      <c r="G3005" s="2" t="s">
        <v>4</v>
      </c>
      <c r="H3005" s="1">
        <v>195.99400000000003</v>
      </c>
    </row>
    <row r="3006" spans="1:8" x14ac:dyDescent="0.3">
      <c r="A3006" s="2">
        <v>666</v>
      </c>
      <c r="B3006" t="s">
        <v>2014</v>
      </c>
      <c r="C3006" t="s">
        <v>2</v>
      </c>
      <c r="D3006" s="2">
        <v>1</v>
      </c>
      <c r="E3006" s="11" t="s">
        <v>1288</v>
      </c>
      <c r="F3006" t="s">
        <v>39</v>
      </c>
      <c r="G3006" s="2" t="s">
        <v>31</v>
      </c>
      <c r="H3006" s="1">
        <v>89.994000000000014</v>
      </c>
    </row>
    <row r="3007" spans="1:8" x14ac:dyDescent="0.3">
      <c r="A3007" s="2">
        <v>666</v>
      </c>
      <c r="B3007" t="s">
        <v>906</v>
      </c>
      <c r="C3007" t="s">
        <v>3233</v>
      </c>
      <c r="D3007" s="2">
        <v>1</v>
      </c>
      <c r="E3007" s="11" t="s">
        <v>258</v>
      </c>
      <c r="F3007" t="s">
        <v>39</v>
      </c>
      <c r="G3007" s="2" t="s">
        <v>31</v>
      </c>
      <c r="H3007" s="1">
        <v>79.394000000000005</v>
      </c>
    </row>
    <row r="3008" spans="1:8" x14ac:dyDescent="0.3">
      <c r="A3008" s="2">
        <v>666</v>
      </c>
      <c r="B3008" t="s">
        <v>2013</v>
      </c>
      <c r="C3008" t="s">
        <v>3</v>
      </c>
      <c r="D3008" s="2">
        <v>1</v>
      </c>
      <c r="E3008" s="11" t="s">
        <v>1195</v>
      </c>
      <c r="F3008" t="s">
        <v>39</v>
      </c>
      <c r="G3008" s="2" t="s">
        <v>23</v>
      </c>
      <c r="H3008" s="1">
        <v>116.49400000000001</v>
      </c>
    </row>
    <row r="3009" spans="1:8" x14ac:dyDescent="0.3">
      <c r="A3009" s="2">
        <v>666</v>
      </c>
      <c r="B3009" t="s">
        <v>1862</v>
      </c>
      <c r="C3009" t="s">
        <v>3219</v>
      </c>
      <c r="D3009" s="2">
        <v>1</v>
      </c>
      <c r="E3009" s="11" t="s">
        <v>102</v>
      </c>
      <c r="F3009" t="s">
        <v>36</v>
      </c>
      <c r="G3009" s="2" t="s">
        <v>31</v>
      </c>
      <c r="H3009" s="1">
        <v>121.79400000000001</v>
      </c>
    </row>
    <row r="3010" spans="1:8" x14ac:dyDescent="0.3">
      <c r="A3010" s="2">
        <v>666</v>
      </c>
      <c r="B3010" t="s">
        <v>2012</v>
      </c>
      <c r="C3010" t="s">
        <v>0</v>
      </c>
      <c r="D3010" s="2">
        <v>1</v>
      </c>
      <c r="E3010" s="11" t="s">
        <v>1945</v>
      </c>
      <c r="F3010" t="s">
        <v>36</v>
      </c>
      <c r="G3010" s="2" t="s">
        <v>23</v>
      </c>
      <c r="H3010" s="1">
        <v>132.39400000000001</v>
      </c>
    </row>
    <row r="3011" spans="1:8" x14ac:dyDescent="0.3">
      <c r="A3011" s="2">
        <v>666</v>
      </c>
      <c r="B3011" t="s">
        <v>1773</v>
      </c>
      <c r="C3011" t="s">
        <v>1</v>
      </c>
      <c r="D3011" s="2">
        <v>1</v>
      </c>
      <c r="E3011" s="11" t="s">
        <v>1454</v>
      </c>
      <c r="F3011" t="s">
        <v>28</v>
      </c>
      <c r="G3011" s="2" t="s">
        <v>4</v>
      </c>
      <c r="H3011" s="1">
        <v>79.394000000000005</v>
      </c>
    </row>
    <row r="3012" spans="1:8" x14ac:dyDescent="0.3">
      <c r="A3012" s="2">
        <v>666</v>
      </c>
      <c r="B3012" t="s">
        <v>1688</v>
      </c>
      <c r="C3012" t="s">
        <v>0</v>
      </c>
      <c r="D3012" s="2">
        <v>1</v>
      </c>
      <c r="E3012" s="11" t="s">
        <v>1551</v>
      </c>
      <c r="F3012" t="s">
        <v>28</v>
      </c>
      <c r="G3012" s="2" t="s">
        <v>4</v>
      </c>
      <c r="H3012" s="1">
        <v>121.79400000000001</v>
      </c>
    </row>
    <row r="3013" spans="1:8" x14ac:dyDescent="0.3">
      <c r="A3013" s="2">
        <v>666</v>
      </c>
      <c r="B3013" t="s">
        <v>2011</v>
      </c>
      <c r="C3013" t="s">
        <v>0</v>
      </c>
      <c r="D3013" s="2">
        <v>1</v>
      </c>
      <c r="E3013" s="11" t="s">
        <v>1945</v>
      </c>
      <c r="F3013" t="s">
        <v>28</v>
      </c>
      <c r="G3013" s="2" t="s">
        <v>23</v>
      </c>
      <c r="H3013" s="1">
        <v>132.39400000000001</v>
      </c>
    </row>
    <row r="3014" spans="1:8" x14ac:dyDescent="0.3">
      <c r="A3014" s="2">
        <v>666</v>
      </c>
      <c r="B3014" t="s">
        <v>2010</v>
      </c>
      <c r="C3014" t="s">
        <v>3224</v>
      </c>
      <c r="D3014" s="2">
        <v>1</v>
      </c>
      <c r="E3014" s="11" t="s">
        <v>1575</v>
      </c>
      <c r="F3014" t="s">
        <v>28</v>
      </c>
      <c r="G3014" s="2" t="s">
        <v>31</v>
      </c>
      <c r="H3014" s="1">
        <v>89.994000000000014</v>
      </c>
    </row>
    <row r="3015" spans="1:8" x14ac:dyDescent="0.3">
      <c r="A3015" s="2">
        <v>666</v>
      </c>
      <c r="B3015" t="s">
        <v>2009</v>
      </c>
      <c r="C3015" t="s">
        <v>0</v>
      </c>
      <c r="D3015" s="2">
        <v>1</v>
      </c>
      <c r="E3015" s="11" t="s">
        <v>1724</v>
      </c>
      <c r="F3015" t="s">
        <v>28</v>
      </c>
      <c r="G3015" s="2" t="s">
        <v>23</v>
      </c>
      <c r="H3015" s="1">
        <v>137.69400000000002</v>
      </c>
    </row>
    <row r="3016" spans="1:8" x14ac:dyDescent="0.3">
      <c r="A3016" s="2">
        <v>666</v>
      </c>
      <c r="B3016" t="s">
        <v>1989</v>
      </c>
      <c r="C3016" t="s">
        <v>3219</v>
      </c>
      <c r="D3016" s="2">
        <v>1</v>
      </c>
      <c r="E3016" s="11" t="s">
        <v>1561</v>
      </c>
      <c r="F3016" t="s">
        <v>28</v>
      </c>
      <c r="G3016" s="2" t="s">
        <v>4</v>
      </c>
      <c r="H3016" s="1">
        <v>148.29400000000001</v>
      </c>
    </row>
    <row r="3017" spans="1:8" x14ac:dyDescent="0.3">
      <c r="A3017" s="2">
        <v>666</v>
      </c>
      <c r="B3017" t="s">
        <v>1743</v>
      </c>
      <c r="C3017" t="s">
        <v>2</v>
      </c>
      <c r="D3017" s="2">
        <v>1</v>
      </c>
      <c r="E3017" s="11" t="s">
        <v>1742</v>
      </c>
      <c r="F3017" t="s">
        <v>28</v>
      </c>
      <c r="G3017" s="2" t="s">
        <v>31</v>
      </c>
      <c r="H3017" s="1">
        <v>137.69400000000002</v>
      </c>
    </row>
    <row r="3018" spans="1:8" x14ac:dyDescent="0.3">
      <c r="A3018" s="2">
        <v>666</v>
      </c>
      <c r="B3018" t="s">
        <v>1799</v>
      </c>
      <c r="C3018" t="s">
        <v>0</v>
      </c>
      <c r="D3018" s="2">
        <v>1</v>
      </c>
      <c r="E3018" s="11" t="s">
        <v>267</v>
      </c>
      <c r="F3018" t="s">
        <v>28</v>
      </c>
      <c r="G3018" s="2" t="s">
        <v>23</v>
      </c>
      <c r="H3018" s="1">
        <v>158.89400000000001</v>
      </c>
    </row>
    <row r="3019" spans="1:8" x14ac:dyDescent="0.3">
      <c r="A3019" s="2">
        <v>667</v>
      </c>
      <c r="B3019" t="s">
        <v>294</v>
      </c>
      <c r="C3019" t="s">
        <v>3220</v>
      </c>
      <c r="D3019" s="2">
        <v>1</v>
      </c>
      <c r="E3019" s="11" t="s">
        <v>293</v>
      </c>
      <c r="F3019" t="s">
        <v>62</v>
      </c>
      <c r="G3019" s="2" t="s">
        <v>23</v>
      </c>
      <c r="H3019" s="1">
        <v>21.094000000000001</v>
      </c>
    </row>
    <row r="3020" spans="1:8" x14ac:dyDescent="0.3">
      <c r="A3020" s="2">
        <v>667</v>
      </c>
      <c r="B3020" t="s">
        <v>2008</v>
      </c>
      <c r="C3020" t="s">
        <v>3</v>
      </c>
      <c r="D3020" s="2">
        <v>1</v>
      </c>
      <c r="E3020" s="11" t="s">
        <v>1767</v>
      </c>
      <c r="F3020" t="s">
        <v>62</v>
      </c>
      <c r="G3020" s="2" t="s">
        <v>23</v>
      </c>
      <c r="H3020" s="1">
        <v>95.294000000000011</v>
      </c>
    </row>
    <row r="3021" spans="1:8" x14ac:dyDescent="0.3">
      <c r="A3021" s="2">
        <v>667</v>
      </c>
      <c r="B3021" t="s">
        <v>1793</v>
      </c>
      <c r="C3021" t="s">
        <v>3233</v>
      </c>
      <c r="D3021" s="2">
        <v>1</v>
      </c>
      <c r="E3021" s="11" t="s">
        <v>258</v>
      </c>
      <c r="F3021" t="s">
        <v>254</v>
      </c>
      <c r="G3021" s="2" t="s">
        <v>23</v>
      </c>
      <c r="H3021" s="1">
        <v>79.394000000000005</v>
      </c>
    </row>
    <row r="3022" spans="1:8" x14ac:dyDescent="0.3">
      <c r="A3022" s="2">
        <v>667</v>
      </c>
      <c r="B3022" t="s">
        <v>2007</v>
      </c>
      <c r="C3022" t="s">
        <v>3225</v>
      </c>
      <c r="D3022" s="2">
        <v>1</v>
      </c>
      <c r="E3022" s="11" t="s">
        <v>1216</v>
      </c>
      <c r="F3022" t="s">
        <v>62</v>
      </c>
      <c r="G3022" s="2" t="s">
        <v>31</v>
      </c>
      <c r="H3022" s="1">
        <v>206.59400000000002</v>
      </c>
    </row>
    <row r="3023" spans="1:8" x14ac:dyDescent="0.3">
      <c r="A3023" s="2">
        <v>667</v>
      </c>
      <c r="B3023" t="s">
        <v>1666</v>
      </c>
      <c r="C3023" t="s">
        <v>0</v>
      </c>
      <c r="D3023" s="2">
        <v>1</v>
      </c>
      <c r="E3023" s="11" t="s">
        <v>272</v>
      </c>
      <c r="F3023" t="s">
        <v>28</v>
      </c>
      <c r="G3023" s="2" t="s">
        <v>4</v>
      </c>
      <c r="H3023" s="1">
        <v>174.79400000000001</v>
      </c>
    </row>
    <row r="3024" spans="1:8" x14ac:dyDescent="0.3">
      <c r="A3024" s="2">
        <v>667</v>
      </c>
      <c r="B3024" t="s">
        <v>1837</v>
      </c>
      <c r="C3024" t="s">
        <v>1</v>
      </c>
      <c r="D3024" s="2">
        <v>1</v>
      </c>
      <c r="E3024" s="11" t="s">
        <v>1645</v>
      </c>
      <c r="F3024" t="s">
        <v>114</v>
      </c>
      <c r="G3024" s="2" t="s">
        <v>23</v>
      </c>
      <c r="H3024" s="1">
        <v>63.494000000000007</v>
      </c>
    </row>
    <row r="3025" spans="1:8" x14ac:dyDescent="0.3">
      <c r="A3025" s="2">
        <v>667</v>
      </c>
      <c r="B3025" t="s">
        <v>1756</v>
      </c>
      <c r="C3025" t="s">
        <v>2</v>
      </c>
      <c r="D3025" s="2">
        <v>1</v>
      </c>
      <c r="E3025" s="11" t="s">
        <v>1428</v>
      </c>
      <c r="F3025" t="s">
        <v>36</v>
      </c>
      <c r="G3025" s="2" t="s">
        <v>23</v>
      </c>
      <c r="H3025" s="1">
        <v>100.59400000000001</v>
      </c>
    </row>
    <row r="3026" spans="1:8" x14ac:dyDescent="0.3">
      <c r="A3026" s="2">
        <v>667</v>
      </c>
      <c r="B3026" t="s">
        <v>1580</v>
      </c>
      <c r="C3026" t="s">
        <v>3219</v>
      </c>
      <c r="D3026" s="2">
        <v>1</v>
      </c>
      <c r="E3026" s="11" t="s">
        <v>102</v>
      </c>
      <c r="F3026" t="s">
        <v>47</v>
      </c>
      <c r="G3026" s="2" t="s">
        <v>31</v>
      </c>
      <c r="H3026" s="1">
        <v>121.79400000000001</v>
      </c>
    </row>
    <row r="3027" spans="1:8" x14ac:dyDescent="0.3">
      <c r="A3027" s="2">
        <v>667</v>
      </c>
      <c r="B3027" t="s">
        <v>435</v>
      </c>
      <c r="C3027" t="s">
        <v>3</v>
      </c>
      <c r="D3027" s="2">
        <v>1</v>
      </c>
      <c r="E3027" s="11" t="s">
        <v>434</v>
      </c>
      <c r="F3027" t="s">
        <v>47</v>
      </c>
      <c r="G3027" s="2" t="s">
        <v>23</v>
      </c>
      <c r="H3027" s="1">
        <v>105.89400000000001</v>
      </c>
    </row>
    <row r="3028" spans="1:8" x14ac:dyDescent="0.3">
      <c r="A3028" s="2">
        <v>667</v>
      </c>
      <c r="B3028" t="s">
        <v>2006</v>
      </c>
      <c r="C3028" t="s">
        <v>3225</v>
      </c>
      <c r="D3028" s="2">
        <v>1</v>
      </c>
      <c r="E3028" s="11" t="s">
        <v>220</v>
      </c>
      <c r="F3028" t="s">
        <v>39</v>
      </c>
      <c r="G3028" s="2" t="s">
        <v>4</v>
      </c>
      <c r="H3028" s="1">
        <v>195.99400000000003</v>
      </c>
    </row>
    <row r="3029" spans="1:8" x14ac:dyDescent="0.3">
      <c r="A3029" s="2">
        <v>667</v>
      </c>
      <c r="B3029" t="s">
        <v>1748</v>
      </c>
      <c r="C3029" t="s">
        <v>2</v>
      </c>
      <c r="D3029" s="2">
        <v>1</v>
      </c>
      <c r="E3029" s="11" t="s">
        <v>1288</v>
      </c>
      <c r="F3029" t="s">
        <v>39</v>
      </c>
      <c r="G3029" s="2" t="s">
        <v>23</v>
      </c>
      <c r="H3029" s="1">
        <v>89.994000000000014</v>
      </c>
    </row>
    <row r="3030" spans="1:8" x14ac:dyDescent="0.3">
      <c r="A3030" s="2">
        <v>667</v>
      </c>
      <c r="B3030" t="s">
        <v>2005</v>
      </c>
      <c r="C3030" t="s">
        <v>3219</v>
      </c>
      <c r="D3030" s="2">
        <v>1</v>
      </c>
      <c r="E3030" s="11" t="s">
        <v>1214</v>
      </c>
      <c r="F3030" t="s">
        <v>28</v>
      </c>
      <c r="G3030" s="2" t="s">
        <v>23</v>
      </c>
      <c r="H3030" s="1">
        <v>127.09400000000001</v>
      </c>
    </row>
    <row r="3031" spans="1:8" x14ac:dyDescent="0.3">
      <c r="A3031" s="2">
        <v>667</v>
      </c>
      <c r="B3031" t="s">
        <v>821</v>
      </c>
      <c r="C3031" t="s">
        <v>3224</v>
      </c>
      <c r="D3031" s="2">
        <v>1</v>
      </c>
      <c r="E3031" s="11" t="s">
        <v>819</v>
      </c>
      <c r="F3031" t="s">
        <v>28</v>
      </c>
      <c r="G3031" s="2" t="s">
        <v>31</v>
      </c>
      <c r="H3031" s="1">
        <v>79.394000000000005</v>
      </c>
    </row>
    <row r="3032" spans="1:8" x14ac:dyDescent="0.3">
      <c r="A3032" s="2">
        <v>668</v>
      </c>
      <c r="B3032" t="s">
        <v>1035</v>
      </c>
      <c r="C3032" t="s">
        <v>3224</v>
      </c>
      <c r="D3032" s="2">
        <v>1</v>
      </c>
      <c r="E3032" s="11" t="s">
        <v>499</v>
      </c>
      <c r="F3032" t="s">
        <v>55</v>
      </c>
      <c r="G3032" s="2" t="s">
        <v>23</v>
      </c>
      <c r="H3032" s="1">
        <v>84.694000000000017</v>
      </c>
    </row>
    <row r="3033" spans="1:8" x14ac:dyDescent="0.3">
      <c r="A3033" s="2">
        <v>668</v>
      </c>
      <c r="B3033" t="s">
        <v>902</v>
      </c>
      <c r="C3033" t="s">
        <v>3220</v>
      </c>
      <c r="D3033" s="2">
        <v>1</v>
      </c>
      <c r="E3033" s="11" t="s">
        <v>293</v>
      </c>
      <c r="F3033" t="s">
        <v>65</v>
      </c>
      <c r="G3033" s="2" t="s">
        <v>23</v>
      </c>
      <c r="H3033" s="1">
        <v>21.094000000000001</v>
      </c>
    </row>
    <row r="3034" spans="1:8" x14ac:dyDescent="0.3">
      <c r="A3034" s="2">
        <v>668</v>
      </c>
      <c r="B3034" t="s">
        <v>2004</v>
      </c>
      <c r="C3034" t="s">
        <v>3224</v>
      </c>
      <c r="D3034" s="2">
        <v>1</v>
      </c>
      <c r="E3034" s="11" t="s">
        <v>2003</v>
      </c>
      <c r="F3034" t="s">
        <v>114</v>
      </c>
      <c r="G3034" s="2" t="s">
        <v>23</v>
      </c>
      <c r="H3034" s="1">
        <v>89.994000000000014</v>
      </c>
    </row>
    <row r="3035" spans="1:8" x14ac:dyDescent="0.3">
      <c r="A3035" s="2">
        <v>668</v>
      </c>
      <c r="B3035" t="s">
        <v>2002</v>
      </c>
      <c r="C3035" t="s">
        <v>3224</v>
      </c>
      <c r="D3035" s="2">
        <v>1</v>
      </c>
      <c r="E3035" s="11" t="s">
        <v>2001</v>
      </c>
      <c r="F3035" t="s">
        <v>114</v>
      </c>
      <c r="G3035" s="2" t="s">
        <v>23</v>
      </c>
      <c r="H3035" s="1">
        <v>95.294000000000011</v>
      </c>
    </row>
    <row r="3036" spans="1:8" x14ac:dyDescent="0.3">
      <c r="A3036" s="2">
        <v>668</v>
      </c>
      <c r="B3036" t="s">
        <v>1959</v>
      </c>
      <c r="C3036" t="s">
        <v>3219</v>
      </c>
      <c r="D3036" s="2">
        <v>1</v>
      </c>
      <c r="E3036" s="11" t="s">
        <v>1214</v>
      </c>
      <c r="F3036" t="s">
        <v>114</v>
      </c>
      <c r="G3036" s="2" t="s">
        <v>23</v>
      </c>
      <c r="H3036" s="1">
        <v>127.09400000000001</v>
      </c>
    </row>
    <row r="3037" spans="1:8" x14ac:dyDescent="0.3">
      <c r="A3037" s="2">
        <v>668</v>
      </c>
      <c r="B3037" t="s">
        <v>2000</v>
      </c>
      <c r="C3037" t="s">
        <v>1</v>
      </c>
      <c r="D3037" s="2">
        <v>1</v>
      </c>
      <c r="E3037" s="11" t="s">
        <v>1990</v>
      </c>
      <c r="F3037" t="s">
        <v>114</v>
      </c>
      <c r="G3037" s="2" t="s">
        <v>23</v>
      </c>
      <c r="H3037" s="1">
        <v>58.19400000000001</v>
      </c>
    </row>
    <row r="3038" spans="1:8" x14ac:dyDescent="0.3">
      <c r="A3038" s="2">
        <v>668</v>
      </c>
      <c r="B3038" t="s">
        <v>1801</v>
      </c>
      <c r="C3038" t="s">
        <v>3221</v>
      </c>
      <c r="D3038" s="2">
        <v>1</v>
      </c>
      <c r="E3038" s="11" t="s">
        <v>642</v>
      </c>
      <c r="F3038" t="s">
        <v>114</v>
      </c>
      <c r="G3038" s="2" t="s">
        <v>23</v>
      </c>
      <c r="H3038" s="1">
        <v>95.294000000000011</v>
      </c>
    </row>
    <row r="3039" spans="1:8" x14ac:dyDescent="0.3">
      <c r="A3039" s="2">
        <v>668</v>
      </c>
      <c r="B3039" t="s">
        <v>1565</v>
      </c>
      <c r="C3039" t="s">
        <v>3225</v>
      </c>
      <c r="D3039" s="2">
        <v>1</v>
      </c>
      <c r="E3039" s="11" t="s">
        <v>239</v>
      </c>
      <c r="F3039" t="s">
        <v>47</v>
      </c>
      <c r="G3039" s="2" t="s">
        <v>23</v>
      </c>
      <c r="H3039" s="1">
        <v>148.29400000000001</v>
      </c>
    </row>
    <row r="3040" spans="1:8" x14ac:dyDescent="0.3">
      <c r="A3040" s="2">
        <v>668</v>
      </c>
      <c r="B3040" t="s">
        <v>712</v>
      </c>
      <c r="C3040" t="s">
        <v>1</v>
      </c>
      <c r="D3040" s="2">
        <v>1</v>
      </c>
      <c r="E3040" s="11" t="s">
        <v>222</v>
      </c>
      <c r="F3040" t="s">
        <v>47</v>
      </c>
      <c r="G3040" s="2" t="s">
        <v>23</v>
      </c>
      <c r="H3040" s="1">
        <v>52.893999999999998</v>
      </c>
    </row>
    <row r="3041" spans="1:8" x14ac:dyDescent="0.3">
      <c r="A3041" s="2">
        <v>668</v>
      </c>
      <c r="B3041" t="s">
        <v>1879</v>
      </c>
      <c r="C3041" t="s">
        <v>3219</v>
      </c>
      <c r="D3041" s="2">
        <v>1</v>
      </c>
      <c r="E3041" s="11" t="s">
        <v>1214</v>
      </c>
      <c r="F3041" t="s">
        <v>47</v>
      </c>
      <c r="G3041" s="2" t="s">
        <v>23</v>
      </c>
      <c r="H3041" s="1">
        <v>127.09400000000001</v>
      </c>
    </row>
    <row r="3042" spans="1:8" x14ac:dyDescent="0.3">
      <c r="A3042" s="2">
        <v>668</v>
      </c>
      <c r="B3042" t="s">
        <v>1419</v>
      </c>
      <c r="C3042" t="s">
        <v>3224</v>
      </c>
      <c r="D3042" s="2">
        <v>1</v>
      </c>
      <c r="E3042" s="11" t="s">
        <v>1248</v>
      </c>
      <c r="F3042" t="s">
        <v>47</v>
      </c>
      <c r="G3042" s="2" t="s">
        <v>23</v>
      </c>
      <c r="H3042" s="1">
        <v>95.294000000000011</v>
      </c>
    </row>
    <row r="3043" spans="1:8" x14ac:dyDescent="0.3">
      <c r="A3043" s="2">
        <v>668</v>
      </c>
      <c r="B3043" t="s">
        <v>1408</v>
      </c>
      <c r="C3043" t="s">
        <v>3224</v>
      </c>
      <c r="D3043" s="2">
        <v>1</v>
      </c>
      <c r="E3043" s="11" t="s">
        <v>499</v>
      </c>
      <c r="F3043" t="s">
        <v>47</v>
      </c>
      <c r="G3043" s="2" t="s">
        <v>23</v>
      </c>
      <c r="H3043" s="1">
        <v>84.694000000000017</v>
      </c>
    </row>
    <row r="3044" spans="1:8" x14ac:dyDescent="0.3">
      <c r="A3044" s="2">
        <v>669</v>
      </c>
      <c r="B3044" t="s">
        <v>1410</v>
      </c>
      <c r="C3044" t="s">
        <v>3225</v>
      </c>
      <c r="D3044" s="2">
        <v>1</v>
      </c>
      <c r="E3044" s="11" t="s">
        <v>1409</v>
      </c>
      <c r="F3044" t="s">
        <v>55</v>
      </c>
      <c r="G3044" s="2" t="s">
        <v>23</v>
      </c>
      <c r="H3044" s="1">
        <v>158.89400000000001</v>
      </c>
    </row>
    <row r="3045" spans="1:8" x14ac:dyDescent="0.3">
      <c r="A3045" s="2">
        <v>669</v>
      </c>
      <c r="B3045" t="s">
        <v>1900</v>
      </c>
      <c r="C3045" t="s">
        <v>3224</v>
      </c>
      <c r="D3045" s="2">
        <v>1</v>
      </c>
      <c r="E3045" s="11" t="s">
        <v>1685</v>
      </c>
      <c r="F3045" t="s">
        <v>65</v>
      </c>
      <c r="G3045" s="2" t="s">
        <v>4</v>
      </c>
      <c r="H3045" s="1">
        <v>79.394000000000005</v>
      </c>
    </row>
    <row r="3046" spans="1:8" x14ac:dyDescent="0.3">
      <c r="A3046" s="2">
        <v>669</v>
      </c>
      <c r="B3046" t="s">
        <v>1999</v>
      </c>
      <c r="C3046" t="s">
        <v>3224</v>
      </c>
      <c r="D3046" s="2">
        <v>1</v>
      </c>
      <c r="E3046" s="11" t="s">
        <v>1951</v>
      </c>
      <c r="F3046" t="s">
        <v>65</v>
      </c>
      <c r="G3046" s="2" t="s">
        <v>23</v>
      </c>
      <c r="H3046" s="1">
        <v>100.59400000000001</v>
      </c>
    </row>
    <row r="3047" spans="1:8" x14ac:dyDescent="0.3">
      <c r="A3047" s="2">
        <v>669</v>
      </c>
      <c r="B3047" t="s">
        <v>1998</v>
      </c>
      <c r="C3047" t="s">
        <v>3</v>
      </c>
      <c r="D3047" s="2">
        <v>1</v>
      </c>
      <c r="E3047" s="11" t="s">
        <v>1997</v>
      </c>
      <c r="F3047" t="s">
        <v>62</v>
      </c>
      <c r="G3047" s="2" t="s">
        <v>31</v>
      </c>
      <c r="H3047" s="1">
        <v>68.794000000000011</v>
      </c>
    </row>
    <row r="3048" spans="1:8" x14ac:dyDescent="0.3">
      <c r="A3048" s="2">
        <v>669</v>
      </c>
      <c r="B3048" t="s">
        <v>1996</v>
      </c>
      <c r="C3048" t="s">
        <v>1</v>
      </c>
      <c r="D3048" s="2">
        <v>2</v>
      </c>
      <c r="E3048" s="11" t="s">
        <v>1995</v>
      </c>
      <c r="F3048" t="s">
        <v>62</v>
      </c>
      <c r="G3048" s="2" t="s">
        <v>31</v>
      </c>
      <c r="H3048" s="1">
        <v>105.89400000000001</v>
      </c>
    </row>
    <row r="3049" spans="1:8" x14ac:dyDescent="0.3">
      <c r="A3049" s="2">
        <v>669</v>
      </c>
      <c r="B3049" t="s">
        <v>1549</v>
      </c>
      <c r="C3049" t="s">
        <v>3224</v>
      </c>
      <c r="D3049" s="2">
        <v>1</v>
      </c>
      <c r="E3049" s="11" t="s">
        <v>1478</v>
      </c>
      <c r="F3049" t="s">
        <v>114</v>
      </c>
      <c r="G3049" s="2" t="s">
        <v>31</v>
      </c>
      <c r="H3049" s="1">
        <v>116.49400000000001</v>
      </c>
    </row>
    <row r="3050" spans="1:8" x14ac:dyDescent="0.3">
      <c r="A3050" s="2">
        <v>669</v>
      </c>
      <c r="B3050" t="s">
        <v>1994</v>
      </c>
      <c r="C3050" t="s">
        <v>1</v>
      </c>
      <c r="D3050" s="2">
        <v>2</v>
      </c>
      <c r="E3050" s="11" t="s">
        <v>189</v>
      </c>
      <c r="F3050" t="s">
        <v>47</v>
      </c>
      <c r="G3050" s="2" t="s">
        <v>4</v>
      </c>
      <c r="H3050" s="1">
        <v>63.494000000000007</v>
      </c>
    </row>
    <row r="3051" spans="1:8" x14ac:dyDescent="0.3">
      <c r="A3051" s="2">
        <v>669</v>
      </c>
      <c r="B3051" t="s">
        <v>1993</v>
      </c>
      <c r="C3051" t="s">
        <v>3219</v>
      </c>
      <c r="D3051" s="2">
        <v>1</v>
      </c>
      <c r="E3051" s="11" t="s">
        <v>109</v>
      </c>
      <c r="F3051" t="s">
        <v>39</v>
      </c>
      <c r="G3051" s="2" t="s">
        <v>31</v>
      </c>
      <c r="H3051" s="1">
        <v>158.89400000000001</v>
      </c>
    </row>
    <row r="3052" spans="1:8" x14ac:dyDescent="0.3">
      <c r="A3052" s="2">
        <v>669</v>
      </c>
      <c r="B3052" t="s">
        <v>1992</v>
      </c>
      <c r="C3052" t="s">
        <v>3224</v>
      </c>
      <c r="D3052" s="2">
        <v>1</v>
      </c>
      <c r="E3052" s="11" t="s">
        <v>1982</v>
      </c>
      <c r="F3052" t="s">
        <v>39</v>
      </c>
      <c r="G3052" s="2" t="s">
        <v>23</v>
      </c>
      <c r="H3052" s="1">
        <v>111.19400000000002</v>
      </c>
    </row>
    <row r="3053" spans="1:8" x14ac:dyDescent="0.3">
      <c r="A3053" s="2">
        <v>669</v>
      </c>
      <c r="B3053" t="s">
        <v>1908</v>
      </c>
      <c r="C3053" t="s">
        <v>3224</v>
      </c>
      <c r="D3053" s="2">
        <v>1</v>
      </c>
      <c r="E3053" s="11" t="s">
        <v>1880</v>
      </c>
      <c r="F3053" t="s">
        <v>39</v>
      </c>
      <c r="G3053" s="2" t="s">
        <v>23</v>
      </c>
      <c r="H3053" s="1">
        <v>74.094000000000008</v>
      </c>
    </row>
    <row r="3054" spans="1:8" x14ac:dyDescent="0.3">
      <c r="A3054" s="2">
        <v>669</v>
      </c>
      <c r="B3054" t="s">
        <v>1852</v>
      </c>
      <c r="C3054" t="s">
        <v>2</v>
      </c>
      <c r="D3054" s="2">
        <v>1</v>
      </c>
      <c r="E3054" s="11" t="s">
        <v>733</v>
      </c>
      <c r="F3054" t="s">
        <v>39</v>
      </c>
      <c r="G3054" s="2" t="s">
        <v>23</v>
      </c>
      <c r="H3054" s="1">
        <v>132.39400000000001</v>
      </c>
    </row>
    <row r="3055" spans="1:8" x14ac:dyDescent="0.3">
      <c r="A3055" s="2">
        <v>669</v>
      </c>
      <c r="B3055" t="s">
        <v>112</v>
      </c>
      <c r="C3055" t="s">
        <v>3219</v>
      </c>
      <c r="D3055" s="2">
        <v>2</v>
      </c>
      <c r="E3055" s="11" t="s">
        <v>102</v>
      </c>
      <c r="F3055" t="s">
        <v>36</v>
      </c>
      <c r="G3055" s="2" t="s">
        <v>23</v>
      </c>
      <c r="H3055" s="1">
        <v>121.79400000000001</v>
      </c>
    </row>
    <row r="3056" spans="1:8" x14ac:dyDescent="0.3">
      <c r="A3056" s="2">
        <v>669</v>
      </c>
      <c r="B3056" t="s">
        <v>1928</v>
      </c>
      <c r="C3056" t="s">
        <v>3219</v>
      </c>
      <c r="D3056" s="2">
        <v>1</v>
      </c>
      <c r="E3056" s="11" t="s">
        <v>109</v>
      </c>
      <c r="F3056" t="s">
        <v>28</v>
      </c>
      <c r="G3056" s="2" t="s">
        <v>31</v>
      </c>
      <c r="H3056" s="1">
        <v>158.89400000000001</v>
      </c>
    </row>
    <row r="3057" spans="1:8" x14ac:dyDescent="0.3">
      <c r="A3057" s="2">
        <v>669</v>
      </c>
      <c r="B3057" t="s">
        <v>1991</v>
      </c>
      <c r="C3057" t="s">
        <v>1</v>
      </c>
      <c r="D3057" s="2">
        <v>1</v>
      </c>
      <c r="E3057" s="11" t="s">
        <v>1990</v>
      </c>
      <c r="F3057" t="s">
        <v>28</v>
      </c>
      <c r="G3057" s="2" t="s">
        <v>31</v>
      </c>
      <c r="H3057" s="1">
        <v>58.19400000000001</v>
      </c>
    </row>
    <row r="3058" spans="1:8" x14ac:dyDescent="0.3">
      <c r="A3058" s="2">
        <v>669</v>
      </c>
      <c r="B3058" t="s">
        <v>1989</v>
      </c>
      <c r="C3058" t="s">
        <v>3219</v>
      </c>
      <c r="D3058" s="2">
        <v>1</v>
      </c>
      <c r="E3058" s="11" t="s">
        <v>1561</v>
      </c>
      <c r="F3058" t="s">
        <v>28</v>
      </c>
      <c r="G3058" s="2" t="s">
        <v>4</v>
      </c>
      <c r="H3058" s="1">
        <v>148.29400000000001</v>
      </c>
    </row>
    <row r="3059" spans="1:8" x14ac:dyDescent="0.3">
      <c r="A3059" s="2">
        <v>669</v>
      </c>
      <c r="B3059" t="s">
        <v>1441</v>
      </c>
      <c r="C3059" t="s">
        <v>3224</v>
      </c>
      <c r="D3059" s="2">
        <v>1</v>
      </c>
      <c r="E3059" s="11" t="s">
        <v>1223</v>
      </c>
      <c r="F3059" t="s">
        <v>28</v>
      </c>
      <c r="G3059" s="2" t="s">
        <v>31</v>
      </c>
      <c r="H3059" s="1">
        <v>52.893999999999998</v>
      </c>
    </row>
    <row r="3060" spans="1:8" x14ac:dyDescent="0.3">
      <c r="A3060" s="2">
        <v>669</v>
      </c>
      <c r="B3060" t="s">
        <v>1903</v>
      </c>
      <c r="C3060" t="s">
        <v>1</v>
      </c>
      <c r="D3060" s="2">
        <v>1</v>
      </c>
      <c r="E3060" s="11" t="s">
        <v>1774</v>
      </c>
      <c r="F3060" t="s">
        <v>28</v>
      </c>
      <c r="G3060" s="2" t="s">
        <v>4</v>
      </c>
      <c r="H3060" s="1">
        <v>89.994000000000014</v>
      </c>
    </row>
    <row r="3061" spans="1:8" x14ac:dyDescent="0.3">
      <c r="A3061" s="2">
        <v>669</v>
      </c>
      <c r="B3061" t="s">
        <v>1851</v>
      </c>
      <c r="C3061" t="s">
        <v>3220</v>
      </c>
      <c r="D3061" s="2">
        <v>1</v>
      </c>
      <c r="E3061" s="11" t="s">
        <v>1138</v>
      </c>
      <c r="F3061" t="s">
        <v>28</v>
      </c>
      <c r="G3061" s="2" t="s">
        <v>31</v>
      </c>
      <c r="H3061" s="1">
        <v>68.794000000000011</v>
      </c>
    </row>
    <row r="3062" spans="1:8" x14ac:dyDescent="0.3">
      <c r="A3062" s="2">
        <v>669</v>
      </c>
      <c r="B3062" t="s">
        <v>1850</v>
      </c>
      <c r="C3062" t="s">
        <v>3220</v>
      </c>
      <c r="D3062" s="2">
        <v>1</v>
      </c>
      <c r="E3062" s="11" t="s">
        <v>1138</v>
      </c>
      <c r="F3062" t="s">
        <v>28</v>
      </c>
      <c r="G3062" s="2" t="s">
        <v>23</v>
      </c>
      <c r="H3062" s="1">
        <v>68.794000000000011</v>
      </c>
    </row>
    <row r="3063" spans="1:8" x14ac:dyDescent="0.3">
      <c r="A3063" s="2">
        <v>670</v>
      </c>
      <c r="B3063" t="s">
        <v>1900</v>
      </c>
      <c r="C3063" t="s">
        <v>3224</v>
      </c>
      <c r="D3063" s="2">
        <v>1</v>
      </c>
      <c r="E3063" s="11" t="s">
        <v>1685</v>
      </c>
      <c r="F3063" t="s">
        <v>65</v>
      </c>
      <c r="G3063" s="2" t="s">
        <v>4</v>
      </c>
      <c r="H3063" s="1">
        <v>79.394000000000005</v>
      </c>
    </row>
    <row r="3064" spans="1:8" x14ac:dyDescent="0.3">
      <c r="A3064" s="2">
        <v>670</v>
      </c>
      <c r="B3064" t="s">
        <v>1768</v>
      </c>
      <c r="C3064" t="s">
        <v>3</v>
      </c>
      <c r="D3064" s="2">
        <v>1</v>
      </c>
      <c r="E3064" s="11" t="s">
        <v>1767</v>
      </c>
      <c r="F3064" t="s">
        <v>65</v>
      </c>
      <c r="G3064" s="2" t="s">
        <v>4</v>
      </c>
      <c r="H3064" s="1">
        <v>95.294000000000011</v>
      </c>
    </row>
    <row r="3065" spans="1:8" x14ac:dyDescent="0.3">
      <c r="A3065" s="2">
        <v>670</v>
      </c>
      <c r="B3065" t="s">
        <v>1988</v>
      </c>
      <c r="C3065" t="s">
        <v>3</v>
      </c>
      <c r="D3065" s="2">
        <v>1</v>
      </c>
      <c r="E3065" s="11" t="s">
        <v>1761</v>
      </c>
      <c r="F3065" t="s">
        <v>55</v>
      </c>
      <c r="G3065" s="2" t="s">
        <v>4</v>
      </c>
      <c r="H3065" s="1">
        <v>105.89400000000001</v>
      </c>
    </row>
    <row r="3066" spans="1:8" x14ac:dyDescent="0.3">
      <c r="A3066" s="2">
        <v>670</v>
      </c>
      <c r="B3066" t="s">
        <v>1987</v>
      </c>
      <c r="C3066" t="s">
        <v>3224</v>
      </c>
      <c r="D3066" s="2">
        <v>1</v>
      </c>
      <c r="E3066" s="11" t="s">
        <v>1951</v>
      </c>
      <c r="F3066" t="s">
        <v>55</v>
      </c>
      <c r="G3066" s="2" t="s">
        <v>4</v>
      </c>
      <c r="H3066" s="1">
        <v>100.59400000000001</v>
      </c>
    </row>
    <row r="3067" spans="1:8" x14ac:dyDescent="0.3">
      <c r="A3067" s="2">
        <v>670</v>
      </c>
      <c r="B3067" t="s">
        <v>1986</v>
      </c>
      <c r="C3067" t="s">
        <v>3224</v>
      </c>
      <c r="D3067" s="2">
        <v>1</v>
      </c>
      <c r="E3067" s="11" t="s">
        <v>1719</v>
      </c>
      <c r="F3067" t="s">
        <v>114</v>
      </c>
      <c r="G3067" s="2" t="s">
        <v>4</v>
      </c>
      <c r="H3067" s="1">
        <v>105.89400000000001</v>
      </c>
    </row>
    <row r="3068" spans="1:8" x14ac:dyDescent="0.3">
      <c r="A3068" s="2">
        <v>670</v>
      </c>
      <c r="B3068" t="s">
        <v>1985</v>
      </c>
      <c r="C3068" t="s">
        <v>2</v>
      </c>
      <c r="D3068" s="2">
        <v>1</v>
      </c>
      <c r="E3068" s="11" t="s">
        <v>1678</v>
      </c>
      <c r="F3068" t="s">
        <v>114</v>
      </c>
      <c r="G3068" s="2" t="s">
        <v>4</v>
      </c>
      <c r="H3068" s="1">
        <v>73.093999999999994</v>
      </c>
    </row>
    <row r="3069" spans="1:8" x14ac:dyDescent="0.3">
      <c r="A3069" s="2">
        <v>670</v>
      </c>
      <c r="B3069" t="s">
        <v>583</v>
      </c>
      <c r="C3069" t="s">
        <v>3225</v>
      </c>
      <c r="D3069" s="2">
        <v>1</v>
      </c>
      <c r="E3069" s="11" t="s">
        <v>220</v>
      </c>
      <c r="F3069" t="s">
        <v>47</v>
      </c>
      <c r="G3069" s="2" t="s">
        <v>4</v>
      </c>
      <c r="H3069" s="1">
        <v>195.99400000000003</v>
      </c>
    </row>
    <row r="3070" spans="1:8" x14ac:dyDescent="0.3">
      <c r="A3070" s="2">
        <v>670</v>
      </c>
      <c r="B3070" t="s">
        <v>1984</v>
      </c>
      <c r="C3070" t="s">
        <v>3</v>
      </c>
      <c r="D3070" s="2">
        <v>1</v>
      </c>
      <c r="E3070" s="11" t="s">
        <v>1195</v>
      </c>
      <c r="F3070" t="s">
        <v>47</v>
      </c>
      <c r="G3070" s="2" t="s">
        <v>4</v>
      </c>
      <c r="H3070" s="1">
        <v>116.49400000000001</v>
      </c>
    </row>
    <row r="3071" spans="1:8" x14ac:dyDescent="0.3">
      <c r="A3071" s="2">
        <v>670</v>
      </c>
      <c r="B3071" t="s">
        <v>1983</v>
      </c>
      <c r="C3071" t="s">
        <v>3224</v>
      </c>
      <c r="D3071" s="2">
        <v>1</v>
      </c>
      <c r="E3071" s="11" t="s">
        <v>1982</v>
      </c>
      <c r="F3071" t="s">
        <v>39</v>
      </c>
      <c r="G3071" s="2" t="s">
        <v>4</v>
      </c>
      <c r="H3071" s="1">
        <v>111.19400000000002</v>
      </c>
    </row>
    <row r="3072" spans="1:8" x14ac:dyDescent="0.3">
      <c r="A3072" s="2">
        <v>670</v>
      </c>
      <c r="B3072" t="s">
        <v>1974</v>
      </c>
      <c r="C3072" t="s">
        <v>3</v>
      </c>
      <c r="D3072" s="2">
        <v>1</v>
      </c>
      <c r="E3072" s="11" t="s">
        <v>1544</v>
      </c>
      <c r="F3072" t="s">
        <v>39</v>
      </c>
      <c r="G3072" s="2" t="s">
        <v>4</v>
      </c>
      <c r="H3072" s="1">
        <v>95.294000000000011</v>
      </c>
    </row>
    <row r="3073" spans="1:8" x14ac:dyDescent="0.3">
      <c r="A3073" s="2">
        <v>670</v>
      </c>
      <c r="B3073" t="s">
        <v>1981</v>
      </c>
      <c r="C3073" t="s">
        <v>3233</v>
      </c>
      <c r="D3073" s="2">
        <v>1</v>
      </c>
      <c r="E3073" s="11" t="s">
        <v>258</v>
      </c>
      <c r="F3073" t="s">
        <v>39</v>
      </c>
      <c r="G3073" s="2" t="s">
        <v>4</v>
      </c>
      <c r="H3073" s="1">
        <v>79.394000000000005</v>
      </c>
    </row>
    <row r="3074" spans="1:8" x14ac:dyDescent="0.3">
      <c r="A3074" s="2">
        <v>670</v>
      </c>
      <c r="B3074" t="s">
        <v>1980</v>
      </c>
      <c r="C3074" t="s">
        <v>1</v>
      </c>
      <c r="D3074" s="2">
        <v>1</v>
      </c>
      <c r="E3074" s="11" t="s">
        <v>1979</v>
      </c>
      <c r="F3074" t="s">
        <v>28</v>
      </c>
      <c r="G3074" s="2" t="s">
        <v>4</v>
      </c>
      <c r="H3074" s="1">
        <v>100.59400000000001</v>
      </c>
    </row>
    <row r="3075" spans="1:8" x14ac:dyDescent="0.3">
      <c r="A3075" s="2">
        <v>670</v>
      </c>
      <c r="B3075" t="s">
        <v>1978</v>
      </c>
      <c r="C3075" t="s">
        <v>3224</v>
      </c>
      <c r="D3075" s="2">
        <v>1</v>
      </c>
      <c r="E3075" s="11" t="s">
        <v>1977</v>
      </c>
      <c r="F3075" t="s">
        <v>28</v>
      </c>
      <c r="G3075" s="2" t="s">
        <v>4</v>
      </c>
      <c r="H3075" s="1">
        <v>121.79400000000001</v>
      </c>
    </row>
    <row r="3076" spans="1:8" x14ac:dyDescent="0.3">
      <c r="A3076" s="2">
        <v>671</v>
      </c>
      <c r="B3076" t="s">
        <v>827</v>
      </c>
      <c r="C3076" t="s">
        <v>3220</v>
      </c>
      <c r="D3076" s="2">
        <v>1</v>
      </c>
      <c r="E3076" s="11" t="s">
        <v>640</v>
      </c>
      <c r="F3076" t="s">
        <v>55</v>
      </c>
      <c r="G3076" s="2" t="s">
        <v>31</v>
      </c>
      <c r="H3076" s="1">
        <v>21.094000000000001</v>
      </c>
    </row>
    <row r="3077" spans="1:8" x14ac:dyDescent="0.3">
      <c r="A3077" s="2">
        <v>671</v>
      </c>
      <c r="B3077" t="s">
        <v>1976</v>
      </c>
      <c r="C3077" t="s">
        <v>3365</v>
      </c>
      <c r="D3077" s="2">
        <v>1</v>
      </c>
      <c r="E3077" s="11" t="s">
        <v>1541</v>
      </c>
      <c r="F3077" t="s">
        <v>126</v>
      </c>
      <c r="G3077" s="2" t="s">
        <v>31</v>
      </c>
      <c r="H3077" s="1">
        <v>137.69400000000002</v>
      </c>
    </row>
    <row r="3078" spans="1:8" x14ac:dyDescent="0.3">
      <c r="A3078" s="2">
        <v>671</v>
      </c>
      <c r="B3078" t="s">
        <v>723</v>
      </c>
      <c r="C3078" t="s">
        <v>1</v>
      </c>
      <c r="D3078" s="2">
        <v>1</v>
      </c>
      <c r="E3078" s="11" t="s">
        <v>222</v>
      </c>
      <c r="F3078" t="s">
        <v>28</v>
      </c>
      <c r="G3078" s="2" t="s">
        <v>31</v>
      </c>
      <c r="H3078" s="1">
        <v>52.893999999999998</v>
      </c>
    </row>
    <row r="3079" spans="1:8" x14ac:dyDescent="0.3">
      <c r="A3079" s="2">
        <v>671</v>
      </c>
      <c r="B3079" t="s">
        <v>1975</v>
      </c>
      <c r="C3079" t="s">
        <v>0</v>
      </c>
      <c r="D3079" s="2">
        <v>1</v>
      </c>
      <c r="E3079" s="11" t="s">
        <v>1960</v>
      </c>
      <c r="F3079" t="s">
        <v>62</v>
      </c>
      <c r="G3079" s="2" t="s">
        <v>4</v>
      </c>
      <c r="H3079" s="1">
        <v>132.39400000000001</v>
      </c>
    </row>
    <row r="3080" spans="1:8" x14ac:dyDescent="0.3">
      <c r="A3080" s="2">
        <v>671</v>
      </c>
      <c r="B3080" t="s">
        <v>1666</v>
      </c>
      <c r="C3080" t="s">
        <v>0</v>
      </c>
      <c r="D3080" s="2">
        <v>1</v>
      </c>
      <c r="E3080" s="11" t="s">
        <v>272</v>
      </c>
      <c r="F3080" t="s">
        <v>28</v>
      </c>
      <c r="G3080" s="2" t="s">
        <v>4</v>
      </c>
      <c r="H3080" s="1">
        <v>174.79400000000001</v>
      </c>
    </row>
    <row r="3081" spans="1:8" x14ac:dyDescent="0.3">
      <c r="A3081" s="2">
        <v>671</v>
      </c>
      <c r="B3081" t="s">
        <v>1961</v>
      </c>
      <c r="C3081" t="s">
        <v>0</v>
      </c>
      <c r="D3081" s="2">
        <v>1</v>
      </c>
      <c r="E3081" s="11" t="s">
        <v>1960</v>
      </c>
      <c r="F3081" t="s">
        <v>959</v>
      </c>
      <c r="G3081" s="2" t="s">
        <v>31</v>
      </c>
      <c r="H3081" s="1">
        <v>132.39400000000001</v>
      </c>
    </row>
    <row r="3082" spans="1:8" x14ac:dyDescent="0.3">
      <c r="A3082" s="2">
        <v>671</v>
      </c>
      <c r="B3082" t="s">
        <v>1420</v>
      </c>
      <c r="C3082" t="s">
        <v>3224</v>
      </c>
      <c r="D3082" s="2">
        <v>1</v>
      </c>
      <c r="E3082" s="11" t="s">
        <v>1248</v>
      </c>
      <c r="F3082" t="s">
        <v>114</v>
      </c>
      <c r="G3082" s="2" t="s">
        <v>31</v>
      </c>
      <c r="H3082" s="1">
        <v>95.294000000000011</v>
      </c>
    </row>
    <row r="3083" spans="1:8" x14ac:dyDescent="0.3">
      <c r="A3083" s="2">
        <v>671</v>
      </c>
      <c r="B3083" t="s">
        <v>1197</v>
      </c>
      <c r="C3083" t="s">
        <v>3</v>
      </c>
      <c r="D3083" s="2">
        <v>1</v>
      </c>
      <c r="E3083" s="11" t="s">
        <v>1195</v>
      </c>
      <c r="F3083" t="s">
        <v>114</v>
      </c>
      <c r="G3083" s="2" t="s">
        <v>4</v>
      </c>
      <c r="H3083" s="1">
        <v>116.49400000000001</v>
      </c>
    </row>
    <row r="3084" spans="1:8" x14ac:dyDescent="0.3">
      <c r="A3084" s="2">
        <v>671</v>
      </c>
      <c r="B3084" t="s">
        <v>1588</v>
      </c>
      <c r="C3084" t="s">
        <v>3</v>
      </c>
      <c r="D3084" s="2">
        <v>1</v>
      </c>
      <c r="E3084" s="11" t="s">
        <v>1195</v>
      </c>
      <c r="F3084" t="s">
        <v>114</v>
      </c>
      <c r="G3084" s="2" t="s">
        <v>31</v>
      </c>
      <c r="H3084" s="1">
        <v>116.49400000000001</v>
      </c>
    </row>
    <row r="3085" spans="1:8" x14ac:dyDescent="0.3">
      <c r="A3085" s="2">
        <v>671</v>
      </c>
      <c r="B3085" t="s">
        <v>1817</v>
      </c>
      <c r="C3085" t="s">
        <v>1</v>
      </c>
      <c r="D3085" s="2">
        <v>1</v>
      </c>
      <c r="E3085" s="11" t="s">
        <v>222</v>
      </c>
      <c r="F3085" t="s">
        <v>47</v>
      </c>
      <c r="G3085" s="2" t="s">
        <v>31</v>
      </c>
      <c r="H3085" s="1">
        <v>52.893999999999998</v>
      </c>
    </row>
    <row r="3086" spans="1:8" x14ac:dyDescent="0.3">
      <c r="A3086" s="2">
        <v>671</v>
      </c>
      <c r="B3086" t="s">
        <v>1882</v>
      </c>
      <c r="C3086" t="s">
        <v>1</v>
      </c>
      <c r="D3086" s="2">
        <v>1</v>
      </c>
      <c r="E3086" s="11" t="s">
        <v>222</v>
      </c>
      <c r="F3086" t="s">
        <v>39</v>
      </c>
      <c r="G3086" s="2" t="s">
        <v>4</v>
      </c>
      <c r="H3086" s="1">
        <v>52.893999999999998</v>
      </c>
    </row>
    <row r="3087" spans="1:8" x14ac:dyDescent="0.3">
      <c r="A3087" s="2">
        <v>671</v>
      </c>
      <c r="B3087" t="s">
        <v>1029</v>
      </c>
      <c r="C3087" t="s">
        <v>3220</v>
      </c>
      <c r="D3087" s="2">
        <v>1</v>
      </c>
      <c r="E3087" s="11" t="s">
        <v>640</v>
      </c>
      <c r="F3087" t="s">
        <v>39</v>
      </c>
      <c r="G3087" s="2" t="s">
        <v>4</v>
      </c>
      <c r="H3087" s="1">
        <v>21.094000000000001</v>
      </c>
    </row>
    <row r="3088" spans="1:8" x14ac:dyDescent="0.3">
      <c r="A3088" s="2">
        <v>671</v>
      </c>
      <c r="B3088" t="s">
        <v>641</v>
      </c>
      <c r="C3088" t="s">
        <v>3220</v>
      </c>
      <c r="D3088" s="2">
        <v>1</v>
      </c>
      <c r="E3088" s="11" t="s">
        <v>640</v>
      </c>
      <c r="F3088" t="s">
        <v>39</v>
      </c>
      <c r="G3088" s="2" t="s">
        <v>31</v>
      </c>
      <c r="H3088" s="1">
        <v>21.094000000000001</v>
      </c>
    </row>
    <row r="3089" spans="1:8" x14ac:dyDescent="0.3">
      <c r="A3089" s="2">
        <v>671</v>
      </c>
      <c r="B3089" t="s">
        <v>1249</v>
      </c>
      <c r="C3089" t="s">
        <v>3224</v>
      </c>
      <c r="D3089" s="2">
        <v>1</v>
      </c>
      <c r="E3089" s="11" t="s">
        <v>1248</v>
      </c>
      <c r="F3089" t="s">
        <v>39</v>
      </c>
      <c r="G3089" s="2" t="s">
        <v>4</v>
      </c>
      <c r="H3089" s="1">
        <v>95.294000000000011</v>
      </c>
    </row>
    <row r="3090" spans="1:8" x14ac:dyDescent="0.3">
      <c r="A3090" s="2">
        <v>671</v>
      </c>
      <c r="B3090" t="s">
        <v>1974</v>
      </c>
      <c r="C3090" t="s">
        <v>3</v>
      </c>
      <c r="D3090" s="2">
        <v>1</v>
      </c>
      <c r="E3090" s="11" t="s">
        <v>1544</v>
      </c>
      <c r="F3090" t="s">
        <v>39</v>
      </c>
      <c r="G3090" s="2" t="s">
        <v>4</v>
      </c>
      <c r="H3090" s="1">
        <v>95.294000000000011</v>
      </c>
    </row>
    <row r="3091" spans="1:8" x14ac:dyDescent="0.3">
      <c r="A3091" s="2">
        <v>671</v>
      </c>
      <c r="B3091" t="s">
        <v>1973</v>
      </c>
      <c r="C3091" t="s">
        <v>3</v>
      </c>
      <c r="D3091" s="2">
        <v>1</v>
      </c>
      <c r="E3091" s="11" t="s">
        <v>1544</v>
      </c>
      <c r="F3091" t="s">
        <v>39</v>
      </c>
      <c r="G3091" s="2" t="s">
        <v>31</v>
      </c>
      <c r="H3091" s="1">
        <v>95.294000000000011</v>
      </c>
    </row>
    <row r="3092" spans="1:8" x14ac:dyDescent="0.3">
      <c r="A3092" s="2">
        <v>671</v>
      </c>
      <c r="B3092" t="s">
        <v>1919</v>
      </c>
      <c r="C3092" t="s">
        <v>3</v>
      </c>
      <c r="D3092" s="2">
        <v>1</v>
      </c>
      <c r="E3092" s="11" t="s">
        <v>1195</v>
      </c>
      <c r="F3092" t="s">
        <v>39</v>
      </c>
      <c r="G3092" s="2" t="s">
        <v>31</v>
      </c>
      <c r="H3092" s="1">
        <v>116.49400000000001</v>
      </c>
    </row>
    <row r="3093" spans="1:8" x14ac:dyDescent="0.3">
      <c r="A3093" s="2">
        <v>671</v>
      </c>
      <c r="B3093" t="s">
        <v>1972</v>
      </c>
      <c r="C3093" t="s">
        <v>3219</v>
      </c>
      <c r="D3093" s="2">
        <v>1</v>
      </c>
      <c r="E3093" s="11" t="s">
        <v>534</v>
      </c>
      <c r="F3093" t="s">
        <v>36</v>
      </c>
      <c r="G3093" s="2" t="s">
        <v>4</v>
      </c>
      <c r="H3093" s="1">
        <v>89.994000000000014</v>
      </c>
    </row>
    <row r="3094" spans="1:8" x14ac:dyDescent="0.3">
      <c r="A3094" s="2">
        <v>671</v>
      </c>
      <c r="B3094" t="s">
        <v>1971</v>
      </c>
      <c r="C3094" t="s">
        <v>3</v>
      </c>
      <c r="D3094" s="2">
        <v>1</v>
      </c>
      <c r="E3094" s="11" t="s">
        <v>1544</v>
      </c>
      <c r="F3094" t="s">
        <v>28</v>
      </c>
      <c r="G3094" s="2" t="s">
        <v>31</v>
      </c>
      <c r="H3094" s="1">
        <v>95.294000000000011</v>
      </c>
    </row>
    <row r="3095" spans="1:8" x14ac:dyDescent="0.3">
      <c r="A3095" s="2">
        <v>672</v>
      </c>
      <c r="B3095" t="s">
        <v>726</v>
      </c>
      <c r="C3095" t="s">
        <v>1</v>
      </c>
      <c r="D3095" s="2">
        <v>1</v>
      </c>
      <c r="E3095" s="11" t="s">
        <v>281</v>
      </c>
      <c r="F3095" t="s">
        <v>65</v>
      </c>
      <c r="G3095" s="2" t="s">
        <v>4</v>
      </c>
      <c r="H3095" s="1">
        <v>58.194000000000003</v>
      </c>
    </row>
    <row r="3096" spans="1:8" x14ac:dyDescent="0.3">
      <c r="A3096" s="2">
        <v>672</v>
      </c>
      <c r="B3096" t="s">
        <v>729</v>
      </c>
      <c r="C3096" t="s">
        <v>1</v>
      </c>
      <c r="D3096" s="2">
        <v>1</v>
      </c>
      <c r="E3096" s="11" t="s">
        <v>281</v>
      </c>
      <c r="F3096" t="s">
        <v>65</v>
      </c>
      <c r="G3096" s="2" t="s">
        <v>31</v>
      </c>
      <c r="H3096" s="1">
        <v>58.194000000000003</v>
      </c>
    </row>
    <row r="3097" spans="1:8" x14ac:dyDescent="0.3">
      <c r="A3097" s="2">
        <v>672</v>
      </c>
      <c r="B3097" t="s">
        <v>1125</v>
      </c>
      <c r="C3097" t="s">
        <v>1</v>
      </c>
      <c r="D3097" s="2">
        <v>1</v>
      </c>
      <c r="E3097" s="11" t="s">
        <v>281</v>
      </c>
      <c r="F3097" t="s">
        <v>65</v>
      </c>
      <c r="G3097" s="2" t="s">
        <v>23</v>
      </c>
      <c r="H3097" s="1">
        <v>58.194000000000003</v>
      </c>
    </row>
    <row r="3098" spans="1:8" x14ac:dyDescent="0.3">
      <c r="A3098" s="2">
        <v>672</v>
      </c>
      <c r="B3098" t="s">
        <v>1970</v>
      </c>
      <c r="C3098" t="s">
        <v>0</v>
      </c>
      <c r="D3098" s="2">
        <v>1</v>
      </c>
      <c r="E3098" s="11" t="s">
        <v>1786</v>
      </c>
      <c r="F3098" t="s">
        <v>28</v>
      </c>
      <c r="G3098" s="2" t="s">
        <v>31</v>
      </c>
      <c r="H3098" s="1">
        <v>169.49400000000003</v>
      </c>
    </row>
    <row r="3099" spans="1:8" x14ac:dyDescent="0.3">
      <c r="A3099" s="2">
        <v>672</v>
      </c>
      <c r="B3099" t="s">
        <v>1787</v>
      </c>
      <c r="C3099" t="s">
        <v>0</v>
      </c>
      <c r="D3099" s="2">
        <v>1</v>
      </c>
      <c r="E3099" s="11" t="s">
        <v>1786</v>
      </c>
      <c r="F3099" t="s">
        <v>28</v>
      </c>
      <c r="G3099" s="2" t="s">
        <v>23</v>
      </c>
      <c r="H3099" s="1">
        <v>169.49400000000003</v>
      </c>
    </row>
    <row r="3100" spans="1:8" x14ac:dyDescent="0.3">
      <c r="A3100" s="2">
        <v>672</v>
      </c>
      <c r="B3100" t="s">
        <v>1969</v>
      </c>
      <c r="C3100" t="s">
        <v>3224</v>
      </c>
      <c r="D3100" s="2">
        <v>1</v>
      </c>
      <c r="E3100" s="11" t="s">
        <v>1880</v>
      </c>
      <c r="F3100" t="s">
        <v>55</v>
      </c>
      <c r="G3100" s="2" t="s">
        <v>31</v>
      </c>
      <c r="H3100" s="1">
        <v>74.094000000000008</v>
      </c>
    </row>
    <row r="3101" spans="1:8" x14ac:dyDescent="0.3">
      <c r="A3101" s="2">
        <v>672</v>
      </c>
      <c r="B3101" t="s">
        <v>1968</v>
      </c>
      <c r="C3101" t="s">
        <v>3224</v>
      </c>
      <c r="D3101" s="2">
        <v>1</v>
      </c>
      <c r="E3101" s="11" t="s">
        <v>1880</v>
      </c>
      <c r="F3101" t="s">
        <v>55</v>
      </c>
      <c r="G3101" s="2" t="s">
        <v>23</v>
      </c>
      <c r="H3101" s="1">
        <v>74.094000000000008</v>
      </c>
    </row>
    <row r="3102" spans="1:8" x14ac:dyDescent="0.3">
      <c r="A3102" s="2">
        <v>672</v>
      </c>
      <c r="B3102" t="s">
        <v>1326</v>
      </c>
      <c r="C3102" t="s">
        <v>2</v>
      </c>
      <c r="D3102" s="2">
        <v>1</v>
      </c>
      <c r="E3102" s="11" t="s">
        <v>733</v>
      </c>
      <c r="F3102" t="s">
        <v>55</v>
      </c>
      <c r="G3102" s="2" t="s">
        <v>31</v>
      </c>
      <c r="H3102" s="1">
        <v>132.39400000000001</v>
      </c>
    </row>
    <row r="3103" spans="1:8" x14ac:dyDescent="0.3">
      <c r="A3103" s="2">
        <v>672</v>
      </c>
      <c r="B3103" t="s">
        <v>1325</v>
      </c>
      <c r="C3103" t="s">
        <v>2</v>
      </c>
      <c r="D3103" s="2">
        <v>1</v>
      </c>
      <c r="E3103" s="11" t="s">
        <v>733</v>
      </c>
      <c r="F3103" t="s">
        <v>55</v>
      </c>
      <c r="G3103" s="2" t="s">
        <v>23</v>
      </c>
      <c r="H3103" s="1">
        <v>132.39400000000001</v>
      </c>
    </row>
    <row r="3104" spans="1:8" x14ac:dyDescent="0.3">
      <c r="A3104" s="2">
        <v>672</v>
      </c>
      <c r="B3104" t="s">
        <v>1914</v>
      </c>
      <c r="C3104" t="s">
        <v>3219</v>
      </c>
      <c r="D3104" s="2">
        <v>1</v>
      </c>
      <c r="E3104" s="11" t="s">
        <v>1845</v>
      </c>
      <c r="F3104" t="s">
        <v>39</v>
      </c>
      <c r="G3104" s="2" t="s">
        <v>31</v>
      </c>
      <c r="H3104" s="1">
        <v>180.09400000000002</v>
      </c>
    </row>
    <row r="3105" spans="1:8" x14ac:dyDescent="0.3">
      <c r="A3105" s="2">
        <v>672</v>
      </c>
      <c r="B3105" t="s">
        <v>1917</v>
      </c>
      <c r="C3105" t="s">
        <v>3219</v>
      </c>
      <c r="D3105" s="2">
        <v>2</v>
      </c>
      <c r="E3105" s="11" t="s">
        <v>1845</v>
      </c>
      <c r="F3105" t="s">
        <v>39</v>
      </c>
      <c r="G3105" s="2" t="s">
        <v>23</v>
      </c>
      <c r="H3105" s="1">
        <v>180.09400000000002</v>
      </c>
    </row>
    <row r="3106" spans="1:8" x14ac:dyDescent="0.3">
      <c r="A3106" s="2">
        <v>672</v>
      </c>
      <c r="B3106" t="s">
        <v>1967</v>
      </c>
      <c r="C3106" t="s">
        <v>1</v>
      </c>
      <c r="D3106" s="2">
        <v>1</v>
      </c>
      <c r="E3106" s="11" t="s">
        <v>1966</v>
      </c>
      <c r="F3106" t="s">
        <v>39</v>
      </c>
      <c r="G3106" s="2" t="s">
        <v>4</v>
      </c>
      <c r="H3106" s="1">
        <v>52.893999999999998</v>
      </c>
    </row>
    <row r="3107" spans="1:8" x14ac:dyDescent="0.3">
      <c r="A3107" s="2">
        <v>673</v>
      </c>
      <c r="B3107" t="s">
        <v>1035</v>
      </c>
      <c r="C3107" t="s">
        <v>3224</v>
      </c>
      <c r="D3107" s="2">
        <v>1</v>
      </c>
      <c r="E3107" s="11" t="s">
        <v>499</v>
      </c>
      <c r="F3107" t="s">
        <v>55</v>
      </c>
      <c r="G3107" s="2" t="s">
        <v>23</v>
      </c>
      <c r="H3107" s="1">
        <v>84.694000000000017</v>
      </c>
    </row>
    <row r="3108" spans="1:8" x14ac:dyDescent="0.3">
      <c r="A3108" s="2">
        <v>673</v>
      </c>
      <c r="B3108" t="s">
        <v>1965</v>
      </c>
      <c r="C3108" t="s">
        <v>0</v>
      </c>
      <c r="D3108" s="2">
        <v>1</v>
      </c>
      <c r="E3108" s="11" t="s">
        <v>1963</v>
      </c>
      <c r="F3108" t="s">
        <v>62</v>
      </c>
      <c r="G3108" s="2" t="s">
        <v>4</v>
      </c>
      <c r="H3108" s="1">
        <v>164.19400000000002</v>
      </c>
    </row>
    <row r="3109" spans="1:8" x14ac:dyDescent="0.3">
      <c r="A3109" s="2">
        <v>673</v>
      </c>
      <c r="B3109" t="s">
        <v>1964</v>
      </c>
      <c r="C3109" t="s">
        <v>0</v>
      </c>
      <c r="D3109" s="2">
        <v>1</v>
      </c>
      <c r="E3109" s="11" t="s">
        <v>1963</v>
      </c>
      <c r="F3109" t="s">
        <v>62</v>
      </c>
      <c r="G3109" s="2" t="s">
        <v>23</v>
      </c>
      <c r="H3109" s="1">
        <v>164.19400000000002</v>
      </c>
    </row>
    <row r="3110" spans="1:8" x14ac:dyDescent="0.3">
      <c r="A3110" s="2">
        <v>673</v>
      </c>
      <c r="B3110" t="s">
        <v>1962</v>
      </c>
      <c r="C3110" t="s">
        <v>0</v>
      </c>
      <c r="D3110" s="2">
        <v>1</v>
      </c>
      <c r="E3110" s="11" t="s">
        <v>1960</v>
      </c>
      <c r="F3110" t="s">
        <v>62</v>
      </c>
      <c r="G3110" s="2" t="s">
        <v>23</v>
      </c>
      <c r="H3110" s="1">
        <v>132.39400000000001</v>
      </c>
    </row>
    <row r="3111" spans="1:8" x14ac:dyDescent="0.3">
      <c r="A3111" s="2">
        <v>673</v>
      </c>
      <c r="B3111" t="s">
        <v>1961</v>
      </c>
      <c r="C3111" t="s">
        <v>0</v>
      </c>
      <c r="D3111" s="2">
        <v>1</v>
      </c>
      <c r="E3111" s="11" t="s">
        <v>1960</v>
      </c>
      <c r="F3111" t="s">
        <v>959</v>
      </c>
      <c r="G3111" s="2" t="s">
        <v>31</v>
      </c>
      <c r="H3111" s="1">
        <v>132.39400000000001</v>
      </c>
    </row>
    <row r="3112" spans="1:8" x14ac:dyDescent="0.3">
      <c r="A3112" s="2">
        <v>673</v>
      </c>
      <c r="B3112" t="s">
        <v>1847</v>
      </c>
      <c r="C3112" t="s">
        <v>3219</v>
      </c>
      <c r="D3112" s="2">
        <v>1</v>
      </c>
      <c r="E3112" s="11" t="s">
        <v>1845</v>
      </c>
      <c r="F3112" t="s">
        <v>114</v>
      </c>
      <c r="G3112" s="2" t="s">
        <v>23</v>
      </c>
      <c r="H3112" s="1">
        <v>180.09400000000002</v>
      </c>
    </row>
    <row r="3113" spans="1:8" x14ac:dyDescent="0.3">
      <c r="A3113" s="2">
        <v>673</v>
      </c>
      <c r="B3113" t="s">
        <v>1570</v>
      </c>
      <c r="C3113" t="s">
        <v>3219</v>
      </c>
      <c r="D3113" s="2">
        <v>1</v>
      </c>
      <c r="E3113" s="11" t="s">
        <v>1214</v>
      </c>
      <c r="F3113" t="s">
        <v>114</v>
      </c>
      <c r="G3113" s="2" t="s">
        <v>31</v>
      </c>
      <c r="H3113" s="1">
        <v>127.09400000000001</v>
      </c>
    </row>
    <row r="3114" spans="1:8" x14ac:dyDescent="0.3">
      <c r="A3114" s="2">
        <v>673</v>
      </c>
      <c r="B3114" t="s">
        <v>1959</v>
      </c>
      <c r="C3114" t="s">
        <v>3219</v>
      </c>
      <c r="D3114" s="2">
        <v>1</v>
      </c>
      <c r="E3114" s="11" t="s">
        <v>1214</v>
      </c>
      <c r="F3114" t="s">
        <v>114</v>
      </c>
      <c r="G3114" s="2" t="s">
        <v>23</v>
      </c>
      <c r="H3114" s="1">
        <v>127.09400000000001</v>
      </c>
    </row>
    <row r="3115" spans="1:8" x14ac:dyDescent="0.3">
      <c r="A3115" s="2">
        <v>673</v>
      </c>
      <c r="B3115" t="s">
        <v>1855</v>
      </c>
      <c r="C3115" t="s">
        <v>3219</v>
      </c>
      <c r="D3115" s="2">
        <v>1</v>
      </c>
      <c r="E3115" s="11" t="s">
        <v>1845</v>
      </c>
      <c r="F3115" t="s">
        <v>47</v>
      </c>
      <c r="G3115" s="2" t="s">
        <v>31</v>
      </c>
      <c r="H3115" s="1">
        <v>180.09400000000002</v>
      </c>
    </row>
    <row r="3116" spans="1:8" x14ac:dyDescent="0.3">
      <c r="A3116" s="2">
        <v>673</v>
      </c>
      <c r="B3116" t="s">
        <v>1846</v>
      </c>
      <c r="C3116" t="s">
        <v>3219</v>
      </c>
      <c r="D3116" s="2">
        <v>2</v>
      </c>
      <c r="E3116" s="11" t="s">
        <v>1845</v>
      </c>
      <c r="F3116" t="s">
        <v>47</v>
      </c>
      <c r="G3116" s="2" t="s">
        <v>23</v>
      </c>
      <c r="H3116" s="1">
        <v>180.09400000000002</v>
      </c>
    </row>
    <row r="3117" spans="1:8" x14ac:dyDescent="0.3">
      <c r="A3117" s="2">
        <v>673</v>
      </c>
      <c r="B3117" t="s">
        <v>553</v>
      </c>
      <c r="C3117" t="s">
        <v>3224</v>
      </c>
      <c r="D3117" s="2">
        <v>1</v>
      </c>
      <c r="E3117" s="11" t="s">
        <v>499</v>
      </c>
      <c r="F3117" t="s">
        <v>47</v>
      </c>
      <c r="G3117" s="2" t="s">
        <v>31</v>
      </c>
      <c r="H3117" s="1">
        <v>84.694000000000017</v>
      </c>
    </row>
    <row r="3118" spans="1:8" x14ac:dyDescent="0.3">
      <c r="A3118" s="2">
        <v>673</v>
      </c>
      <c r="B3118" t="s">
        <v>1689</v>
      </c>
      <c r="C3118" t="s">
        <v>0</v>
      </c>
      <c r="D3118" s="2">
        <v>1</v>
      </c>
      <c r="E3118" s="11" t="s">
        <v>1551</v>
      </c>
      <c r="F3118" t="s">
        <v>39</v>
      </c>
      <c r="G3118" s="2" t="s">
        <v>31</v>
      </c>
      <c r="H3118" s="1">
        <v>121.79400000000001</v>
      </c>
    </row>
    <row r="3119" spans="1:8" x14ac:dyDescent="0.3">
      <c r="A3119" s="2">
        <v>673</v>
      </c>
      <c r="B3119" t="s">
        <v>1661</v>
      </c>
      <c r="C3119" t="s">
        <v>0</v>
      </c>
      <c r="D3119" s="2">
        <v>1</v>
      </c>
      <c r="E3119" s="11" t="s">
        <v>1551</v>
      </c>
      <c r="F3119" t="s">
        <v>39</v>
      </c>
      <c r="G3119" s="2" t="s">
        <v>23</v>
      </c>
      <c r="H3119" s="1">
        <v>121.79400000000001</v>
      </c>
    </row>
    <row r="3120" spans="1:8" x14ac:dyDescent="0.3">
      <c r="A3120" s="2">
        <v>674</v>
      </c>
      <c r="B3120" t="s">
        <v>1958</v>
      </c>
      <c r="C3120" t="s">
        <v>1</v>
      </c>
      <c r="D3120" s="2">
        <v>1</v>
      </c>
      <c r="E3120" s="11" t="s">
        <v>252</v>
      </c>
      <c r="F3120" t="s">
        <v>114</v>
      </c>
      <c r="G3120" s="2" t="s">
        <v>31</v>
      </c>
      <c r="H3120" s="1">
        <v>52.893999999999998</v>
      </c>
    </row>
    <row r="3121" spans="1:8" x14ac:dyDescent="0.3">
      <c r="A3121" s="2">
        <v>674</v>
      </c>
      <c r="B3121" t="s">
        <v>1918</v>
      </c>
      <c r="C3121" t="s">
        <v>1</v>
      </c>
      <c r="D3121" s="2">
        <v>1</v>
      </c>
      <c r="E3121" s="11" t="s">
        <v>252</v>
      </c>
      <c r="F3121" t="s">
        <v>114</v>
      </c>
      <c r="G3121" s="2" t="s">
        <v>23</v>
      </c>
      <c r="H3121" s="1">
        <v>52.893999999999998</v>
      </c>
    </row>
    <row r="3122" spans="1:8" x14ac:dyDescent="0.3">
      <c r="A3122" s="2">
        <v>674</v>
      </c>
      <c r="B3122" t="s">
        <v>1933</v>
      </c>
      <c r="C3122" t="s">
        <v>3219</v>
      </c>
      <c r="D3122" s="2">
        <v>1</v>
      </c>
      <c r="E3122" s="11" t="s">
        <v>1173</v>
      </c>
      <c r="F3122" t="s">
        <v>39</v>
      </c>
      <c r="G3122" s="2" t="s">
        <v>23</v>
      </c>
      <c r="H3122" s="1">
        <v>116.49400000000001</v>
      </c>
    </row>
    <row r="3123" spans="1:8" x14ac:dyDescent="0.3">
      <c r="A3123" s="2">
        <v>674</v>
      </c>
      <c r="B3123" t="s">
        <v>1446</v>
      </c>
      <c r="C3123" t="s">
        <v>3224</v>
      </c>
      <c r="D3123" s="2">
        <v>1</v>
      </c>
      <c r="E3123" s="11" t="s">
        <v>1444</v>
      </c>
      <c r="F3123" t="s">
        <v>39</v>
      </c>
      <c r="G3123" s="2" t="s">
        <v>31</v>
      </c>
      <c r="H3123" s="1">
        <v>95.294000000000011</v>
      </c>
    </row>
    <row r="3124" spans="1:8" x14ac:dyDescent="0.3">
      <c r="A3124" s="2">
        <v>674</v>
      </c>
      <c r="B3124" t="s">
        <v>1445</v>
      </c>
      <c r="C3124" t="s">
        <v>3224</v>
      </c>
      <c r="D3124" s="2">
        <v>2</v>
      </c>
      <c r="E3124" s="11" t="s">
        <v>1444</v>
      </c>
      <c r="F3124" t="s">
        <v>39</v>
      </c>
      <c r="G3124" s="2" t="s">
        <v>23</v>
      </c>
      <c r="H3124" s="1">
        <v>95.294000000000011</v>
      </c>
    </row>
    <row r="3125" spans="1:8" x14ac:dyDescent="0.3">
      <c r="A3125" s="2">
        <v>674</v>
      </c>
      <c r="B3125" t="s">
        <v>1914</v>
      </c>
      <c r="C3125" t="s">
        <v>3219</v>
      </c>
      <c r="D3125" s="2">
        <v>1</v>
      </c>
      <c r="E3125" s="11" t="s">
        <v>1845</v>
      </c>
      <c r="F3125" t="s">
        <v>39</v>
      </c>
      <c r="G3125" s="2" t="s">
        <v>31</v>
      </c>
      <c r="H3125" s="1">
        <v>180.09400000000002</v>
      </c>
    </row>
    <row r="3126" spans="1:8" x14ac:dyDescent="0.3">
      <c r="A3126" s="2">
        <v>674</v>
      </c>
      <c r="B3126" t="s">
        <v>1917</v>
      </c>
      <c r="C3126" t="s">
        <v>3219</v>
      </c>
      <c r="D3126" s="2">
        <v>1</v>
      </c>
      <c r="E3126" s="11" t="s">
        <v>1845</v>
      </c>
      <c r="F3126" t="s">
        <v>39</v>
      </c>
      <c r="G3126" s="2" t="s">
        <v>23</v>
      </c>
      <c r="H3126" s="1">
        <v>180.09400000000002</v>
      </c>
    </row>
    <row r="3127" spans="1:8" x14ac:dyDescent="0.3">
      <c r="A3127" s="2">
        <v>674</v>
      </c>
      <c r="B3127" t="s">
        <v>1443</v>
      </c>
      <c r="C3127" t="s">
        <v>3224</v>
      </c>
      <c r="D3127" s="2">
        <v>1</v>
      </c>
      <c r="E3127" s="11" t="s">
        <v>1223</v>
      </c>
      <c r="F3127" t="s">
        <v>39</v>
      </c>
      <c r="G3127" s="2" t="s">
        <v>4</v>
      </c>
      <c r="H3127" s="1">
        <v>52.893999999999998</v>
      </c>
    </row>
    <row r="3128" spans="1:8" x14ac:dyDescent="0.3">
      <c r="A3128" s="2">
        <v>674</v>
      </c>
      <c r="B3128" t="s">
        <v>1458</v>
      </c>
      <c r="C3128" t="s">
        <v>3224</v>
      </c>
      <c r="D3128" s="2">
        <v>1</v>
      </c>
      <c r="E3128" s="11" t="s">
        <v>1223</v>
      </c>
      <c r="F3128" t="s">
        <v>39</v>
      </c>
      <c r="G3128" s="2" t="s">
        <v>23</v>
      </c>
      <c r="H3128" s="1">
        <v>52.893999999999998</v>
      </c>
    </row>
    <row r="3129" spans="1:8" x14ac:dyDescent="0.3">
      <c r="A3129" s="2">
        <v>674</v>
      </c>
      <c r="B3129" t="s">
        <v>1957</v>
      </c>
      <c r="C3129" t="s">
        <v>3225</v>
      </c>
      <c r="D3129" s="2">
        <v>1</v>
      </c>
      <c r="E3129" s="11" t="s">
        <v>1394</v>
      </c>
      <c r="F3129" t="s">
        <v>28</v>
      </c>
      <c r="G3129" s="2" t="s">
        <v>4</v>
      </c>
      <c r="H3129" s="1">
        <v>190.69400000000002</v>
      </c>
    </row>
    <row r="3130" spans="1:8" x14ac:dyDescent="0.3">
      <c r="A3130" s="2">
        <v>674</v>
      </c>
      <c r="B3130" t="s">
        <v>1956</v>
      </c>
      <c r="C3130" t="s">
        <v>3225</v>
      </c>
      <c r="D3130" s="2">
        <v>1</v>
      </c>
      <c r="E3130" s="11" t="s">
        <v>1394</v>
      </c>
      <c r="F3130" t="s">
        <v>28</v>
      </c>
      <c r="G3130" s="2" t="s">
        <v>23</v>
      </c>
      <c r="H3130" s="1">
        <v>190.69400000000002</v>
      </c>
    </row>
    <row r="3131" spans="1:8" x14ac:dyDescent="0.3">
      <c r="A3131" s="2">
        <v>674</v>
      </c>
      <c r="B3131" t="s">
        <v>1441</v>
      </c>
      <c r="C3131" t="s">
        <v>3224</v>
      </c>
      <c r="D3131" s="2">
        <v>1</v>
      </c>
      <c r="E3131" s="11" t="s">
        <v>1223</v>
      </c>
      <c r="F3131" t="s">
        <v>28</v>
      </c>
      <c r="G3131" s="2" t="s">
        <v>31</v>
      </c>
      <c r="H3131" s="1">
        <v>52.893999999999998</v>
      </c>
    </row>
    <row r="3132" spans="1:8" x14ac:dyDescent="0.3">
      <c r="A3132" s="2">
        <v>675</v>
      </c>
      <c r="B3132" t="s">
        <v>1557</v>
      </c>
      <c r="C3132" t="s">
        <v>3224</v>
      </c>
      <c r="D3132" s="2">
        <v>1</v>
      </c>
      <c r="E3132" s="11" t="s">
        <v>1401</v>
      </c>
      <c r="F3132" t="s">
        <v>65</v>
      </c>
      <c r="G3132" s="2" t="s">
        <v>31</v>
      </c>
      <c r="H3132" s="1">
        <v>68.794000000000011</v>
      </c>
    </row>
    <row r="3133" spans="1:8" x14ac:dyDescent="0.3">
      <c r="A3133" s="2">
        <v>675</v>
      </c>
      <c r="B3133" t="s">
        <v>587</v>
      </c>
      <c r="C3133" t="s">
        <v>3219</v>
      </c>
      <c r="D3133" s="2">
        <v>1</v>
      </c>
      <c r="E3133" s="11" t="s">
        <v>585</v>
      </c>
      <c r="F3133" t="s">
        <v>65</v>
      </c>
      <c r="G3133" s="2" t="s">
        <v>31</v>
      </c>
      <c r="H3133" s="1">
        <v>116.49400000000001</v>
      </c>
    </row>
    <row r="3134" spans="1:8" x14ac:dyDescent="0.3">
      <c r="A3134" s="2">
        <v>675</v>
      </c>
      <c r="B3134" t="s">
        <v>1955</v>
      </c>
      <c r="C3134" t="s">
        <v>3224</v>
      </c>
      <c r="D3134" s="2">
        <v>1</v>
      </c>
      <c r="E3134" s="11" t="s">
        <v>1811</v>
      </c>
      <c r="F3134" t="s">
        <v>126</v>
      </c>
      <c r="G3134" s="2" t="s">
        <v>31</v>
      </c>
      <c r="H3134" s="1">
        <v>100.59400000000001</v>
      </c>
    </row>
    <row r="3135" spans="1:8" x14ac:dyDescent="0.3">
      <c r="A3135" s="2">
        <v>675</v>
      </c>
      <c r="B3135" t="s">
        <v>1634</v>
      </c>
      <c r="C3135" t="s">
        <v>3219</v>
      </c>
      <c r="D3135" s="2">
        <v>1</v>
      </c>
      <c r="E3135" s="11" t="s">
        <v>1173</v>
      </c>
      <c r="F3135" t="s">
        <v>81</v>
      </c>
      <c r="G3135" s="2" t="s">
        <v>23</v>
      </c>
      <c r="H3135" s="1">
        <v>116.49400000000001</v>
      </c>
    </row>
    <row r="3136" spans="1:8" x14ac:dyDescent="0.3">
      <c r="A3136" s="2">
        <v>675</v>
      </c>
      <c r="B3136" t="s">
        <v>1869</v>
      </c>
      <c r="C3136" t="s">
        <v>3224</v>
      </c>
      <c r="D3136" s="2">
        <v>1</v>
      </c>
      <c r="E3136" s="11" t="s">
        <v>1685</v>
      </c>
      <c r="F3136" t="s">
        <v>62</v>
      </c>
      <c r="G3136" s="2" t="s">
        <v>31</v>
      </c>
      <c r="H3136" s="1">
        <v>79.394000000000005</v>
      </c>
    </row>
    <row r="3137" spans="1:8" x14ac:dyDescent="0.3">
      <c r="A3137" s="2">
        <v>675</v>
      </c>
      <c r="B3137" t="s">
        <v>1868</v>
      </c>
      <c r="C3137" t="s">
        <v>3</v>
      </c>
      <c r="D3137" s="2">
        <v>1</v>
      </c>
      <c r="E3137" s="11" t="s">
        <v>1767</v>
      </c>
      <c r="F3137" t="s">
        <v>62</v>
      </c>
      <c r="G3137" s="2" t="s">
        <v>31</v>
      </c>
      <c r="H3137" s="1">
        <v>95.294000000000011</v>
      </c>
    </row>
    <row r="3138" spans="1:8" x14ac:dyDescent="0.3">
      <c r="A3138" s="2">
        <v>675</v>
      </c>
      <c r="B3138" t="s">
        <v>1954</v>
      </c>
      <c r="C3138" t="s">
        <v>3225</v>
      </c>
      <c r="D3138" s="2">
        <v>1</v>
      </c>
      <c r="E3138" s="11" t="s">
        <v>1216</v>
      </c>
      <c r="F3138" t="s">
        <v>62</v>
      </c>
      <c r="G3138" s="2" t="s">
        <v>23</v>
      </c>
      <c r="H3138" s="1">
        <v>206.59400000000002</v>
      </c>
    </row>
    <row r="3139" spans="1:8" x14ac:dyDescent="0.3">
      <c r="A3139" s="2">
        <v>675</v>
      </c>
      <c r="B3139" t="s">
        <v>1728</v>
      </c>
      <c r="C3139" t="s">
        <v>0</v>
      </c>
      <c r="D3139" s="2">
        <v>1</v>
      </c>
      <c r="E3139" s="11" t="s">
        <v>1481</v>
      </c>
      <c r="F3139" t="s">
        <v>28</v>
      </c>
      <c r="G3139" s="2" t="s">
        <v>23</v>
      </c>
      <c r="H3139" s="1">
        <v>195.99400000000003</v>
      </c>
    </row>
    <row r="3140" spans="1:8" x14ac:dyDescent="0.3">
      <c r="A3140" s="2">
        <v>675</v>
      </c>
      <c r="B3140" t="s">
        <v>1537</v>
      </c>
      <c r="C3140" t="s">
        <v>3</v>
      </c>
      <c r="D3140" s="2">
        <v>1</v>
      </c>
      <c r="E3140" s="11" t="s">
        <v>1524</v>
      </c>
      <c r="F3140" t="s">
        <v>959</v>
      </c>
      <c r="G3140" s="2" t="s">
        <v>31</v>
      </c>
      <c r="H3140" s="1">
        <v>100.59400000000001</v>
      </c>
    </row>
    <row r="3141" spans="1:8" x14ac:dyDescent="0.3">
      <c r="A3141" s="2">
        <v>675</v>
      </c>
      <c r="B3141" t="s">
        <v>1953</v>
      </c>
      <c r="C3141" t="s">
        <v>3</v>
      </c>
      <c r="D3141" s="2">
        <v>1</v>
      </c>
      <c r="E3141" s="11" t="s">
        <v>1761</v>
      </c>
      <c r="F3141" t="s">
        <v>114</v>
      </c>
      <c r="G3141" s="2" t="s">
        <v>23</v>
      </c>
      <c r="H3141" s="1">
        <v>105.89400000000001</v>
      </c>
    </row>
    <row r="3142" spans="1:8" x14ac:dyDescent="0.3">
      <c r="A3142" s="2">
        <v>675</v>
      </c>
      <c r="B3142" t="s">
        <v>1952</v>
      </c>
      <c r="C3142" t="s">
        <v>3224</v>
      </c>
      <c r="D3142" s="2">
        <v>1</v>
      </c>
      <c r="E3142" s="11" t="s">
        <v>1951</v>
      </c>
      <c r="F3142" t="s">
        <v>114</v>
      </c>
      <c r="G3142" s="2" t="s">
        <v>31</v>
      </c>
      <c r="H3142" s="1">
        <v>100.59400000000001</v>
      </c>
    </row>
    <row r="3143" spans="1:8" x14ac:dyDescent="0.3">
      <c r="A3143" s="2">
        <v>675</v>
      </c>
      <c r="B3143" t="s">
        <v>1950</v>
      </c>
      <c r="C3143" t="s">
        <v>1</v>
      </c>
      <c r="D3143" s="2">
        <v>1</v>
      </c>
      <c r="E3143" s="11" t="s">
        <v>1241</v>
      </c>
      <c r="F3143" t="s">
        <v>114</v>
      </c>
      <c r="G3143" s="2" t="s">
        <v>23</v>
      </c>
      <c r="H3143" s="1">
        <v>74.094000000000008</v>
      </c>
    </row>
    <row r="3144" spans="1:8" x14ac:dyDescent="0.3">
      <c r="A3144" s="2">
        <v>675</v>
      </c>
      <c r="B3144" t="s">
        <v>1828</v>
      </c>
      <c r="C3144" t="s">
        <v>3233</v>
      </c>
      <c r="D3144" s="2">
        <v>1</v>
      </c>
      <c r="E3144" s="11" t="s">
        <v>1096</v>
      </c>
      <c r="F3144" t="s">
        <v>114</v>
      </c>
      <c r="G3144" s="2" t="s">
        <v>23</v>
      </c>
      <c r="H3144" s="1">
        <v>132.39400000000001</v>
      </c>
    </row>
    <row r="3145" spans="1:8" x14ac:dyDescent="0.3">
      <c r="A3145" s="2">
        <v>675</v>
      </c>
      <c r="B3145" t="s">
        <v>1949</v>
      </c>
      <c r="C3145" t="s">
        <v>3217</v>
      </c>
      <c r="D3145" s="2">
        <v>1</v>
      </c>
      <c r="E3145" s="11" t="s">
        <v>1948</v>
      </c>
      <c r="F3145" t="s">
        <v>47</v>
      </c>
      <c r="G3145" s="2" t="s">
        <v>23</v>
      </c>
      <c r="H3145" s="1">
        <v>63.494000000000007</v>
      </c>
    </row>
    <row r="3146" spans="1:8" x14ac:dyDescent="0.3">
      <c r="A3146" s="2">
        <v>675</v>
      </c>
      <c r="B3146" t="s">
        <v>1947</v>
      </c>
      <c r="C3146" t="s">
        <v>3225</v>
      </c>
      <c r="D3146" s="2">
        <v>1</v>
      </c>
      <c r="E3146" s="11" t="s">
        <v>831</v>
      </c>
      <c r="F3146" t="s">
        <v>47</v>
      </c>
      <c r="G3146" s="2" t="s">
        <v>31</v>
      </c>
      <c r="H3146" s="1">
        <v>190.69400000000002</v>
      </c>
    </row>
    <row r="3147" spans="1:8" x14ac:dyDescent="0.3">
      <c r="A3147" s="2">
        <v>675</v>
      </c>
      <c r="B3147" t="s">
        <v>162</v>
      </c>
      <c r="C3147" t="s">
        <v>2</v>
      </c>
      <c r="D3147" s="2">
        <v>1</v>
      </c>
      <c r="E3147" s="11" t="s">
        <v>60</v>
      </c>
      <c r="F3147" t="s">
        <v>47</v>
      </c>
      <c r="G3147" s="2" t="s">
        <v>23</v>
      </c>
      <c r="H3147" s="1">
        <v>68.794000000000011</v>
      </c>
    </row>
    <row r="3148" spans="1:8" x14ac:dyDescent="0.3">
      <c r="A3148" s="2">
        <v>675</v>
      </c>
      <c r="B3148" t="s">
        <v>1946</v>
      </c>
      <c r="C3148" t="s">
        <v>0</v>
      </c>
      <c r="D3148" s="2">
        <v>1</v>
      </c>
      <c r="E3148" s="11" t="s">
        <v>1945</v>
      </c>
      <c r="F3148" t="s">
        <v>39</v>
      </c>
      <c r="G3148" s="2" t="s">
        <v>23</v>
      </c>
      <c r="H3148" s="1">
        <v>132.39400000000001</v>
      </c>
    </row>
    <row r="3149" spans="1:8" x14ac:dyDescent="0.3">
      <c r="A3149" s="2">
        <v>675</v>
      </c>
      <c r="B3149" t="s">
        <v>1852</v>
      </c>
      <c r="C3149" t="s">
        <v>2</v>
      </c>
      <c r="D3149" s="2">
        <v>1</v>
      </c>
      <c r="E3149" s="11" t="s">
        <v>733</v>
      </c>
      <c r="F3149" t="s">
        <v>39</v>
      </c>
      <c r="G3149" s="2" t="s">
        <v>23</v>
      </c>
      <c r="H3149" s="1">
        <v>132.39400000000001</v>
      </c>
    </row>
    <row r="3150" spans="1:8" x14ac:dyDescent="0.3">
      <c r="A3150" s="2">
        <v>675</v>
      </c>
      <c r="B3150" t="s">
        <v>1944</v>
      </c>
      <c r="C3150" t="s">
        <v>0</v>
      </c>
      <c r="D3150" s="2">
        <v>1</v>
      </c>
      <c r="E3150" s="11" t="s">
        <v>1109</v>
      </c>
      <c r="F3150" t="s">
        <v>36</v>
      </c>
      <c r="G3150" s="2" t="s">
        <v>31</v>
      </c>
      <c r="H3150" s="1">
        <v>137.69400000000002</v>
      </c>
    </row>
    <row r="3151" spans="1:8" x14ac:dyDescent="0.3">
      <c r="A3151" s="2">
        <v>676</v>
      </c>
      <c r="B3151" t="s">
        <v>1943</v>
      </c>
      <c r="C3151" t="s">
        <v>3225</v>
      </c>
      <c r="D3151" s="2">
        <v>1</v>
      </c>
      <c r="E3151" s="11" t="s">
        <v>1394</v>
      </c>
      <c r="F3151" t="s">
        <v>65</v>
      </c>
      <c r="G3151" s="2" t="s">
        <v>4</v>
      </c>
      <c r="H3151" s="1">
        <v>190.69400000000002</v>
      </c>
    </row>
    <row r="3152" spans="1:8" x14ac:dyDescent="0.3">
      <c r="A3152" s="2">
        <v>676</v>
      </c>
      <c r="B3152" t="s">
        <v>1870</v>
      </c>
      <c r="C3152" t="s">
        <v>3</v>
      </c>
      <c r="D3152" s="2">
        <v>1</v>
      </c>
      <c r="E3152" s="11" t="s">
        <v>1863</v>
      </c>
      <c r="F3152" t="s">
        <v>65</v>
      </c>
      <c r="G3152" s="2" t="s">
        <v>31</v>
      </c>
      <c r="H3152" s="1">
        <v>68.794000000000011</v>
      </c>
    </row>
    <row r="3153" spans="1:8" x14ac:dyDescent="0.3">
      <c r="A3153" s="2">
        <v>676</v>
      </c>
      <c r="B3153" t="s">
        <v>1942</v>
      </c>
      <c r="C3153" t="s">
        <v>3</v>
      </c>
      <c r="D3153" s="2">
        <v>1</v>
      </c>
      <c r="E3153" s="11" t="s">
        <v>1940</v>
      </c>
      <c r="F3153" t="s">
        <v>28</v>
      </c>
      <c r="G3153" s="2" t="s">
        <v>4</v>
      </c>
      <c r="H3153" s="1">
        <v>100.59400000000001</v>
      </c>
    </row>
    <row r="3154" spans="1:8" x14ac:dyDescent="0.3">
      <c r="A3154" s="2">
        <v>676</v>
      </c>
      <c r="B3154" t="s">
        <v>1941</v>
      </c>
      <c r="C3154" t="s">
        <v>3</v>
      </c>
      <c r="D3154" s="2">
        <v>1</v>
      </c>
      <c r="E3154" s="11" t="s">
        <v>1940</v>
      </c>
      <c r="F3154" t="s">
        <v>28</v>
      </c>
      <c r="G3154" s="2" t="s">
        <v>23</v>
      </c>
      <c r="H3154" s="1">
        <v>100.59400000000001</v>
      </c>
    </row>
    <row r="3155" spans="1:8" x14ac:dyDescent="0.3">
      <c r="A3155" s="2">
        <v>676</v>
      </c>
      <c r="B3155" t="s">
        <v>1939</v>
      </c>
      <c r="C3155" t="s">
        <v>3</v>
      </c>
      <c r="D3155" s="2">
        <v>1</v>
      </c>
      <c r="E3155" s="11" t="s">
        <v>1863</v>
      </c>
      <c r="F3155" t="s">
        <v>62</v>
      </c>
      <c r="G3155" s="2" t="s">
        <v>23</v>
      </c>
      <c r="H3155" s="1">
        <v>68.794000000000011</v>
      </c>
    </row>
    <row r="3156" spans="1:8" x14ac:dyDescent="0.3">
      <c r="A3156" s="2">
        <v>676</v>
      </c>
      <c r="B3156" t="s">
        <v>1938</v>
      </c>
      <c r="C3156" t="s">
        <v>3221</v>
      </c>
      <c r="D3156" s="2">
        <v>1</v>
      </c>
      <c r="E3156" s="11" t="s">
        <v>383</v>
      </c>
      <c r="F3156" t="s">
        <v>114</v>
      </c>
      <c r="G3156" s="2" t="s">
        <v>31</v>
      </c>
      <c r="H3156" s="1">
        <v>164.19400000000002</v>
      </c>
    </row>
    <row r="3157" spans="1:8" x14ac:dyDescent="0.3">
      <c r="A3157" s="2">
        <v>676</v>
      </c>
      <c r="B3157" t="s">
        <v>1858</v>
      </c>
      <c r="C3157" t="s">
        <v>3225</v>
      </c>
      <c r="D3157" s="2">
        <v>1</v>
      </c>
      <c r="E3157" s="11" t="s">
        <v>239</v>
      </c>
      <c r="F3157" t="s">
        <v>47</v>
      </c>
      <c r="G3157" s="2" t="s">
        <v>31</v>
      </c>
      <c r="H3157" s="1">
        <v>148.29400000000001</v>
      </c>
    </row>
    <row r="3158" spans="1:8" x14ac:dyDescent="0.3">
      <c r="A3158" s="2">
        <v>676</v>
      </c>
      <c r="B3158" t="s">
        <v>1937</v>
      </c>
      <c r="C3158" t="s">
        <v>3221</v>
      </c>
      <c r="D3158" s="2">
        <v>1</v>
      </c>
      <c r="E3158" s="11" t="s">
        <v>383</v>
      </c>
      <c r="F3158" t="s">
        <v>39</v>
      </c>
      <c r="G3158" s="2" t="s">
        <v>23</v>
      </c>
      <c r="H3158" s="1">
        <v>164.19400000000002</v>
      </c>
    </row>
    <row r="3159" spans="1:8" x14ac:dyDescent="0.3">
      <c r="A3159" s="2">
        <v>676</v>
      </c>
      <c r="B3159" t="s">
        <v>1437</v>
      </c>
      <c r="C3159" t="s">
        <v>3221</v>
      </c>
      <c r="D3159" s="2">
        <v>2</v>
      </c>
      <c r="E3159" s="11" t="s">
        <v>383</v>
      </c>
      <c r="F3159" t="s">
        <v>39</v>
      </c>
      <c r="G3159" s="2" t="s">
        <v>4</v>
      </c>
      <c r="H3159" s="1">
        <v>164.19400000000002</v>
      </c>
    </row>
    <row r="3160" spans="1:8" x14ac:dyDescent="0.3">
      <c r="A3160" s="2">
        <v>676</v>
      </c>
      <c r="B3160" t="s">
        <v>1936</v>
      </c>
      <c r="C3160" t="s">
        <v>3221</v>
      </c>
      <c r="D3160" s="2">
        <v>1</v>
      </c>
      <c r="E3160" s="11" t="s">
        <v>199</v>
      </c>
      <c r="F3160" t="s">
        <v>39</v>
      </c>
      <c r="G3160" s="2" t="s">
        <v>23</v>
      </c>
      <c r="H3160" s="1">
        <v>137.69400000000002</v>
      </c>
    </row>
    <row r="3161" spans="1:8" x14ac:dyDescent="0.3">
      <c r="A3161" s="2">
        <v>676</v>
      </c>
      <c r="B3161" t="s">
        <v>1935</v>
      </c>
      <c r="C3161" t="s">
        <v>0</v>
      </c>
      <c r="D3161" s="2">
        <v>1</v>
      </c>
      <c r="E3161" s="11" t="s">
        <v>1219</v>
      </c>
      <c r="F3161" t="s">
        <v>28</v>
      </c>
      <c r="G3161" s="2" t="s">
        <v>4</v>
      </c>
      <c r="H3161" s="1">
        <v>180.09400000000002</v>
      </c>
    </row>
    <row r="3162" spans="1:8" x14ac:dyDescent="0.3">
      <c r="A3162" s="2">
        <v>677</v>
      </c>
      <c r="B3162" t="s">
        <v>1934</v>
      </c>
      <c r="C3162" t="s">
        <v>3</v>
      </c>
      <c r="D3162" s="2">
        <v>1</v>
      </c>
      <c r="E3162" s="11" t="s">
        <v>1524</v>
      </c>
      <c r="F3162" t="s">
        <v>959</v>
      </c>
      <c r="G3162" s="2" t="s">
        <v>23</v>
      </c>
      <c r="H3162" s="1">
        <v>100.59400000000001</v>
      </c>
    </row>
    <row r="3163" spans="1:8" x14ac:dyDescent="0.3">
      <c r="A3163" s="2">
        <v>677</v>
      </c>
      <c r="B3163" t="s">
        <v>1549</v>
      </c>
      <c r="C3163" t="s">
        <v>3224</v>
      </c>
      <c r="D3163" s="2">
        <v>1</v>
      </c>
      <c r="E3163" s="11" t="s">
        <v>1478</v>
      </c>
      <c r="F3163" t="s">
        <v>114</v>
      </c>
      <c r="G3163" s="2" t="s">
        <v>31</v>
      </c>
      <c r="H3163" s="1">
        <v>116.49400000000001</v>
      </c>
    </row>
    <row r="3164" spans="1:8" x14ac:dyDescent="0.3">
      <c r="A3164" s="2">
        <v>677</v>
      </c>
      <c r="B3164" t="s">
        <v>1846</v>
      </c>
      <c r="C3164" t="s">
        <v>3219</v>
      </c>
      <c r="D3164" s="2">
        <v>1</v>
      </c>
      <c r="E3164" s="11" t="s">
        <v>1845</v>
      </c>
      <c r="F3164" t="s">
        <v>47</v>
      </c>
      <c r="G3164" s="2" t="s">
        <v>23</v>
      </c>
      <c r="H3164" s="1">
        <v>180.09400000000002</v>
      </c>
    </row>
    <row r="3165" spans="1:8" x14ac:dyDescent="0.3">
      <c r="A3165" s="2">
        <v>677</v>
      </c>
      <c r="B3165" t="s">
        <v>1933</v>
      </c>
      <c r="C3165" t="s">
        <v>3219</v>
      </c>
      <c r="D3165" s="2">
        <v>1</v>
      </c>
      <c r="E3165" s="11" t="s">
        <v>1173</v>
      </c>
      <c r="F3165" t="s">
        <v>39</v>
      </c>
      <c r="G3165" s="2" t="s">
        <v>23</v>
      </c>
      <c r="H3165" s="1">
        <v>116.49400000000001</v>
      </c>
    </row>
    <row r="3166" spans="1:8" x14ac:dyDescent="0.3">
      <c r="A3166" s="2">
        <v>677</v>
      </c>
      <c r="B3166" t="s">
        <v>1914</v>
      </c>
      <c r="C3166" t="s">
        <v>3219</v>
      </c>
      <c r="D3166" s="2">
        <v>1</v>
      </c>
      <c r="E3166" s="11" t="s">
        <v>1845</v>
      </c>
      <c r="F3166" t="s">
        <v>39</v>
      </c>
      <c r="G3166" s="2" t="s">
        <v>31</v>
      </c>
      <c r="H3166" s="1">
        <v>180.09400000000002</v>
      </c>
    </row>
    <row r="3167" spans="1:8" x14ac:dyDescent="0.3">
      <c r="A3167" s="2">
        <v>677</v>
      </c>
      <c r="B3167" t="s">
        <v>1917</v>
      </c>
      <c r="C3167" t="s">
        <v>3219</v>
      </c>
      <c r="D3167" s="2">
        <v>1</v>
      </c>
      <c r="E3167" s="11" t="s">
        <v>1845</v>
      </c>
      <c r="F3167" t="s">
        <v>39</v>
      </c>
      <c r="G3167" s="2" t="s">
        <v>23</v>
      </c>
      <c r="H3167" s="1">
        <v>180.09400000000002</v>
      </c>
    </row>
    <row r="3168" spans="1:8" x14ac:dyDescent="0.3">
      <c r="A3168" s="2">
        <v>677</v>
      </c>
      <c r="B3168" t="s">
        <v>1932</v>
      </c>
      <c r="C3168" t="s">
        <v>3224</v>
      </c>
      <c r="D3168" s="2">
        <v>1</v>
      </c>
      <c r="E3168" s="11" t="s">
        <v>1478</v>
      </c>
      <c r="F3168" t="s">
        <v>39</v>
      </c>
      <c r="G3168" s="2" t="s">
        <v>31</v>
      </c>
      <c r="H3168" s="1">
        <v>116.49400000000001</v>
      </c>
    </row>
    <row r="3169" spans="1:8" x14ac:dyDescent="0.3">
      <c r="A3169" s="2">
        <v>677</v>
      </c>
      <c r="B3169" t="s">
        <v>1931</v>
      </c>
      <c r="C3169" t="s">
        <v>3224</v>
      </c>
      <c r="D3169" s="2">
        <v>1</v>
      </c>
      <c r="E3169" s="11" t="s">
        <v>1478</v>
      </c>
      <c r="F3169" t="s">
        <v>39</v>
      </c>
      <c r="G3169" s="2" t="s">
        <v>23</v>
      </c>
      <c r="H3169" s="1">
        <v>116.49400000000001</v>
      </c>
    </row>
    <row r="3170" spans="1:8" x14ac:dyDescent="0.3">
      <c r="A3170" s="2">
        <v>677</v>
      </c>
      <c r="B3170" t="s">
        <v>1930</v>
      </c>
      <c r="C3170" t="s">
        <v>3224</v>
      </c>
      <c r="D3170" s="2">
        <v>1</v>
      </c>
      <c r="E3170" s="11" t="s">
        <v>499</v>
      </c>
      <c r="F3170" t="s">
        <v>39</v>
      </c>
      <c r="G3170" s="2" t="s">
        <v>31</v>
      </c>
      <c r="H3170" s="1">
        <v>84.694000000000017</v>
      </c>
    </row>
    <row r="3171" spans="1:8" x14ac:dyDescent="0.3">
      <c r="A3171" s="2">
        <v>677</v>
      </c>
      <c r="B3171" t="s">
        <v>1929</v>
      </c>
      <c r="C3171" t="s">
        <v>3224</v>
      </c>
      <c r="D3171" s="2">
        <v>1</v>
      </c>
      <c r="E3171" s="11" t="s">
        <v>499</v>
      </c>
      <c r="F3171" t="s">
        <v>39</v>
      </c>
      <c r="G3171" s="2" t="s">
        <v>23</v>
      </c>
      <c r="H3171" s="1">
        <v>84.694000000000017</v>
      </c>
    </row>
    <row r="3172" spans="1:8" x14ac:dyDescent="0.3">
      <c r="A3172" s="2">
        <v>677</v>
      </c>
      <c r="B3172" t="s">
        <v>1928</v>
      </c>
      <c r="C3172" t="s">
        <v>3219</v>
      </c>
      <c r="D3172" s="2">
        <v>1</v>
      </c>
      <c r="E3172" s="11" t="s">
        <v>109</v>
      </c>
      <c r="F3172" t="s">
        <v>28</v>
      </c>
      <c r="G3172" s="2" t="s">
        <v>31</v>
      </c>
      <c r="H3172" s="1">
        <v>158.89400000000001</v>
      </c>
    </row>
    <row r="3173" spans="1:8" x14ac:dyDescent="0.3">
      <c r="A3173" s="2">
        <v>677</v>
      </c>
      <c r="B3173" t="s">
        <v>1927</v>
      </c>
      <c r="C3173" t="s">
        <v>3224</v>
      </c>
      <c r="D3173" s="2">
        <v>1</v>
      </c>
      <c r="E3173" s="11" t="s">
        <v>1926</v>
      </c>
      <c r="F3173" t="s">
        <v>28</v>
      </c>
      <c r="G3173" s="2" t="s">
        <v>31</v>
      </c>
      <c r="H3173" s="1">
        <v>116.49400000000001</v>
      </c>
    </row>
    <row r="3174" spans="1:8" x14ac:dyDescent="0.3">
      <c r="A3174" s="2">
        <v>677</v>
      </c>
      <c r="B3174" t="s">
        <v>1925</v>
      </c>
      <c r="C3174" t="s">
        <v>0</v>
      </c>
      <c r="D3174" s="2">
        <v>1</v>
      </c>
      <c r="E3174" s="11" t="s">
        <v>1219</v>
      </c>
      <c r="F3174" t="s">
        <v>28</v>
      </c>
      <c r="G3174" s="2" t="s">
        <v>31</v>
      </c>
      <c r="H3174" s="1">
        <v>180.09400000000002</v>
      </c>
    </row>
    <row r="3175" spans="1:8" x14ac:dyDescent="0.3">
      <c r="A3175" s="2">
        <v>678</v>
      </c>
      <c r="B3175" t="s">
        <v>826</v>
      </c>
      <c r="C3175" t="s">
        <v>3224</v>
      </c>
      <c r="D3175" s="2">
        <v>1</v>
      </c>
      <c r="E3175" s="11" t="s">
        <v>499</v>
      </c>
      <c r="F3175" t="s">
        <v>55</v>
      </c>
      <c r="G3175" s="2" t="s">
        <v>4</v>
      </c>
      <c r="H3175" s="1">
        <v>84.694000000000017</v>
      </c>
    </row>
    <row r="3176" spans="1:8" x14ac:dyDescent="0.3">
      <c r="A3176" s="2">
        <v>678</v>
      </c>
      <c r="B3176" t="s">
        <v>1642</v>
      </c>
      <c r="C3176" t="s">
        <v>3224</v>
      </c>
      <c r="D3176" s="2">
        <v>1</v>
      </c>
      <c r="E3176" s="11" t="s">
        <v>499</v>
      </c>
      <c r="F3176" t="s">
        <v>55</v>
      </c>
      <c r="G3176" s="2" t="s">
        <v>31</v>
      </c>
      <c r="H3176" s="1">
        <v>84.694000000000017</v>
      </c>
    </row>
    <row r="3177" spans="1:8" x14ac:dyDescent="0.3">
      <c r="A3177" s="2">
        <v>678</v>
      </c>
      <c r="B3177" t="s">
        <v>1666</v>
      </c>
      <c r="C3177" t="s">
        <v>0</v>
      </c>
      <c r="D3177" s="2">
        <v>1</v>
      </c>
      <c r="E3177" s="11" t="s">
        <v>272</v>
      </c>
      <c r="F3177" t="s">
        <v>28</v>
      </c>
      <c r="G3177" s="2" t="s">
        <v>4</v>
      </c>
      <c r="H3177" s="1">
        <v>174.79400000000001</v>
      </c>
    </row>
    <row r="3178" spans="1:8" x14ac:dyDescent="0.3">
      <c r="A3178" s="2">
        <v>678</v>
      </c>
      <c r="B3178" t="s">
        <v>1924</v>
      </c>
      <c r="C3178" t="s">
        <v>1</v>
      </c>
      <c r="D3178" s="2">
        <v>1</v>
      </c>
      <c r="E3178" s="11" t="s">
        <v>222</v>
      </c>
      <c r="F3178" t="s">
        <v>114</v>
      </c>
      <c r="G3178" s="2" t="s">
        <v>4</v>
      </c>
      <c r="H3178" s="1">
        <v>52.893999999999998</v>
      </c>
    </row>
    <row r="3179" spans="1:8" x14ac:dyDescent="0.3">
      <c r="A3179" s="2">
        <v>678</v>
      </c>
      <c r="B3179" t="s">
        <v>321</v>
      </c>
      <c r="C3179" t="s">
        <v>1</v>
      </c>
      <c r="D3179" s="2">
        <v>1</v>
      </c>
      <c r="E3179" s="11" t="s">
        <v>222</v>
      </c>
      <c r="F3179" t="s">
        <v>114</v>
      </c>
      <c r="G3179" s="2" t="s">
        <v>203</v>
      </c>
      <c r="H3179" s="1">
        <v>52.893999999999998</v>
      </c>
    </row>
    <row r="3180" spans="1:8" x14ac:dyDescent="0.3">
      <c r="A3180" s="2">
        <v>678</v>
      </c>
      <c r="B3180" t="s">
        <v>1894</v>
      </c>
      <c r="C3180" t="s">
        <v>3219</v>
      </c>
      <c r="D3180" s="2">
        <v>1</v>
      </c>
      <c r="E3180" s="11" t="s">
        <v>1845</v>
      </c>
      <c r="F3180" t="s">
        <v>114</v>
      </c>
      <c r="G3180" s="2" t="s">
        <v>31</v>
      </c>
      <c r="H3180" s="1">
        <v>180.09400000000002</v>
      </c>
    </row>
    <row r="3181" spans="1:8" x14ac:dyDescent="0.3">
      <c r="A3181" s="2">
        <v>678</v>
      </c>
      <c r="B3181" t="s">
        <v>1817</v>
      </c>
      <c r="C3181" t="s">
        <v>1</v>
      </c>
      <c r="D3181" s="2">
        <v>1</v>
      </c>
      <c r="E3181" s="11" t="s">
        <v>222</v>
      </c>
      <c r="F3181" t="s">
        <v>47</v>
      </c>
      <c r="G3181" s="2" t="s">
        <v>31</v>
      </c>
      <c r="H3181" s="1">
        <v>52.893999999999998</v>
      </c>
    </row>
    <row r="3182" spans="1:8" x14ac:dyDescent="0.3">
      <c r="A3182" s="2">
        <v>678</v>
      </c>
      <c r="B3182" t="s">
        <v>712</v>
      </c>
      <c r="C3182" t="s">
        <v>1</v>
      </c>
      <c r="D3182" s="2">
        <v>1</v>
      </c>
      <c r="E3182" s="11" t="s">
        <v>222</v>
      </c>
      <c r="F3182" t="s">
        <v>47</v>
      </c>
      <c r="G3182" s="2" t="s">
        <v>23</v>
      </c>
      <c r="H3182" s="1">
        <v>52.893999999999998</v>
      </c>
    </row>
    <row r="3183" spans="1:8" x14ac:dyDescent="0.3">
      <c r="A3183" s="2">
        <v>678</v>
      </c>
      <c r="B3183" t="s">
        <v>1855</v>
      </c>
      <c r="C3183" t="s">
        <v>3219</v>
      </c>
      <c r="D3183" s="2">
        <v>1</v>
      </c>
      <c r="E3183" s="11" t="s">
        <v>1845</v>
      </c>
      <c r="F3183" t="s">
        <v>47</v>
      </c>
      <c r="G3183" s="2" t="s">
        <v>31</v>
      </c>
      <c r="H3183" s="1">
        <v>180.09400000000002</v>
      </c>
    </row>
    <row r="3184" spans="1:8" x14ac:dyDescent="0.3">
      <c r="A3184" s="2">
        <v>678</v>
      </c>
      <c r="B3184" t="s">
        <v>1846</v>
      </c>
      <c r="C3184" t="s">
        <v>3219</v>
      </c>
      <c r="D3184" s="2">
        <v>1</v>
      </c>
      <c r="E3184" s="11" t="s">
        <v>1845</v>
      </c>
      <c r="F3184" t="s">
        <v>47</v>
      </c>
      <c r="G3184" s="2" t="s">
        <v>23</v>
      </c>
      <c r="H3184" s="1">
        <v>180.09400000000002</v>
      </c>
    </row>
    <row r="3185" spans="1:8" x14ac:dyDescent="0.3">
      <c r="A3185" s="2">
        <v>678</v>
      </c>
      <c r="B3185" t="s">
        <v>1923</v>
      </c>
      <c r="C3185" t="s">
        <v>3224</v>
      </c>
      <c r="D3185" s="2">
        <v>1</v>
      </c>
      <c r="E3185" s="11" t="s">
        <v>1478</v>
      </c>
      <c r="F3185" t="s">
        <v>47</v>
      </c>
      <c r="G3185" s="2" t="s">
        <v>31</v>
      </c>
      <c r="H3185" s="1">
        <v>116.49400000000001</v>
      </c>
    </row>
    <row r="3186" spans="1:8" x14ac:dyDescent="0.3">
      <c r="A3186" s="2">
        <v>678</v>
      </c>
      <c r="B3186" t="s">
        <v>1922</v>
      </c>
      <c r="C3186" t="s">
        <v>3224</v>
      </c>
      <c r="D3186" s="2">
        <v>1</v>
      </c>
      <c r="E3186" s="11" t="s">
        <v>1478</v>
      </c>
      <c r="F3186" t="s">
        <v>47</v>
      </c>
      <c r="G3186" s="2" t="s">
        <v>23</v>
      </c>
      <c r="H3186" s="1">
        <v>116.49400000000001</v>
      </c>
    </row>
    <row r="3187" spans="1:8" x14ac:dyDescent="0.3">
      <c r="A3187" s="2">
        <v>678</v>
      </c>
      <c r="B3187" t="s">
        <v>553</v>
      </c>
      <c r="C3187" t="s">
        <v>3224</v>
      </c>
      <c r="D3187" s="2">
        <v>1</v>
      </c>
      <c r="E3187" s="11" t="s">
        <v>499</v>
      </c>
      <c r="F3187" t="s">
        <v>47</v>
      </c>
      <c r="G3187" s="2" t="s">
        <v>31</v>
      </c>
      <c r="H3187" s="1">
        <v>84.694000000000017</v>
      </c>
    </row>
    <row r="3188" spans="1:8" x14ac:dyDescent="0.3">
      <c r="A3188" s="2">
        <v>678</v>
      </c>
      <c r="B3188" t="s">
        <v>1408</v>
      </c>
      <c r="C3188" t="s">
        <v>3224</v>
      </c>
      <c r="D3188" s="2">
        <v>1</v>
      </c>
      <c r="E3188" s="11" t="s">
        <v>499</v>
      </c>
      <c r="F3188" t="s">
        <v>47</v>
      </c>
      <c r="G3188" s="2" t="s">
        <v>23</v>
      </c>
      <c r="H3188" s="1">
        <v>84.694000000000017</v>
      </c>
    </row>
    <row r="3189" spans="1:8" x14ac:dyDescent="0.3">
      <c r="A3189" s="2">
        <v>678</v>
      </c>
      <c r="B3189" t="s">
        <v>221</v>
      </c>
      <c r="C3189" t="s">
        <v>3225</v>
      </c>
      <c r="D3189" s="2">
        <v>1</v>
      </c>
      <c r="E3189" s="11" t="s">
        <v>220</v>
      </c>
      <c r="F3189" t="s">
        <v>47</v>
      </c>
      <c r="G3189" s="2" t="s">
        <v>31</v>
      </c>
      <c r="H3189" s="1">
        <v>195.99400000000003</v>
      </c>
    </row>
    <row r="3190" spans="1:8" x14ac:dyDescent="0.3">
      <c r="A3190" s="2">
        <v>678</v>
      </c>
      <c r="B3190" t="s">
        <v>512</v>
      </c>
      <c r="C3190" t="s">
        <v>3225</v>
      </c>
      <c r="D3190" s="2">
        <v>1</v>
      </c>
      <c r="E3190" s="11" t="s">
        <v>220</v>
      </c>
      <c r="F3190" t="s">
        <v>47</v>
      </c>
      <c r="G3190" s="2" t="s">
        <v>23</v>
      </c>
      <c r="H3190" s="1">
        <v>195.99400000000003</v>
      </c>
    </row>
    <row r="3191" spans="1:8" x14ac:dyDescent="0.3">
      <c r="A3191" s="2">
        <v>678</v>
      </c>
      <c r="B3191" t="s">
        <v>1921</v>
      </c>
      <c r="C3191" t="s">
        <v>3</v>
      </c>
      <c r="D3191" s="2">
        <v>1</v>
      </c>
      <c r="E3191" s="11" t="s">
        <v>1195</v>
      </c>
      <c r="F3191" t="s">
        <v>47</v>
      </c>
      <c r="G3191" s="2" t="s">
        <v>31</v>
      </c>
      <c r="H3191" s="1">
        <v>116.49400000000001</v>
      </c>
    </row>
    <row r="3192" spans="1:8" x14ac:dyDescent="0.3">
      <c r="A3192" s="2">
        <v>678</v>
      </c>
      <c r="B3192" t="s">
        <v>1920</v>
      </c>
      <c r="C3192" t="s">
        <v>3</v>
      </c>
      <c r="D3192" s="2">
        <v>1</v>
      </c>
      <c r="E3192" s="11" t="s">
        <v>1195</v>
      </c>
      <c r="F3192" t="s">
        <v>47</v>
      </c>
      <c r="G3192" s="2" t="s">
        <v>23</v>
      </c>
      <c r="H3192" s="1">
        <v>116.49400000000001</v>
      </c>
    </row>
    <row r="3193" spans="1:8" x14ac:dyDescent="0.3">
      <c r="A3193" s="2">
        <v>678</v>
      </c>
      <c r="B3193" t="s">
        <v>1126</v>
      </c>
      <c r="C3193" t="s">
        <v>3219</v>
      </c>
      <c r="D3193" s="2">
        <v>1</v>
      </c>
      <c r="E3193" s="11" t="s">
        <v>673</v>
      </c>
      <c r="F3193" t="s">
        <v>47</v>
      </c>
      <c r="G3193" s="2" t="s">
        <v>203</v>
      </c>
      <c r="H3193" s="1">
        <v>89.994000000000014</v>
      </c>
    </row>
    <row r="3194" spans="1:8" x14ac:dyDescent="0.3">
      <c r="A3194" s="2">
        <v>678</v>
      </c>
      <c r="B3194" t="s">
        <v>1882</v>
      </c>
      <c r="C3194" t="s">
        <v>1</v>
      </c>
      <c r="D3194" s="2">
        <v>1</v>
      </c>
      <c r="E3194" s="11" t="s">
        <v>222</v>
      </c>
      <c r="F3194" t="s">
        <v>39</v>
      </c>
      <c r="G3194" s="2" t="s">
        <v>4</v>
      </c>
      <c r="H3194" s="1">
        <v>52.893999999999998</v>
      </c>
    </row>
    <row r="3195" spans="1:8" x14ac:dyDescent="0.3">
      <c r="A3195" s="2">
        <v>678</v>
      </c>
      <c r="B3195" t="s">
        <v>313</v>
      </c>
      <c r="C3195" t="s">
        <v>1</v>
      </c>
      <c r="D3195" s="2">
        <v>1</v>
      </c>
      <c r="E3195" s="11" t="s">
        <v>222</v>
      </c>
      <c r="F3195" t="s">
        <v>39</v>
      </c>
      <c r="G3195" s="2" t="s">
        <v>203</v>
      </c>
      <c r="H3195" s="1">
        <v>52.893999999999998</v>
      </c>
    </row>
    <row r="3196" spans="1:8" x14ac:dyDescent="0.3">
      <c r="A3196" s="2">
        <v>678</v>
      </c>
      <c r="B3196" t="s">
        <v>1919</v>
      </c>
      <c r="C3196" t="s">
        <v>3</v>
      </c>
      <c r="D3196" s="2">
        <v>2</v>
      </c>
      <c r="E3196" s="11" t="s">
        <v>1195</v>
      </c>
      <c r="F3196" t="s">
        <v>39</v>
      </c>
      <c r="G3196" s="2" t="s">
        <v>31</v>
      </c>
      <c r="H3196" s="1">
        <v>116.49400000000001</v>
      </c>
    </row>
    <row r="3197" spans="1:8" x14ac:dyDescent="0.3">
      <c r="A3197" s="2">
        <v>679</v>
      </c>
      <c r="B3197" t="s">
        <v>131</v>
      </c>
      <c r="C3197" t="s">
        <v>3219</v>
      </c>
      <c r="D3197" s="2">
        <v>1</v>
      </c>
      <c r="E3197" s="11" t="s">
        <v>102</v>
      </c>
      <c r="F3197" t="s">
        <v>65</v>
      </c>
      <c r="G3197" s="2" t="s">
        <v>4</v>
      </c>
      <c r="H3197" s="1">
        <v>121.79400000000001</v>
      </c>
    </row>
    <row r="3198" spans="1:8" x14ac:dyDescent="0.3">
      <c r="A3198" s="2">
        <v>679</v>
      </c>
      <c r="B3198" t="s">
        <v>1385</v>
      </c>
      <c r="C3198" t="s">
        <v>3219</v>
      </c>
      <c r="D3198" s="2">
        <v>3</v>
      </c>
      <c r="E3198" s="11" t="s">
        <v>102</v>
      </c>
      <c r="F3198" t="s">
        <v>65</v>
      </c>
      <c r="G3198" s="2" t="s">
        <v>23</v>
      </c>
      <c r="H3198" s="1">
        <v>121.79400000000001</v>
      </c>
    </row>
    <row r="3199" spans="1:8" x14ac:dyDescent="0.3">
      <c r="A3199" s="2">
        <v>679</v>
      </c>
      <c r="B3199" t="s">
        <v>1918</v>
      </c>
      <c r="C3199" t="s">
        <v>1</v>
      </c>
      <c r="D3199" s="2">
        <v>1</v>
      </c>
      <c r="E3199" s="11" t="s">
        <v>252</v>
      </c>
      <c r="F3199" t="s">
        <v>114</v>
      </c>
      <c r="G3199" s="2" t="s">
        <v>23</v>
      </c>
      <c r="H3199" s="1">
        <v>52.893999999999998</v>
      </c>
    </row>
    <row r="3200" spans="1:8" x14ac:dyDescent="0.3">
      <c r="A3200" s="2">
        <v>679</v>
      </c>
      <c r="B3200" t="s">
        <v>1580</v>
      </c>
      <c r="C3200" t="s">
        <v>3219</v>
      </c>
      <c r="D3200" s="2">
        <v>1</v>
      </c>
      <c r="E3200" s="11" t="s">
        <v>102</v>
      </c>
      <c r="F3200" t="s">
        <v>47</v>
      </c>
      <c r="G3200" s="2" t="s">
        <v>31</v>
      </c>
      <c r="H3200" s="1">
        <v>121.79400000000001</v>
      </c>
    </row>
    <row r="3201" spans="1:8" x14ac:dyDescent="0.3">
      <c r="A3201" s="2">
        <v>679</v>
      </c>
      <c r="B3201" t="s">
        <v>1579</v>
      </c>
      <c r="C3201" t="s">
        <v>3219</v>
      </c>
      <c r="D3201" s="2">
        <v>1</v>
      </c>
      <c r="E3201" s="11" t="s">
        <v>102</v>
      </c>
      <c r="F3201" t="s">
        <v>47</v>
      </c>
      <c r="G3201" s="2" t="s">
        <v>23</v>
      </c>
      <c r="H3201" s="1">
        <v>121.79400000000001</v>
      </c>
    </row>
    <row r="3202" spans="1:8" x14ac:dyDescent="0.3">
      <c r="A3202" s="2">
        <v>679</v>
      </c>
      <c r="B3202" t="s">
        <v>1917</v>
      </c>
      <c r="C3202" t="s">
        <v>3219</v>
      </c>
      <c r="D3202" s="2">
        <v>1</v>
      </c>
      <c r="E3202" s="11" t="s">
        <v>1845</v>
      </c>
      <c r="F3202" t="s">
        <v>39</v>
      </c>
      <c r="G3202" s="2" t="s">
        <v>23</v>
      </c>
      <c r="H3202" s="1">
        <v>180.09400000000002</v>
      </c>
    </row>
    <row r="3203" spans="1:8" x14ac:dyDescent="0.3">
      <c r="A3203" s="2">
        <v>679</v>
      </c>
      <c r="B3203" t="s">
        <v>1824</v>
      </c>
      <c r="C3203" t="s">
        <v>3233</v>
      </c>
      <c r="D3203" s="2">
        <v>1</v>
      </c>
      <c r="E3203" s="11" t="s">
        <v>1096</v>
      </c>
      <c r="F3203" t="s">
        <v>39</v>
      </c>
      <c r="G3203" s="2" t="s">
        <v>23</v>
      </c>
      <c r="H3203" s="1">
        <v>132.39400000000001</v>
      </c>
    </row>
    <row r="3204" spans="1:8" x14ac:dyDescent="0.3">
      <c r="A3204" s="2">
        <v>679</v>
      </c>
      <c r="B3204" t="s">
        <v>1916</v>
      </c>
      <c r="C3204" t="s">
        <v>1</v>
      </c>
      <c r="D3204" s="2">
        <v>1</v>
      </c>
      <c r="E3204" s="11" t="s">
        <v>252</v>
      </c>
      <c r="F3204" t="s">
        <v>28</v>
      </c>
      <c r="G3204" s="2" t="s">
        <v>23</v>
      </c>
      <c r="H3204" s="1">
        <v>52.893999999999998</v>
      </c>
    </row>
    <row r="3205" spans="1:8" x14ac:dyDescent="0.3">
      <c r="A3205" s="2">
        <v>679</v>
      </c>
      <c r="B3205" t="s">
        <v>1146</v>
      </c>
      <c r="C3205" t="s">
        <v>3224</v>
      </c>
      <c r="D3205" s="2">
        <v>1</v>
      </c>
      <c r="E3205" s="11" t="s">
        <v>1145</v>
      </c>
      <c r="F3205" t="s">
        <v>28</v>
      </c>
      <c r="G3205" s="2" t="s">
        <v>23</v>
      </c>
      <c r="H3205" s="1">
        <v>121.79400000000001</v>
      </c>
    </row>
    <row r="3206" spans="1:8" x14ac:dyDescent="0.3">
      <c r="A3206" s="2">
        <v>679</v>
      </c>
      <c r="B3206" t="s">
        <v>1134</v>
      </c>
      <c r="C3206" t="s">
        <v>3</v>
      </c>
      <c r="D3206" s="2">
        <v>1</v>
      </c>
      <c r="E3206" s="11" t="s">
        <v>1133</v>
      </c>
      <c r="F3206" t="s">
        <v>28</v>
      </c>
      <c r="G3206" s="2" t="s">
        <v>23</v>
      </c>
      <c r="H3206" s="1">
        <v>74.094000000000008</v>
      </c>
    </row>
    <row r="3207" spans="1:8" x14ac:dyDescent="0.3">
      <c r="A3207" s="2">
        <v>680</v>
      </c>
      <c r="B3207" t="s">
        <v>688</v>
      </c>
      <c r="C3207" t="s">
        <v>3220</v>
      </c>
      <c r="D3207" s="2">
        <v>1</v>
      </c>
      <c r="E3207" s="11" t="s">
        <v>204</v>
      </c>
      <c r="F3207" t="s">
        <v>28</v>
      </c>
      <c r="G3207" s="2" t="s">
        <v>4</v>
      </c>
      <c r="H3207" s="1">
        <v>42.294000000000004</v>
      </c>
    </row>
    <row r="3208" spans="1:8" x14ac:dyDescent="0.3">
      <c r="A3208" s="2">
        <v>680</v>
      </c>
      <c r="B3208" t="s">
        <v>717</v>
      </c>
      <c r="C3208" t="s">
        <v>3220</v>
      </c>
      <c r="D3208" s="2">
        <v>1</v>
      </c>
      <c r="E3208" s="11" t="s">
        <v>204</v>
      </c>
      <c r="F3208" t="s">
        <v>28</v>
      </c>
      <c r="G3208" s="2" t="s">
        <v>31</v>
      </c>
      <c r="H3208" s="1">
        <v>42.294000000000004</v>
      </c>
    </row>
    <row r="3209" spans="1:8" x14ac:dyDescent="0.3">
      <c r="A3209" s="2">
        <v>680</v>
      </c>
      <c r="B3209" t="s">
        <v>289</v>
      </c>
      <c r="C3209" t="s">
        <v>3220</v>
      </c>
      <c r="D3209" s="2">
        <v>1</v>
      </c>
      <c r="E3209" s="11" t="s">
        <v>204</v>
      </c>
      <c r="F3209" t="s">
        <v>28</v>
      </c>
      <c r="G3209" s="2" t="s">
        <v>23</v>
      </c>
      <c r="H3209" s="1">
        <v>42.294000000000004</v>
      </c>
    </row>
    <row r="3210" spans="1:8" x14ac:dyDescent="0.3">
      <c r="A3210" s="2">
        <v>680</v>
      </c>
      <c r="B3210" t="s">
        <v>1847</v>
      </c>
      <c r="C3210" t="s">
        <v>3219</v>
      </c>
      <c r="D3210" s="2">
        <v>1</v>
      </c>
      <c r="E3210" s="11" t="s">
        <v>1845</v>
      </c>
      <c r="F3210" t="s">
        <v>114</v>
      </c>
      <c r="G3210" s="2" t="s">
        <v>23</v>
      </c>
      <c r="H3210" s="1">
        <v>180.09400000000002</v>
      </c>
    </row>
    <row r="3211" spans="1:8" x14ac:dyDescent="0.3">
      <c r="A3211" s="2">
        <v>680</v>
      </c>
      <c r="B3211" t="s">
        <v>1640</v>
      </c>
      <c r="C3211" t="s">
        <v>3224</v>
      </c>
      <c r="D3211" s="2">
        <v>1</v>
      </c>
      <c r="E3211" s="11" t="s">
        <v>499</v>
      </c>
      <c r="F3211" t="s">
        <v>114</v>
      </c>
      <c r="G3211" s="2" t="s">
        <v>31</v>
      </c>
      <c r="H3211" s="1">
        <v>84.694000000000017</v>
      </c>
    </row>
    <row r="3212" spans="1:8" x14ac:dyDescent="0.3">
      <c r="A3212" s="2">
        <v>680</v>
      </c>
      <c r="B3212" t="s">
        <v>1855</v>
      </c>
      <c r="C3212" t="s">
        <v>3219</v>
      </c>
      <c r="D3212" s="2">
        <v>1</v>
      </c>
      <c r="E3212" s="11" t="s">
        <v>1845</v>
      </c>
      <c r="F3212" t="s">
        <v>47</v>
      </c>
      <c r="G3212" s="2" t="s">
        <v>31</v>
      </c>
      <c r="H3212" s="1">
        <v>180.09400000000002</v>
      </c>
    </row>
    <row r="3213" spans="1:8" x14ac:dyDescent="0.3">
      <c r="A3213" s="2">
        <v>680</v>
      </c>
      <c r="B3213" t="s">
        <v>1846</v>
      </c>
      <c r="C3213" t="s">
        <v>3219</v>
      </c>
      <c r="D3213" s="2">
        <v>1</v>
      </c>
      <c r="E3213" s="11" t="s">
        <v>1845</v>
      </c>
      <c r="F3213" t="s">
        <v>47</v>
      </c>
      <c r="G3213" s="2" t="s">
        <v>23</v>
      </c>
      <c r="H3213" s="1">
        <v>180.09400000000002</v>
      </c>
    </row>
    <row r="3214" spans="1:8" x14ac:dyDescent="0.3">
      <c r="A3214" s="2">
        <v>680</v>
      </c>
      <c r="B3214" t="s">
        <v>1915</v>
      </c>
      <c r="C3214" t="s">
        <v>3219</v>
      </c>
      <c r="D3214" s="2">
        <v>1</v>
      </c>
      <c r="E3214" s="11" t="s">
        <v>1561</v>
      </c>
      <c r="F3214" t="s">
        <v>47</v>
      </c>
      <c r="G3214" s="2" t="s">
        <v>4</v>
      </c>
      <c r="H3214" s="1">
        <v>148.29400000000001</v>
      </c>
    </row>
    <row r="3215" spans="1:8" x14ac:dyDescent="0.3">
      <c r="A3215" s="2">
        <v>680</v>
      </c>
      <c r="B3215" t="s">
        <v>1429</v>
      </c>
      <c r="C3215" t="s">
        <v>2</v>
      </c>
      <c r="D3215" s="2">
        <v>1</v>
      </c>
      <c r="E3215" s="11" t="s">
        <v>1428</v>
      </c>
      <c r="F3215" t="s">
        <v>47</v>
      </c>
      <c r="G3215" s="2" t="s">
        <v>23</v>
      </c>
      <c r="H3215" s="1">
        <v>100.59400000000001</v>
      </c>
    </row>
    <row r="3216" spans="1:8" x14ac:dyDescent="0.3">
      <c r="A3216" s="2">
        <v>680</v>
      </c>
      <c r="B3216" t="s">
        <v>1914</v>
      </c>
      <c r="C3216" t="s">
        <v>3219</v>
      </c>
      <c r="D3216" s="2">
        <v>1</v>
      </c>
      <c r="E3216" s="11" t="s">
        <v>1845</v>
      </c>
      <c r="F3216" t="s">
        <v>39</v>
      </c>
      <c r="G3216" s="2" t="s">
        <v>31</v>
      </c>
      <c r="H3216" s="1">
        <v>180.09400000000002</v>
      </c>
    </row>
    <row r="3217" spans="1:8" x14ac:dyDescent="0.3">
      <c r="A3217" s="2">
        <v>680</v>
      </c>
      <c r="B3217" t="s">
        <v>500</v>
      </c>
      <c r="C3217" t="s">
        <v>3224</v>
      </c>
      <c r="D3217" s="2">
        <v>1</v>
      </c>
      <c r="E3217" s="11" t="s">
        <v>499</v>
      </c>
      <c r="F3217" t="s">
        <v>39</v>
      </c>
      <c r="G3217" s="2" t="s">
        <v>4</v>
      </c>
      <c r="H3217" s="1">
        <v>84.694000000000017</v>
      </c>
    </row>
    <row r="3218" spans="1:8" x14ac:dyDescent="0.3">
      <c r="A3218" s="2">
        <v>680</v>
      </c>
      <c r="B3218" t="s">
        <v>1261</v>
      </c>
      <c r="C3218" t="s">
        <v>3220</v>
      </c>
      <c r="D3218" s="2">
        <v>1</v>
      </c>
      <c r="E3218" s="11" t="s">
        <v>204</v>
      </c>
      <c r="F3218" t="s">
        <v>36</v>
      </c>
      <c r="G3218" s="2" t="s">
        <v>4</v>
      </c>
      <c r="H3218" s="1">
        <v>42.294000000000004</v>
      </c>
    </row>
    <row r="3219" spans="1:8" x14ac:dyDescent="0.3">
      <c r="A3219" s="2">
        <v>680</v>
      </c>
      <c r="B3219" t="s">
        <v>707</v>
      </c>
      <c r="C3219" t="s">
        <v>3220</v>
      </c>
      <c r="D3219" s="2">
        <v>1</v>
      </c>
      <c r="E3219" s="11" t="s">
        <v>204</v>
      </c>
      <c r="F3219" t="s">
        <v>36</v>
      </c>
      <c r="G3219" s="2" t="s">
        <v>31</v>
      </c>
      <c r="H3219" s="1">
        <v>42.294000000000004</v>
      </c>
    </row>
    <row r="3220" spans="1:8" x14ac:dyDescent="0.3">
      <c r="A3220" s="2">
        <v>680</v>
      </c>
      <c r="B3220" t="s">
        <v>688</v>
      </c>
      <c r="C3220" t="s">
        <v>3220</v>
      </c>
      <c r="D3220" s="2">
        <v>1</v>
      </c>
      <c r="E3220" s="11" t="s">
        <v>204</v>
      </c>
      <c r="F3220" t="s">
        <v>28</v>
      </c>
      <c r="G3220" s="2" t="s">
        <v>4</v>
      </c>
      <c r="H3220" s="1">
        <v>42.294000000000004</v>
      </c>
    </row>
    <row r="3221" spans="1:8" x14ac:dyDescent="0.3">
      <c r="A3221" s="2">
        <v>680</v>
      </c>
      <c r="B3221" t="s">
        <v>717</v>
      </c>
      <c r="C3221" t="s">
        <v>3220</v>
      </c>
      <c r="D3221" s="2">
        <v>1</v>
      </c>
      <c r="E3221" s="11" t="s">
        <v>204</v>
      </c>
      <c r="F3221" t="s">
        <v>28</v>
      </c>
      <c r="G3221" s="2" t="s">
        <v>31</v>
      </c>
      <c r="H3221" s="1">
        <v>42.294000000000004</v>
      </c>
    </row>
    <row r="3222" spans="1:8" x14ac:dyDescent="0.3">
      <c r="A3222" s="2">
        <v>681</v>
      </c>
      <c r="B3222" t="s">
        <v>1287</v>
      </c>
      <c r="C3222" t="s">
        <v>3217</v>
      </c>
      <c r="D3222" s="2">
        <v>1</v>
      </c>
      <c r="E3222" s="11" t="s">
        <v>1285</v>
      </c>
      <c r="F3222" t="s">
        <v>55</v>
      </c>
      <c r="G3222" s="2" t="s">
        <v>31</v>
      </c>
      <c r="H3222" s="1">
        <v>42.294000000000004</v>
      </c>
    </row>
    <row r="3223" spans="1:8" x14ac:dyDescent="0.3">
      <c r="A3223" s="2">
        <v>681</v>
      </c>
      <c r="B3223" t="s">
        <v>1913</v>
      </c>
      <c r="C3223" t="s">
        <v>3224</v>
      </c>
      <c r="D3223" s="2">
        <v>1</v>
      </c>
      <c r="E3223" s="11" t="s">
        <v>1912</v>
      </c>
      <c r="F3223" t="s">
        <v>65</v>
      </c>
      <c r="G3223" s="2" t="s">
        <v>31</v>
      </c>
      <c r="H3223" s="1">
        <v>74.094000000000008</v>
      </c>
    </row>
    <row r="3224" spans="1:8" x14ac:dyDescent="0.3">
      <c r="A3224" s="2">
        <v>681</v>
      </c>
      <c r="B3224" t="s">
        <v>1911</v>
      </c>
      <c r="C3224" t="s">
        <v>3224</v>
      </c>
      <c r="D3224" s="2">
        <v>1</v>
      </c>
      <c r="E3224" s="11" t="s">
        <v>1401</v>
      </c>
      <c r="F3224" t="s">
        <v>65</v>
      </c>
      <c r="G3224" s="2" t="s">
        <v>4</v>
      </c>
      <c r="H3224" s="1">
        <v>68.794000000000011</v>
      </c>
    </row>
    <row r="3225" spans="1:8" x14ac:dyDescent="0.3">
      <c r="A3225" s="2">
        <v>681</v>
      </c>
      <c r="B3225" t="s">
        <v>1383</v>
      </c>
      <c r="C3225" t="s">
        <v>3220</v>
      </c>
      <c r="D3225" s="2">
        <v>1</v>
      </c>
      <c r="E3225" s="11" t="s">
        <v>204</v>
      </c>
      <c r="F3225" t="s">
        <v>65</v>
      </c>
      <c r="G3225" s="2" t="s">
        <v>4</v>
      </c>
      <c r="H3225" s="1">
        <v>42.294000000000004</v>
      </c>
    </row>
    <row r="3226" spans="1:8" x14ac:dyDescent="0.3">
      <c r="A3226" s="2">
        <v>681</v>
      </c>
      <c r="B3226" t="s">
        <v>694</v>
      </c>
      <c r="C3226" t="s">
        <v>3220</v>
      </c>
      <c r="D3226" s="2">
        <v>1</v>
      </c>
      <c r="E3226" s="11" t="s">
        <v>204</v>
      </c>
      <c r="F3226" t="s">
        <v>55</v>
      </c>
      <c r="G3226" s="2" t="s">
        <v>4</v>
      </c>
      <c r="H3226" s="1">
        <v>42.294000000000004</v>
      </c>
    </row>
    <row r="3227" spans="1:8" x14ac:dyDescent="0.3">
      <c r="A3227" s="2">
        <v>681</v>
      </c>
      <c r="B3227" t="s">
        <v>1566</v>
      </c>
      <c r="C3227" t="s">
        <v>3225</v>
      </c>
      <c r="D3227" s="2">
        <v>1</v>
      </c>
      <c r="E3227" s="11" t="s">
        <v>239</v>
      </c>
      <c r="F3227" t="s">
        <v>47</v>
      </c>
      <c r="G3227" s="2" t="s">
        <v>4</v>
      </c>
      <c r="H3227" s="1">
        <v>148.29400000000001</v>
      </c>
    </row>
    <row r="3228" spans="1:8" x14ac:dyDescent="0.3">
      <c r="A3228" s="2">
        <v>681</v>
      </c>
      <c r="B3228" t="s">
        <v>1910</v>
      </c>
      <c r="C3228" t="s">
        <v>3217</v>
      </c>
      <c r="D3228" s="2">
        <v>1</v>
      </c>
      <c r="E3228" s="11" t="s">
        <v>1603</v>
      </c>
      <c r="F3228" t="s">
        <v>47</v>
      </c>
      <c r="G3228" s="2" t="s">
        <v>23</v>
      </c>
      <c r="H3228" s="1">
        <v>63.494</v>
      </c>
    </row>
    <row r="3229" spans="1:8" x14ac:dyDescent="0.3">
      <c r="A3229" s="2">
        <v>681</v>
      </c>
      <c r="B3229" t="s">
        <v>1604</v>
      </c>
      <c r="C3229" t="s">
        <v>3217</v>
      </c>
      <c r="D3229" s="2">
        <v>1</v>
      </c>
      <c r="E3229" s="11" t="s">
        <v>1603</v>
      </c>
      <c r="F3229" t="s">
        <v>36</v>
      </c>
      <c r="G3229" s="2" t="s">
        <v>4</v>
      </c>
      <c r="H3229" s="1">
        <v>63.494</v>
      </c>
    </row>
    <row r="3230" spans="1:8" x14ac:dyDescent="0.3">
      <c r="A3230" s="2">
        <v>681</v>
      </c>
      <c r="B3230" t="s">
        <v>1708</v>
      </c>
      <c r="C3230" t="s">
        <v>3217</v>
      </c>
      <c r="D3230" s="2">
        <v>1</v>
      </c>
      <c r="E3230" s="11" t="s">
        <v>1603</v>
      </c>
      <c r="F3230" t="s">
        <v>36</v>
      </c>
      <c r="G3230" s="2" t="s">
        <v>23</v>
      </c>
      <c r="H3230" s="1">
        <v>63.494</v>
      </c>
    </row>
    <row r="3231" spans="1:8" x14ac:dyDescent="0.3">
      <c r="A3231" s="2">
        <v>681</v>
      </c>
      <c r="B3231" t="s">
        <v>707</v>
      </c>
      <c r="C3231" t="s">
        <v>3220</v>
      </c>
      <c r="D3231" s="2">
        <v>1</v>
      </c>
      <c r="E3231" s="11" t="s">
        <v>204</v>
      </c>
      <c r="F3231" t="s">
        <v>36</v>
      </c>
      <c r="G3231" s="2" t="s">
        <v>31</v>
      </c>
      <c r="H3231" s="1">
        <v>42.294000000000004</v>
      </c>
    </row>
    <row r="3232" spans="1:8" x14ac:dyDescent="0.3">
      <c r="A3232" s="2">
        <v>681</v>
      </c>
      <c r="B3232" t="s">
        <v>1816</v>
      </c>
      <c r="C3232" t="s">
        <v>3220</v>
      </c>
      <c r="D3232" s="2">
        <v>1</v>
      </c>
      <c r="E3232" s="11" t="s">
        <v>204</v>
      </c>
      <c r="F3232" t="s">
        <v>1116</v>
      </c>
      <c r="G3232" s="2" t="s">
        <v>4</v>
      </c>
      <c r="H3232" s="1">
        <v>42.294000000000004</v>
      </c>
    </row>
    <row r="3233" spans="1:8" x14ac:dyDescent="0.3">
      <c r="A3233" s="2">
        <v>681</v>
      </c>
      <c r="B3233" t="s">
        <v>1654</v>
      </c>
      <c r="C3233" t="s">
        <v>1</v>
      </c>
      <c r="D3233" s="2">
        <v>1</v>
      </c>
      <c r="E3233" s="11" t="s">
        <v>1653</v>
      </c>
      <c r="F3233" t="s">
        <v>28</v>
      </c>
      <c r="G3233" s="2" t="s">
        <v>4</v>
      </c>
      <c r="H3233" s="1">
        <v>79.394000000000005</v>
      </c>
    </row>
    <row r="3234" spans="1:8" x14ac:dyDescent="0.3">
      <c r="A3234" s="2">
        <v>682</v>
      </c>
      <c r="B3234" t="s">
        <v>757</v>
      </c>
      <c r="C3234" t="s">
        <v>1</v>
      </c>
      <c r="D3234" s="2">
        <v>1</v>
      </c>
      <c r="E3234" s="11" t="s">
        <v>53</v>
      </c>
      <c r="F3234" t="s">
        <v>65</v>
      </c>
      <c r="G3234" s="2" t="s">
        <v>4</v>
      </c>
      <c r="H3234" s="1">
        <v>36.994</v>
      </c>
    </row>
    <row r="3235" spans="1:8" x14ac:dyDescent="0.3">
      <c r="A3235" s="2">
        <v>682</v>
      </c>
      <c r="B3235" t="s">
        <v>756</v>
      </c>
      <c r="C3235" t="s">
        <v>1</v>
      </c>
      <c r="D3235" s="2">
        <v>1</v>
      </c>
      <c r="E3235" s="11" t="s">
        <v>53</v>
      </c>
      <c r="F3235" t="s">
        <v>65</v>
      </c>
      <c r="G3235" s="2" t="s">
        <v>203</v>
      </c>
      <c r="H3235" s="1">
        <v>36.994</v>
      </c>
    </row>
    <row r="3236" spans="1:8" x14ac:dyDescent="0.3">
      <c r="A3236" s="2">
        <v>682</v>
      </c>
      <c r="B3236" t="s">
        <v>755</v>
      </c>
      <c r="C3236" t="s">
        <v>1</v>
      </c>
      <c r="D3236" s="2">
        <v>1</v>
      </c>
      <c r="E3236" s="11" t="s">
        <v>53</v>
      </c>
      <c r="F3236" t="s">
        <v>65</v>
      </c>
      <c r="G3236" s="2" t="s">
        <v>31</v>
      </c>
      <c r="H3236" s="1">
        <v>36.994</v>
      </c>
    </row>
    <row r="3237" spans="1:8" x14ac:dyDescent="0.3">
      <c r="A3237" s="2">
        <v>682</v>
      </c>
      <c r="B3237" t="s">
        <v>754</v>
      </c>
      <c r="C3237" t="s">
        <v>1</v>
      </c>
      <c r="D3237" s="2">
        <v>2</v>
      </c>
      <c r="E3237" s="11" t="s">
        <v>53</v>
      </c>
      <c r="F3237" t="s">
        <v>65</v>
      </c>
      <c r="G3237" s="2" t="s">
        <v>23</v>
      </c>
      <c r="H3237" s="1">
        <v>36.994</v>
      </c>
    </row>
    <row r="3238" spans="1:8" x14ac:dyDescent="0.3">
      <c r="A3238" s="2">
        <v>682</v>
      </c>
      <c r="B3238" t="s">
        <v>1909</v>
      </c>
      <c r="C3238" t="s">
        <v>1</v>
      </c>
      <c r="D3238" s="2">
        <v>1</v>
      </c>
      <c r="E3238" s="11" t="s">
        <v>53</v>
      </c>
      <c r="F3238" t="s">
        <v>114</v>
      </c>
      <c r="G3238" s="2" t="s">
        <v>4</v>
      </c>
      <c r="H3238" s="1">
        <v>36.994</v>
      </c>
    </row>
    <row r="3239" spans="1:8" x14ac:dyDescent="0.3">
      <c r="A3239" s="2">
        <v>682</v>
      </c>
      <c r="B3239" t="s">
        <v>288</v>
      </c>
      <c r="C3239" t="s">
        <v>1</v>
      </c>
      <c r="D3239" s="2">
        <v>1</v>
      </c>
      <c r="E3239" s="11" t="s">
        <v>53</v>
      </c>
      <c r="F3239" t="s">
        <v>47</v>
      </c>
      <c r="G3239" s="2" t="s">
        <v>23</v>
      </c>
      <c r="H3239" s="1">
        <v>36.994</v>
      </c>
    </row>
    <row r="3240" spans="1:8" x14ac:dyDescent="0.3">
      <c r="A3240" s="2">
        <v>682</v>
      </c>
      <c r="B3240" t="s">
        <v>1881</v>
      </c>
      <c r="C3240" t="s">
        <v>3224</v>
      </c>
      <c r="D3240" s="2">
        <v>1</v>
      </c>
      <c r="E3240" s="11" t="s">
        <v>1880</v>
      </c>
      <c r="F3240" t="s">
        <v>39</v>
      </c>
      <c r="G3240" s="2" t="s">
        <v>31</v>
      </c>
      <c r="H3240" s="1">
        <v>74.094000000000008</v>
      </c>
    </row>
    <row r="3241" spans="1:8" x14ac:dyDescent="0.3">
      <c r="A3241" s="2">
        <v>682</v>
      </c>
      <c r="B3241" t="s">
        <v>1908</v>
      </c>
      <c r="C3241" t="s">
        <v>3224</v>
      </c>
      <c r="D3241" s="2">
        <v>1</v>
      </c>
      <c r="E3241" s="11" t="s">
        <v>1880</v>
      </c>
      <c r="F3241" t="s">
        <v>39</v>
      </c>
      <c r="G3241" s="2" t="s">
        <v>23</v>
      </c>
      <c r="H3241" s="1">
        <v>74.094000000000008</v>
      </c>
    </row>
    <row r="3242" spans="1:8" x14ac:dyDescent="0.3">
      <c r="A3242" s="2">
        <v>682</v>
      </c>
      <c r="B3242" t="s">
        <v>1907</v>
      </c>
      <c r="C3242" t="s">
        <v>3219</v>
      </c>
      <c r="D3242" s="2">
        <v>1</v>
      </c>
      <c r="E3242" s="11" t="s">
        <v>1335</v>
      </c>
      <c r="F3242" t="s">
        <v>39</v>
      </c>
      <c r="G3242" s="2" t="s">
        <v>31</v>
      </c>
      <c r="H3242" s="1">
        <v>100.59400000000001</v>
      </c>
    </row>
    <row r="3243" spans="1:8" x14ac:dyDescent="0.3">
      <c r="A3243" s="2">
        <v>682</v>
      </c>
      <c r="B3243" t="s">
        <v>1877</v>
      </c>
      <c r="C3243" t="s">
        <v>3219</v>
      </c>
      <c r="D3243" s="2">
        <v>1</v>
      </c>
      <c r="E3243" s="11" t="s">
        <v>1335</v>
      </c>
      <c r="F3243" t="s">
        <v>39</v>
      </c>
      <c r="G3243" s="2" t="s">
        <v>23</v>
      </c>
      <c r="H3243" s="1">
        <v>100.59400000000001</v>
      </c>
    </row>
    <row r="3244" spans="1:8" x14ac:dyDescent="0.3">
      <c r="A3244" s="2">
        <v>682</v>
      </c>
      <c r="B3244" t="s">
        <v>1906</v>
      </c>
      <c r="C3244" t="s">
        <v>1</v>
      </c>
      <c r="D3244" s="2">
        <v>1</v>
      </c>
      <c r="E3244" s="11" t="s">
        <v>53</v>
      </c>
      <c r="F3244" t="s">
        <v>36</v>
      </c>
      <c r="G3244" s="2" t="s">
        <v>4</v>
      </c>
      <c r="H3244" s="1">
        <v>36.994</v>
      </c>
    </row>
    <row r="3245" spans="1:8" x14ac:dyDescent="0.3">
      <c r="A3245" s="2">
        <v>682</v>
      </c>
      <c r="B3245" t="s">
        <v>1028</v>
      </c>
      <c r="C3245" t="s">
        <v>1</v>
      </c>
      <c r="D3245" s="2">
        <v>1</v>
      </c>
      <c r="E3245" s="11" t="s">
        <v>53</v>
      </c>
      <c r="F3245" t="s">
        <v>36</v>
      </c>
      <c r="G3245" s="2" t="s">
        <v>203</v>
      </c>
      <c r="H3245" s="1">
        <v>36.994</v>
      </c>
    </row>
    <row r="3246" spans="1:8" x14ac:dyDescent="0.3">
      <c r="A3246" s="2">
        <v>682</v>
      </c>
      <c r="B3246" t="s">
        <v>1136</v>
      </c>
      <c r="C3246" t="s">
        <v>1</v>
      </c>
      <c r="D3246" s="2">
        <v>2</v>
      </c>
      <c r="E3246" s="11" t="s">
        <v>53</v>
      </c>
      <c r="F3246" t="s">
        <v>36</v>
      </c>
      <c r="G3246" s="2" t="s">
        <v>31</v>
      </c>
      <c r="H3246" s="1">
        <v>36.994</v>
      </c>
    </row>
    <row r="3247" spans="1:8" x14ac:dyDescent="0.3">
      <c r="A3247" s="2">
        <v>682</v>
      </c>
      <c r="B3247" t="s">
        <v>1905</v>
      </c>
      <c r="C3247" t="s">
        <v>1</v>
      </c>
      <c r="D3247" s="2">
        <v>3</v>
      </c>
      <c r="E3247" s="11" t="s">
        <v>53</v>
      </c>
      <c r="F3247" t="s">
        <v>36</v>
      </c>
      <c r="G3247" s="2" t="s">
        <v>23</v>
      </c>
      <c r="H3247" s="1">
        <v>36.994</v>
      </c>
    </row>
    <row r="3248" spans="1:8" x14ac:dyDescent="0.3">
      <c r="A3248" s="2">
        <v>682</v>
      </c>
      <c r="B3248" t="s">
        <v>1187</v>
      </c>
      <c r="C3248" t="s">
        <v>1</v>
      </c>
      <c r="D3248" s="2">
        <v>1</v>
      </c>
      <c r="E3248" s="11" t="s">
        <v>53</v>
      </c>
      <c r="F3248" t="s">
        <v>1186</v>
      </c>
      <c r="G3248" s="2" t="s">
        <v>203</v>
      </c>
      <c r="H3248" s="1">
        <v>36.994</v>
      </c>
    </row>
    <row r="3249" spans="1:8" x14ac:dyDescent="0.3">
      <c r="A3249" s="2">
        <v>682</v>
      </c>
      <c r="B3249" t="s">
        <v>1904</v>
      </c>
      <c r="C3249" t="s">
        <v>1</v>
      </c>
      <c r="D3249" s="2">
        <v>1</v>
      </c>
      <c r="E3249" s="11" t="s">
        <v>53</v>
      </c>
      <c r="F3249" t="s">
        <v>1186</v>
      </c>
      <c r="G3249" s="2" t="s">
        <v>31</v>
      </c>
      <c r="H3249" s="1">
        <v>36.994</v>
      </c>
    </row>
    <row r="3250" spans="1:8" x14ac:dyDescent="0.3">
      <c r="A3250" s="2">
        <v>682</v>
      </c>
      <c r="B3250" t="s">
        <v>743</v>
      </c>
      <c r="C3250" t="s">
        <v>1</v>
      </c>
      <c r="D3250" s="2">
        <v>1</v>
      </c>
      <c r="E3250" s="11" t="s">
        <v>53</v>
      </c>
      <c r="F3250" t="s">
        <v>28</v>
      </c>
      <c r="G3250" s="2" t="s">
        <v>4</v>
      </c>
      <c r="H3250" s="1">
        <v>36.994</v>
      </c>
    </row>
    <row r="3251" spans="1:8" x14ac:dyDescent="0.3">
      <c r="A3251" s="2">
        <v>682</v>
      </c>
      <c r="B3251" t="s">
        <v>1272</v>
      </c>
      <c r="C3251" t="s">
        <v>1</v>
      </c>
      <c r="D3251" s="2">
        <v>1</v>
      </c>
      <c r="E3251" s="11" t="s">
        <v>53</v>
      </c>
      <c r="F3251" t="s">
        <v>28</v>
      </c>
      <c r="G3251" s="2" t="s">
        <v>31</v>
      </c>
      <c r="H3251" s="1">
        <v>36.994</v>
      </c>
    </row>
    <row r="3252" spans="1:8" x14ac:dyDescent="0.3">
      <c r="A3252" s="2">
        <v>682</v>
      </c>
      <c r="B3252" t="s">
        <v>742</v>
      </c>
      <c r="C3252" t="s">
        <v>1</v>
      </c>
      <c r="D3252" s="2">
        <v>2</v>
      </c>
      <c r="E3252" s="11" t="s">
        <v>53</v>
      </c>
      <c r="F3252" t="s">
        <v>28</v>
      </c>
      <c r="G3252" s="2" t="s">
        <v>23</v>
      </c>
      <c r="H3252" s="1">
        <v>36.994</v>
      </c>
    </row>
    <row r="3253" spans="1:8" x14ac:dyDescent="0.3">
      <c r="A3253" s="2">
        <v>682</v>
      </c>
      <c r="B3253" t="s">
        <v>743</v>
      </c>
      <c r="C3253" t="s">
        <v>1</v>
      </c>
      <c r="D3253" s="2">
        <v>1</v>
      </c>
      <c r="E3253" s="11" t="s">
        <v>53</v>
      </c>
      <c r="F3253" t="s">
        <v>28</v>
      </c>
      <c r="G3253" s="2" t="s">
        <v>4</v>
      </c>
      <c r="H3253" s="1">
        <v>36.994</v>
      </c>
    </row>
    <row r="3254" spans="1:8" x14ac:dyDescent="0.3">
      <c r="A3254" s="2">
        <v>682</v>
      </c>
      <c r="B3254" t="s">
        <v>1592</v>
      </c>
      <c r="C3254" t="s">
        <v>1</v>
      </c>
      <c r="D3254" s="2">
        <v>1</v>
      </c>
      <c r="E3254" s="11" t="s">
        <v>53</v>
      </c>
      <c r="F3254" t="s">
        <v>28</v>
      </c>
      <c r="G3254" s="2" t="s">
        <v>203</v>
      </c>
      <c r="H3254" s="1">
        <v>36.994</v>
      </c>
    </row>
    <row r="3255" spans="1:8" x14ac:dyDescent="0.3">
      <c r="A3255" s="2">
        <v>682</v>
      </c>
      <c r="B3255" t="s">
        <v>1272</v>
      </c>
      <c r="C3255" t="s">
        <v>1</v>
      </c>
      <c r="D3255" s="2">
        <v>2</v>
      </c>
      <c r="E3255" s="11" t="s">
        <v>53</v>
      </c>
      <c r="F3255" t="s">
        <v>28</v>
      </c>
      <c r="G3255" s="2" t="s">
        <v>31</v>
      </c>
      <c r="H3255" s="1">
        <v>36.994</v>
      </c>
    </row>
    <row r="3256" spans="1:8" x14ac:dyDescent="0.3">
      <c r="A3256" s="2">
        <v>682</v>
      </c>
      <c r="B3256" t="s">
        <v>742</v>
      </c>
      <c r="C3256" t="s">
        <v>1</v>
      </c>
      <c r="D3256" s="2">
        <v>4</v>
      </c>
      <c r="E3256" s="11" t="s">
        <v>53</v>
      </c>
      <c r="F3256" t="s">
        <v>28</v>
      </c>
      <c r="G3256" s="2" t="s">
        <v>23</v>
      </c>
      <c r="H3256" s="1">
        <v>36.994</v>
      </c>
    </row>
    <row r="3257" spans="1:8" x14ac:dyDescent="0.3">
      <c r="A3257" s="2">
        <v>682</v>
      </c>
      <c r="B3257" t="s">
        <v>876</v>
      </c>
      <c r="C3257" t="s">
        <v>1</v>
      </c>
      <c r="D3257" s="2">
        <v>1</v>
      </c>
      <c r="E3257" s="11" t="s">
        <v>189</v>
      </c>
      <c r="F3257" t="s">
        <v>28</v>
      </c>
      <c r="G3257" s="2" t="s">
        <v>31</v>
      </c>
      <c r="H3257" s="1">
        <v>63.494000000000007</v>
      </c>
    </row>
    <row r="3258" spans="1:8" x14ac:dyDescent="0.3">
      <c r="A3258" s="2">
        <v>682</v>
      </c>
      <c r="B3258" t="s">
        <v>1903</v>
      </c>
      <c r="C3258" t="s">
        <v>1</v>
      </c>
      <c r="D3258" s="2">
        <v>1</v>
      </c>
      <c r="E3258" s="11" t="s">
        <v>1774</v>
      </c>
      <c r="F3258" t="s">
        <v>28</v>
      </c>
      <c r="G3258" s="2" t="s">
        <v>4</v>
      </c>
      <c r="H3258" s="1">
        <v>89.994000000000014</v>
      </c>
    </row>
    <row r="3259" spans="1:8" x14ac:dyDescent="0.3">
      <c r="A3259" s="2">
        <v>682</v>
      </c>
      <c r="B3259" t="s">
        <v>1838</v>
      </c>
      <c r="C3259" t="s">
        <v>1</v>
      </c>
      <c r="D3259" s="2">
        <v>1</v>
      </c>
      <c r="E3259" s="11" t="s">
        <v>1774</v>
      </c>
      <c r="F3259" t="s">
        <v>28</v>
      </c>
      <c r="G3259" s="2" t="s">
        <v>31</v>
      </c>
      <c r="H3259" s="1">
        <v>89.994000000000014</v>
      </c>
    </row>
    <row r="3260" spans="1:8" x14ac:dyDescent="0.3">
      <c r="A3260" s="2">
        <v>682</v>
      </c>
      <c r="B3260" t="s">
        <v>1902</v>
      </c>
      <c r="C3260" t="s">
        <v>1</v>
      </c>
      <c r="D3260" s="2">
        <v>1</v>
      </c>
      <c r="E3260" s="11" t="s">
        <v>1774</v>
      </c>
      <c r="F3260" t="s">
        <v>28</v>
      </c>
      <c r="G3260" s="2" t="s">
        <v>23</v>
      </c>
      <c r="H3260" s="1">
        <v>89.994000000000014</v>
      </c>
    </row>
    <row r="3261" spans="1:8" x14ac:dyDescent="0.3">
      <c r="A3261" s="2">
        <v>682</v>
      </c>
      <c r="B3261" t="s">
        <v>1851</v>
      </c>
      <c r="C3261" t="s">
        <v>3220</v>
      </c>
      <c r="D3261" s="2">
        <v>1</v>
      </c>
      <c r="E3261" s="11" t="s">
        <v>1138</v>
      </c>
      <c r="F3261" t="s">
        <v>28</v>
      </c>
      <c r="G3261" s="2" t="s">
        <v>31</v>
      </c>
      <c r="H3261" s="1">
        <v>68.794000000000011</v>
      </c>
    </row>
    <row r="3262" spans="1:8" x14ac:dyDescent="0.3">
      <c r="A3262" s="2">
        <v>682</v>
      </c>
      <c r="B3262" t="s">
        <v>1850</v>
      </c>
      <c r="C3262" t="s">
        <v>3220</v>
      </c>
      <c r="D3262" s="2">
        <v>1</v>
      </c>
      <c r="E3262" s="11" t="s">
        <v>1138</v>
      </c>
      <c r="F3262" t="s">
        <v>28</v>
      </c>
      <c r="G3262" s="2" t="s">
        <v>23</v>
      </c>
      <c r="H3262" s="1">
        <v>68.794000000000011</v>
      </c>
    </row>
    <row r="3263" spans="1:8" x14ac:dyDescent="0.3">
      <c r="A3263" s="2">
        <v>683</v>
      </c>
      <c r="B3263" t="s">
        <v>1901</v>
      </c>
      <c r="C3263" t="s">
        <v>3</v>
      </c>
      <c r="D3263" s="2">
        <v>1</v>
      </c>
      <c r="E3263" s="11" t="s">
        <v>1863</v>
      </c>
      <c r="F3263" t="s">
        <v>65</v>
      </c>
      <c r="G3263" s="2" t="s">
        <v>4</v>
      </c>
      <c r="H3263" s="1">
        <v>68.794000000000011</v>
      </c>
    </row>
    <row r="3264" spans="1:8" x14ac:dyDescent="0.3">
      <c r="A3264" s="2">
        <v>683</v>
      </c>
      <c r="B3264" t="s">
        <v>1900</v>
      </c>
      <c r="C3264" t="s">
        <v>3224</v>
      </c>
      <c r="D3264" s="2">
        <v>1</v>
      </c>
      <c r="E3264" s="11" t="s">
        <v>1685</v>
      </c>
      <c r="F3264" t="s">
        <v>65</v>
      </c>
      <c r="G3264" s="2" t="s">
        <v>4</v>
      </c>
      <c r="H3264" s="1">
        <v>79.394000000000005</v>
      </c>
    </row>
    <row r="3265" spans="1:8" x14ac:dyDescent="0.3">
      <c r="A3265" s="2">
        <v>683</v>
      </c>
      <c r="B3265" t="s">
        <v>1869</v>
      </c>
      <c r="C3265" t="s">
        <v>3224</v>
      </c>
      <c r="D3265" s="2">
        <v>1</v>
      </c>
      <c r="E3265" s="11" t="s">
        <v>1685</v>
      </c>
      <c r="F3265" t="s">
        <v>62</v>
      </c>
      <c r="G3265" s="2" t="s">
        <v>31</v>
      </c>
      <c r="H3265" s="1">
        <v>79.394000000000005</v>
      </c>
    </row>
    <row r="3266" spans="1:8" x14ac:dyDescent="0.3">
      <c r="A3266" s="2">
        <v>683</v>
      </c>
      <c r="B3266" t="s">
        <v>1868</v>
      </c>
      <c r="C3266" t="s">
        <v>3</v>
      </c>
      <c r="D3266" s="2">
        <v>1</v>
      </c>
      <c r="E3266" s="11" t="s">
        <v>1767</v>
      </c>
      <c r="F3266" t="s">
        <v>62</v>
      </c>
      <c r="G3266" s="2" t="s">
        <v>31</v>
      </c>
      <c r="H3266" s="1">
        <v>95.294000000000011</v>
      </c>
    </row>
    <row r="3267" spans="1:8" x14ac:dyDescent="0.3">
      <c r="A3267" s="2">
        <v>683</v>
      </c>
      <c r="B3267" t="s">
        <v>1598</v>
      </c>
      <c r="C3267" t="s">
        <v>1</v>
      </c>
      <c r="D3267" s="2">
        <v>1</v>
      </c>
      <c r="E3267" s="11" t="s">
        <v>189</v>
      </c>
      <c r="F3267" t="s">
        <v>62</v>
      </c>
      <c r="G3267" s="2" t="s">
        <v>203</v>
      </c>
      <c r="H3267" s="1">
        <v>63.494000000000007</v>
      </c>
    </row>
    <row r="3268" spans="1:8" x14ac:dyDescent="0.3">
      <c r="A3268" s="2">
        <v>683</v>
      </c>
      <c r="B3268" t="s">
        <v>1899</v>
      </c>
      <c r="C3268" t="s">
        <v>3</v>
      </c>
      <c r="D3268" s="2">
        <v>1</v>
      </c>
      <c r="E3268" s="11" t="s">
        <v>1884</v>
      </c>
      <c r="F3268" t="s">
        <v>62</v>
      </c>
      <c r="G3268" s="2" t="s">
        <v>4</v>
      </c>
      <c r="H3268" s="1">
        <v>100.59400000000001</v>
      </c>
    </row>
    <row r="3269" spans="1:8" x14ac:dyDescent="0.3">
      <c r="A3269" s="2">
        <v>683</v>
      </c>
      <c r="B3269" t="s">
        <v>1898</v>
      </c>
      <c r="C3269" t="s">
        <v>3224</v>
      </c>
      <c r="D3269" s="2">
        <v>1</v>
      </c>
      <c r="E3269" s="11" t="s">
        <v>1897</v>
      </c>
      <c r="F3269" t="s">
        <v>55</v>
      </c>
      <c r="G3269" s="2" t="s">
        <v>31</v>
      </c>
      <c r="H3269" s="1">
        <v>52.893999999999998</v>
      </c>
    </row>
    <row r="3270" spans="1:8" x14ac:dyDescent="0.3">
      <c r="A3270" s="2">
        <v>683</v>
      </c>
      <c r="B3270" t="s">
        <v>1142</v>
      </c>
      <c r="C3270" t="s">
        <v>3219</v>
      </c>
      <c r="D3270" s="2">
        <v>1</v>
      </c>
      <c r="E3270" s="11" t="s">
        <v>102</v>
      </c>
      <c r="F3270" t="s">
        <v>114</v>
      </c>
      <c r="G3270" s="2" t="s">
        <v>4</v>
      </c>
      <c r="H3270" s="1">
        <v>121.79400000000001</v>
      </c>
    </row>
    <row r="3271" spans="1:8" x14ac:dyDescent="0.3">
      <c r="A3271" s="2">
        <v>683</v>
      </c>
      <c r="B3271" t="s">
        <v>1896</v>
      </c>
      <c r="C3271" t="s">
        <v>3219</v>
      </c>
      <c r="D3271" s="2">
        <v>1</v>
      </c>
      <c r="E3271" s="11" t="s">
        <v>1886</v>
      </c>
      <c r="F3271" t="s">
        <v>114</v>
      </c>
      <c r="G3271" s="2" t="s">
        <v>31</v>
      </c>
      <c r="H3271" s="1">
        <v>148.29400000000001</v>
      </c>
    </row>
    <row r="3272" spans="1:8" x14ac:dyDescent="0.3">
      <c r="A3272" s="2">
        <v>683</v>
      </c>
      <c r="B3272" t="s">
        <v>1895</v>
      </c>
      <c r="C3272" t="s">
        <v>3219</v>
      </c>
      <c r="D3272" s="2">
        <v>1</v>
      </c>
      <c r="E3272" s="11" t="s">
        <v>1886</v>
      </c>
      <c r="F3272" t="s">
        <v>114</v>
      </c>
      <c r="G3272" s="2" t="s">
        <v>23</v>
      </c>
      <c r="H3272" s="1">
        <v>148.29400000000001</v>
      </c>
    </row>
    <row r="3273" spans="1:8" x14ac:dyDescent="0.3">
      <c r="A3273" s="2">
        <v>683</v>
      </c>
      <c r="B3273" t="s">
        <v>1894</v>
      </c>
      <c r="C3273" t="s">
        <v>3219</v>
      </c>
      <c r="D3273" s="2">
        <v>1</v>
      </c>
      <c r="E3273" s="11" t="s">
        <v>1845</v>
      </c>
      <c r="F3273" t="s">
        <v>114</v>
      </c>
      <c r="G3273" s="2" t="s">
        <v>31</v>
      </c>
      <c r="H3273" s="1">
        <v>180.09400000000002</v>
      </c>
    </row>
    <row r="3274" spans="1:8" x14ac:dyDescent="0.3">
      <c r="A3274" s="2">
        <v>683</v>
      </c>
      <c r="B3274" t="s">
        <v>1847</v>
      </c>
      <c r="C3274" t="s">
        <v>3219</v>
      </c>
      <c r="D3274" s="2">
        <v>1</v>
      </c>
      <c r="E3274" s="11" t="s">
        <v>1845</v>
      </c>
      <c r="F3274" t="s">
        <v>114</v>
      </c>
      <c r="G3274" s="2" t="s">
        <v>23</v>
      </c>
      <c r="H3274" s="1">
        <v>180.09400000000002</v>
      </c>
    </row>
    <row r="3275" spans="1:8" x14ac:dyDescent="0.3">
      <c r="A3275" s="2">
        <v>683</v>
      </c>
      <c r="B3275" t="s">
        <v>1893</v>
      </c>
      <c r="C3275" t="s">
        <v>1</v>
      </c>
      <c r="D3275" s="2">
        <v>1</v>
      </c>
      <c r="E3275" s="11" t="s">
        <v>189</v>
      </c>
      <c r="F3275" t="s">
        <v>114</v>
      </c>
      <c r="G3275" s="2" t="s">
        <v>203</v>
      </c>
      <c r="H3275" s="1">
        <v>63.494000000000007</v>
      </c>
    </row>
    <row r="3276" spans="1:8" x14ac:dyDescent="0.3">
      <c r="A3276" s="2">
        <v>683</v>
      </c>
      <c r="B3276" t="s">
        <v>1892</v>
      </c>
      <c r="C3276" t="s">
        <v>3238</v>
      </c>
      <c r="D3276" s="2">
        <v>1</v>
      </c>
      <c r="E3276" s="11" t="s">
        <v>871</v>
      </c>
      <c r="F3276" t="s">
        <v>114</v>
      </c>
      <c r="G3276" s="2" t="s">
        <v>4</v>
      </c>
      <c r="H3276" s="1">
        <v>68.794000000000011</v>
      </c>
    </row>
    <row r="3277" spans="1:8" x14ac:dyDescent="0.3">
      <c r="A3277" s="2">
        <v>683</v>
      </c>
      <c r="B3277" t="s">
        <v>1891</v>
      </c>
      <c r="C3277" t="s">
        <v>3224</v>
      </c>
      <c r="D3277" s="2">
        <v>1</v>
      </c>
      <c r="E3277" s="11" t="s">
        <v>1444</v>
      </c>
      <c r="F3277" t="s">
        <v>47</v>
      </c>
      <c r="G3277" s="2" t="s">
        <v>31</v>
      </c>
      <c r="H3277" s="1">
        <v>95.294000000000011</v>
      </c>
    </row>
    <row r="3278" spans="1:8" x14ac:dyDescent="0.3">
      <c r="A3278" s="2">
        <v>683</v>
      </c>
      <c r="B3278" t="s">
        <v>1890</v>
      </c>
      <c r="C3278" t="s">
        <v>3</v>
      </c>
      <c r="D3278" s="2">
        <v>1</v>
      </c>
      <c r="E3278" s="11" t="s">
        <v>1863</v>
      </c>
      <c r="F3278" t="s">
        <v>47</v>
      </c>
      <c r="G3278" s="2" t="s">
        <v>4</v>
      </c>
      <c r="H3278" s="1">
        <v>68.794000000000011</v>
      </c>
    </row>
    <row r="3279" spans="1:8" x14ac:dyDescent="0.3">
      <c r="A3279" s="2">
        <v>683</v>
      </c>
      <c r="B3279" t="s">
        <v>1889</v>
      </c>
      <c r="C3279" t="s">
        <v>3219</v>
      </c>
      <c r="D3279" s="2">
        <v>1</v>
      </c>
      <c r="E3279" s="11" t="s">
        <v>1886</v>
      </c>
      <c r="F3279" t="s">
        <v>47</v>
      </c>
      <c r="G3279" s="2" t="s">
        <v>4</v>
      </c>
      <c r="H3279" s="1">
        <v>148.29400000000001</v>
      </c>
    </row>
    <row r="3280" spans="1:8" x14ac:dyDescent="0.3">
      <c r="A3280" s="2">
        <v>683</v>
      </c>
      <c r="B3280" t="s">
        <v>1888</v>
      </c>
      <c r="C3280" t="s">
        <v>3219</v>
      </c>
      <c r="D3280" s="2">
        <v>1</v>
      </c>
      <c r="E3280" s="11" t="s">
        <v>1886</v>
      </c>
      <c r="F3280" t="s">
        <v>47</v>
      </c>
      <c r="G3280" s="2" t="s">
        <v>31</v>
      </c>
      <c r="H3280" s="1">
        <v>148.29400000000001</v>
      </c>
    </row>
    <row r="3281" spans="1:8" x14ac:dyDescent="0.3">
      <c r="A3281" s="2">
        <v>683</v>
      </c>
      <c r="B3281" t="s">
        <v>1887</v>
      </c>
      <c r="C3281" t="s">
        <v>3219</v>
      </c>
      <c r="D3281" s="2">
        <v>1</v>
      </c>
      <c r="E3281" s="11" t="s">
        <v>1886</v>
      </c>
      <c r="F3281" t="s">
        <v>47</v>
      </c>
      <c r="G3281" s="2" t="s">
        <v>23</v>
      </c>
      <c r="H3281" s="1">
        <v>148.29400000000001</v>
      </c>
    </row>
    <row r="3282" spans="1:8" x14ac:dyDescent="0.3">
      <c r="A3282" s="2">
        <v>683</v>
      </c>
      <c r="B3282" t="s">
        <v>1885</v>
      </c>
      <c r="C3282" t="s">
        <v>3</v>
      </c>
      <c r="D3282" s="2">
        <v>2</v>
      </c>
      <c r="E3282" s="11" t="s">
        <v>1884</v>
      </c>
      <c r="F3282" t="s">
        <v>47</v>
      </c>
      <c r="G3282" s="2" t="s">
        <v>4</v>
      </c>
      <c r="H3282" s="1">
        <v>100.59400000000001</v>
      </c>
    </row>
    <row r="3283" spans="1:8" x14ac:dyDescent="0.3">
      <c r="A3283" s="2">
        <v>683</v>
      </c>
      <c r="B3283" t="s">
        <v>1883</v>
      </c>
      <c r="C3283" t="s">
        <v>3224</v>
      </c>
      <c r="D3283" s="2">
        <v>1</v>
      </c>
      <c r="E3283" s="11" t="s">
        <v>819</v>
      </c>
      <c r="F3283" t="s">
        <v>47</v>
      </c>
      <c r="G3283" s="2" t="s">
        <v>4</v>
      </c>
      <c r="H3283" s="1">
        <v>79.394000000000005</v>
      </c>
    </row>
    <row r="3284" spans="1:8" x14ac:dyDescent="0.3">
      <c r="A3284" s="2">
        <v>683</v>
      </c>
      <c r="B3284" t="s">
        <v>1212</v>
      </c>
      <c r="C3284" t="s">
        <v>0</v>
      </c>
      <c r="D3284" s="2">
        <v>1</v>
      </c>
      <c r="E3284" s="11" t="s">
        <v>1211</v>
      </c>
      <c r="F3284" t="s">
        <v>47</v>
      </c>
      <c r="G3284" s="2" t="s">
        <v>4</v>
      </c>
      <c r="H3284" s="1">
        <v>144.29</v>
      </c>
    </row>
    <row r="3285" spans="1:8" x14ac:dyDescent="0.3">
      <c r="A3285" s="2">
        <v>683</v>
      </c>
      <c r="B3285" t="s">
        <v>1882</v>
      </c>
      <c r="C3285" t="s">
        <v>1</v>
      </c>
      <c r="D3285" s="2">
        <v>1</v>
      </c>
      <c r="E3285" s="11" t="s">
        <v>222</v>
      </c>
      <c r="F3285" t="s">
        <v>39</v>
      </c>
      <c r="G3285" s="2" t="s">
        <v>4</v>
      </c>
      <c r="H3285" s="1">
        <v>52.893999999999998</v>
      </c>
    </row>
    <row r="3286" spans="1:8" x14ac:dyDescent="0.3">
      <c r="A3286" s="2">
        <v>683</v>
      </c>
      <c r="B3286" t="s">
        <v>1881</v>
      </c>
      <c r="C3286" t="s">
        <v>3224</v>
      </c>
      <c r="D3286" s="2">
        <v>1</v>
      </c>
      <c r="E3286" s="11" t="s">
        <v>1880</v>
      </c>
      <c r="F3286" t="s">
        <v>39</v>
      </c>
      <c r="G3286" s="2" t="s">
        <v>31</v>
      </c>
      <c r="H3286" s="1">
        <v>74.094000000000008</v>
      </c>
    </row>
    <row r="3287" spans="1:8" x14ac:dyDescent="0.3">
      <c r="A3287" s="2">
        <v>683</v>
      </c>
      <c r="B3287" t="s">
        <v>1652</v>
      </c>
      <c r="C3287" t="s">
        <v>3217</v>
      </c>
      <c r="D3287" s="2">
        <v>1</v>
      </c>
      <c r="E3287" s="11" t="s">
        <v>1603</v>
      </c>
      <c r="F3287" t="s">
        <v>28</v>
      </c>
      <c r="G3287" s="2" t="s">
        <v>31</v>
      </c>
      <c r="H3287" s="1">
        <v>63.494</v>
      </c>
    </row>
    <row r="3288" spans="1:8" x14ac:dyDescent="0.3">
      <c r="A3288" s="2">
        <v>684</v>
      </c>
      <c r="B3288" t="s">
        <v>1035</v>
      </c>
      <c r="C3288" t="s">
        <v>3224</v>
      </c>
      <c r="D3288" s="2">
        <v>1</v>
      </c>
      <c r="E3288" s="11" t="s">
        <v>499</v>
      </c>
      <c r="F3288" t="s">
        <v>55</v>
      </c>
      <c r="G3288" s="2" t="s">
        <v>23</v>
      </c>
      <c r="H3288" s="1">
        <v>84.694000000000017</v>
      </c>
    </row>
    <row r="3289" spans="1:8" x14ac:dyDescent="0.3">
      <c r="A3289" s="2">
        <v>684</v>
      </c>
      <c r="B3289" t="s">
        <v>110</v>
      </c>
      <c r="C3289" t="s">
        <v>3219</v>
      </c>
      <c r="D3289" s="2">
        <v>1</v>
      </c>
      <c r="E3289" s="11" t="s">
        <v>109</v>
      </c>
      <c r="F3289" t="s">
        <v>47</v>
      </c>
      <c r="G3289" s="2" t="s">
        <v>23</v>
      </c>
      <c r="H3289" s="1">
        <v>158.89400000000001</v>
      </c>
    </row>
    <row r="3290" spans="1:8" x14ac:dyDescent="0.3">
      <c r="A3290" s="2">
        <v>684</v>
      </c>
      <c r="B3290" t="s">
        <v>1556</v>
      </c>
      <c r="C3290" t="s">
        <v>3219</v>
      </c>
      <c r="D3290" s="2">
        <v>1</v>
      </c>
      <c r="E3290" s="11" t="s">
        <v>1214</v>
      </c>
      <c r="F3290" t="s">
        <v>47</v>
      </c>
      <c r="G3290" s="2" t="s">
        <v>4</v>
      </c>
      <c r="H3290" s="1">
        <v>127.09400000000001</v>
      </c>
    </row>
    <row r="3291" spans="1:8" x14ac:dyDescent="0.3">
      <c r="A3291" s="2">
        <v>684</v>
      </c>
      <c r="B3291" t="s">
        <v>1477</v>
      </c>
      <c r="C3291" t="s">
        <v>3219</v>
      </c>
      <c r="D3291" s="2">
        <v>1</v>
      </c>
      <c r="E3291" s="11" t="s">
        <v>1214</v>
      </c>
      <c r="F3291" t="s">
        <v>47</v>
      </c>
      <c r="G3291" s="2" t="s">
        <v>31</v>
      </c>
      <c r="H3291" s="1">
        <v>127.09400000000001</v>
      </c>
    </row>
    <row r="3292" spans="1:8" x14ac:dyDescent="0.3">
      <c r="A3292" s="2">
        <v>684</v>
      </c>
      <c r="B3292" t="s">
        <v>1879</v>
      </c>
      <c r="C3292" t="s">
        <v>3219</v>
      </c>
      <c r="D3292" s="2">
        <v>1</v>
      </c>
      <c r="E3292" s="11" t="s">
        <v>1214</v>
      </c>
      <c r="F3292" t="s">
        <v>47</v>
      </c>
      <c r="G3292" s="2" t="s">
        <v>23</v>
      </c>
      <c r="H3292" s="1">
        <v>127.09400000000001</v>
      </c>
    </row>
    <row r="3293" spans="1:8" x14ac:dyDescent="0.3">
      <c r="A3293" s="2">
        <v>684</v>
      </c>
      <c r="B3293" t="s">
        <v>1854</v>
      </c>
      <c r="C3293" t="s">
        <v>3233</v>
      </c>
      <c r="D3293" s="2">
        <v>1</v>
      </c>
      <c r="E3293" s="11" t="s">
        <v>1096</v>
      </c>
      <c r="F3293" t="s">
        <v>47</v>
      </c>
      <c r="G3293" s="2" t="s">
        <v>31</v>
      </c>
      <c r="H3293" s="1">
        <v>132.39400000000001</v>
      </c>
    </row>
    <row r="3294" spans="1:8" x14ac:dyDescent="0.3">
      <c r="A3294" s="2">
        <v>684</v>
      </c>
      <c r="B3294" t="s">
        <v>1878</v>
      </c>
      <c r="C3294" t="s">
        <v>3219</v>
      </c>
      <c r="D3294" s="2">
        <v>1</v>
      </c>
      <c r="E3294" s="11" t="s">
        <v>1173</v>
      </c>
      <c r="F3294" t="s">
        <v>39</v>
      </c>
      <c r="G3294" s="2" t="s">
        <v>31</v>
      </c>
      <c r="H3294" s="1">
        <v>116.49400000000001</v>
      </c>
    </row>
    <row r="3295" spans="1:8" x14ac:dyDescent="0.3">
      <c r="A3295" s="2">
        <v>684</v>
      </c>
      <c r="B3295" t="s">
        <v>1877</v>
      </c>
      <c r="C3295" t="s">
        <v>3219</v>
      </c>
      <c r="D3295" s="2">
        <v>2</v>
      </c>
      <c r="E3295" s="11" t="s">
        <v>1335</v>
      </c>
      <c r="F3295" t="s">
        <v>39</v>
      </c>
      <c r="G3295" s="2" t="s">
        <v>23</v>
      </c>
      <c r="H3295" s="1">
        <v>100.59400000000001</v>
      </c>
    </row>
    <row r="3296" spans="1:8" x14ac:dyDescent="0.3">
      <c r="A3296" s="2">
        <v>684</v>
      </c>
      <c r="B3296" t="s">
        <v>1824</v>
      </c>
      <c r="C3296" t="s">
        <v>3233</v>
      </c>
      <c r="D3296" s="2">
        <v>1</v>
      </c>
      <c r="E3296" s="11" t="s">
        <v>1096</v>
      </c>
      <c r="F3296" t="s">
        <v>39</v>
      </c>
      <c r="G3296" s="2" t="s">
        <v>23</v>
      </c>
      <c r="H3296" s="1">
        <v>132.39400000000001</v>
      </c>
    </row>
    <row r="3297" spans="1:8" x14ac:dyDescent="0.3">
      <c r="A3297" s="2">
        <v>684</v>
      </c>
      <c r="B3297" t="s">
        <v>1876</v>
      </c>
      <c r="C3297" t="s">
        <v>3219</v>
      </c>
      <c r="D3297" s="2">
        <v>1</v>
      </c>
      <c r="E3297" s="11" t="s">
        <v>1214</v>
      </c>
      <c r="F3297" t="s">
        <v>28</v>
      </c>
      <c r="G3297" s="2" t="s">
        <v>31</v>
      </c>
      <c r="H3297" s="1">
        <v>127.09400000000001</v>
      </c>
    </row>
    <row r="3298" spans="1:8" x14ac:dyDescent="0.3">
      <c r="A3298" s="2">
        <v>684</v>
      </c>
      <c r="B3298" t="s">
        <v>1875</v>
      </c>
      <c r="C3298" t="s">
        <v>3233</v>
      </c>
      <c r="D3298" s="2">
        <v>1</v>
      </c>
      <c r="E3298" s="11" t="s">
        <v>1096</v>
      </c>
      <c r="F3298" t="s">
        <v>28</v>
      </c>
      <c r="G3298" s="2" t="s">
        <v>23</v>
      </c>
      <c r="H3298" s="1">
        <v>132.39400000000001</v>
      </c>
    </row>
    <row r="3299" spans="1:8" x14ac:dyDescent="0.3">
      <c r="A3299" s="2">
        <v>685</v>
      </c>
      <c r="B3299" t="s">
        <v>1874</v>
      </c>
      <c r="C3299" t="s">
        <v>3224</v>
      </c>
      <c r="D3299" s="2">
        <v>1</v>
      </c>
      <c r="E3299" s="11" t="s">
        <v>1811</v>
      </c>
      <c r="F3299" t="s">
        <v>65</v>
      </c>
      <c r="G3299" s="2" t="s">
        <v>4</v>
      </c>
      <c r="H3299" s="1">
        <v>100.59400000000001</v>
      </c>
    </row>
    <row r="3300" spans="1:8" x14ac:dyDescent="0.3">
      <c r="A3300" s="2">
        <v>685</v>
      </c>
      <c r="B3300" t="s">
        <v>1803</v>
      </c>
      <c r="C3300" t="s">
        <v>3221</v>
      </c>
      <c r="D3300" s="2">
        <v>2</v>
      </c>
      <c r="E3300" s="11" t="s">
        <v>642</v>
      </c>
      <c r="F3300" t="s">
        <v>55</v>
      </c>
      <c r="G3300" s="2" t="s">
        <v>4</v>
      </c>
      <c r="H3300" s="1">
        <v>95.294000000000011</v>
      </c>
    </row>
    <row r="3301" spans="1:8" x14ac:dyDescent="0.3">
      <c r="A3301" s="2">
        <v>685</v>
      </c>
      <c r="B3301" t="s">
        <v>1539</v>
      </c>
      <c r="C3301" t="s">
        <v>3221</v>
      </c>
      <c r="D3301" s="2">
        <v>2</v>
      </c>
      <c r="E3301" s="11" t="s">
        <v>642</v>
      </c>
      <c r="F3301" t="s">
        <v>55</v>
      </c>
      <c r="G3301" s="2" t="s">
        <v>203</v>
      </c>
      <c r="H3301" s="1">
        <v>95.294000000000011</v>
      </c>
    </row>
    <row r="3302" spans="1:8" x14ac:dyDescent="0.3">
      <c r="A3302" s="2">
        <v>685</v>
      </c>
      <c r="B3302" t="s">
        <v>651</v>
      </c>
      <c r="C3302" t="s">
        <v>3221</v>
      </c>
      <c r="D3302" s="2">
        <v>2</v>
      </c>
      <c r="E3302" s="11" t="s">
        <v>642</v>
      </c>
      <c r="F3302" t="s">
        <v>55</v>
      </c>
      <c r="G3302" s="2" t="s">
        <v>31</v>
      </c>
      <c r="H3302" s="1">
        <v>95.294000000000011</v>
      </c>
    </row>
    <row r="3303" spans="1:8" x14ac:dyDescent="0.3">
      <c r="A3303" s="2">
        <v>685</v>
      </c>
      <c r="B3303" t="s">
        <v>1566</v>
      </c>
      <c r="C3303" t="s">
        <v>3225</v>
      </c>
      <c r="D3303" s="2">
        <v>1</v>
      </c>
      <c r="E3303" s="11" t="s">
        <v>239</v>
      </c>
      <c r="F3303" t="s">
        <v>47</v>
      </c>
      <c r="G3303" s="2" t="s">
        <v>4</v>
      </c>
      <c r="H3303" s="1">
        <v>148.29400000000001</v>
      </c>
    </row>
    <row r="3304" spans="1:8" x14ac:dyDescent="0.3">
      <c r="A3304" s="2">
        <v>685</v>
      </c>
      <c r="B3304" t="s">
        <v>832</v>
      </c>
      <c r="C3304" t="s">
        <v>3225</v>
      </c>
      <c r="D3304" s="2">
        <v>1</v>
      </c>
      <c r="E3304" s="11" t="s">
        <v>831</v>
      </c>
      <c r="F3304" t="s">
        <v>47</v>
      </c>
      <c r="G3304" s="2" t="s">
        <v>4</v>
      </c>
      <c r="H3304" s="1">
        <v>190.69400000000002</v>
      </c>
    </row>
    <row r="3305" spans="1:8" x14ac:dyDescent="0.3">
      <c r="A3305" s="2">
        <v>685</v>
      </c>
      <c r="B3305" t="s">
        <v>1873</v>
      </c>
      <c r="C3305" t="s">
        <v>3221</v>
      </c>
      <c r="D3305" s="2">
        <v>4</v>
      </c>
      <c r="E3305" s="11" t="s">
        <v>642</v>
      </c>
      <c r="F3305" t="s">
        <v>47</v>
      </c>
      <c r="G3305" s="2" t="s">
        <v>203</v>
      </c>
      <c r="H3305" s="1">
        <v>95.294000000000011</v>
      </c>
    </row>
    <row r="3306" spans="1:8" x14ac:dyDescent="0.3">
      <c r="A3306" s="2">
        <v>685</v>
      </c>
      <c r="B3306" t="s">
        <v>1475</v>
      </c>
      <c r="C3306" t="s">
        <v>3225</v>
      </c>
      <c r="D3306" s="2">
        <v>1</v>
      </c>
      <c r="E3306" s="11" t="s">
        <v>239</v>
      </c>
      <c r="F3306" t="s">
        <v>39</v>
      </c>
      <c r="G3306" s="2" t="s">
        <v>4</v>
      </c>
      <c r="H3306" s="1">
        <v>148.29400000000001</v>
      </c>
    </row>
    <row r="3307" spans="1:8" x14ac:dyDescent="0.3">
      <c r="A3307" s="2">
        <v>685</v>
      </c>
      <c r="B3307" t="s">
        <v>1249</v>
      </c>
      <c r="C3307" t="s">
        <v>3224</v>
      </c>
      <c r="D3307" s="2">
        <v>2</v>
      </c>
      <c r="E3307" s="11" t="s">
        <v>1248</v>
      </c>
      <c r="F3307" t="s">
        <v>39</v>
      </c>
      <c r="G3307" s="2" t="s">
        <v>4</v>
      </c>
      <c r="H3307" s="1">
        <v>95.294000000000011</v>
      </c>
    </row>
    <row r="3308" spans="1:8" x14ac:dyDescent="0.3">
      <c r="A3308" s="2">
        <v>685</v>
      </c>
      <c r="B3308" t="s">
        <v>1872</v>
      </c>
      <c r="C3308" t="s">
        <v>3225</v>
      </c>
      <c r="D3308" s="2">
        <v>1</v>
      </c>
      <c r="E3308" s="11" t="s">
        <v>1216</v>
      </c>
      <c r="F3308" t="s">
        <v>28</v>
      </c>
      <c r="G3308" s="2" t="s">
        <v>4</v>
      </c>
      <c r="H3308" s="1">
        <v>206.59400000000002</v>
      </c>
    </row>
    <row r="3309" spans="1:8" x14ac:dyDescent="0.3">
      <c r="A3309" s="2">
        <v>685</v>
      </c>
      <c r="B3309" t="s">
        <v>1520</v>
      </c>
      <c r="C3309" t="s">
        <v>3221</v>
      </c>
      <c r="D3309" s="2">
        <v>2</v>
      </c>
      <c r="E3309" s="11" t="s">
        <v>642</v>
      </c>
      <c r="F3309" t="s">
        <v>24</v>
      </c>
      <c r="G3309" s="2" t="s">
        <v>203</v>
      </c>
      <c r="H3309" s="1">
        <v>95.294000000000011</v>
      </c>
    </row>
    <row r="3310" spans="1:8" x14ac:dyDescent="0.3">
      <c r="A3310" s="2">
        <v>686</v>
      </c>
      <c r="B3310" t="s">
        <v>1871</v>
      </c>
      <c r="C3310" t="s">
        <v>3219</v>
      </c>
      <c r="D3310" s="2">
        <v>1</v>
      </c>
      <c r="E3310" s="11" t="s">
        <v>1497</v>
      </c>
      <c r="F3310" t="s">
        <v>65</v>
      </c>
      <c r="G3310" s="2" t="s">
        <v>31</v>
      </c>
      <c r="H3310" s="1">
        <v>158.89400000000001</v>
      </c>
    </row>
    <row r="3311" spans="1:8" x14ac:dyDescent="0.3">
      <c r="A3311" s="2">
        <v>686</v>
      </c>
      <c r="B3311" t="s">
        <v>1870</v>
      </c>
      <c r="C3311" t="s">
        <v>3</v>
      </c>
      <c r="D3311" s="2">
        <v>1</v>
      </c>
      <c r="E3311" s="11" t="s">
        <v>1863</v>
      </c>
      <c r="F3311" t="s">
        <v>65</v>
      </c>
      <c r="G3311" s="2" t="s">
        <v>31</v>
      </c>
      <c r="H3311" s="1">
        <v>68.794000000000011</v>
      </c>
    </row>
    <row r="3312" spans="1:8" x14ac:dyDescent="0.3">
      <c r="A3312" s="2">
        <v>686</v>
      </c>
      <c r="B3312" t="s">
        <v>1869</v>
      </c>
      <c r="C3312" t="s">
        <v>3224</v>
      </c>
      <c r="D3312" s="2">
        <v>1</v>
      </c>
      <c r="E3312" s="11" t="s">
        <v>1685</v>
      </c>
      <c r="F3312" t="s">
        <v>62</v>
      </c>
      <c r="G3312" s="2" t="s">
        <v>31</v>
      </c>
      <c r="H3312" s="1">
        <v>79.394000000000005</v>
      </c>
    </row>
    <row r="3313" spans="1:8" x14ac:dyDescent="0.3">
      <c r="A3313" s="2">
        <v>686</v>
      </c>
      <c r="B3313" t="s">
        <v>1868</v>
      </c>
      <c r="C3313" t="s">
        <v>3</v>
      </c>
      <c r="D3313" s="2">
        <v>2</v>
      </c>
      <c r="E3313" s="11" t="s">
        <v>1767</v>
      </c>
      <c r="F3313" t="s">
        <v>62</v>
      </c>
      <c r="G3313" s="2" t="s">
        <v>31</v>
      </c>
      <c r="H3313" s="1">
        <v>95.294000000000011</v>
      </c>
    </row>
    <row r="3314" spans="1:8" x14ac:dyDescent="0.3">
      <c r="A3314" s="2">
        <v>686</v>
      </c>
      <c r="B3314" t="s">
        <v>1867</v>
      </c>
      <c r="C3314" t="s">
        <v>3219</v>
      </c>
      <c r="D3314" s="2">
        <v>1</v>
      </c>
      <c r="E3314" s="11" t="s">
        <v>102</v>
      </c>
      <c r="F3314" t="s">
        <v>62</v>
      </c>
      <c r="G3314" s="2" t="s">
        <v>31</v>
      </c>
      <c r="H3314" s="1">
        <v>121.79400000000001</v>
      </c>
    </row>
    <row r="3315" spans="1:8" x14ac:dyDescent="0.3">
      <c r="A3315" s="2">
        <v>686</v>
      </c>
      <c r="B3315" t="s">
        <v>1866</v>
      </c>
      <c r="C3315" t="s">
        <v>3</v>
      </c>
      <c r="D3315" s="2">
        <v>1</v>
      </c>
      <c r="E3315" s="11" t="s">
        <v>1863</v>
      </c>
      <c r="F3315" t="s">
        <v>55</v>
      </c>
      <c r="G3315" s="2" t="s">
        <v>31</v>
      </c>
      <c r="H3315" s="1">
        <v>68.794000000000011</v>
      </c>
    </row>
    <row r="3316" spans="1:8" x14ac:dyDescent="0.3">
      <c r="A3316" s="2">
        <v>686</v>
      </c>
      <c r="B3316" t="s">
        <v>1865</v>
      </c>
      <c r="C3316" t="s">
        <v>3</v>
      </c>
      <c r="D3316" s="2">
        <v>1</v>
      </c>
      <c r="E3316" s="11" t="s">
        <v>1863</v>
      </c>
      <c r="F3316" t="s">
        <v>55</v>
      </c>
      <c r="G3316" s="2" t="s">
        <v>23</v>
      </c>
      <c r="H3316" s="1">
        <v>68.794000000000011</v>
      </c>
    </row>
    <row r="3317" spans="1:8" x14ac:dyDescent="0.3">
      <c r="A3317" s="2">
        <v>686</v>
      </c>
      <c r="B3317" t="s">
        <v>1864</v>
      </c>
      <c r="C3317" t="s">
        <v>3</v>
      </c>
      <c r="D3317" s="2">
        <v>1</v>
      </c>
      <c r="E3317" s="11" t="s">
        <v>1863</v>
      </c>
      <c r="F3317" t="s">
        <v>47</v>
      </c>
      <c r="G3317" s="2" t="s">
        <v>23</v>
      </c>
      <c r="H3317" s="1">
        <v>68.794000000000011</v>
      </c>
    </row>
    <row r="3318" spans="1:8" x14ac:dyDescent="0.3">
      <c r="A3318" s="2">
        <v>686</v>
      </c>
      <c r="B3318" t="s">
        <v>1334</v>
      </c>
      <c r="C3318" t="s">
        <v>3233</v>
      </c>
      <c r="D3318" s="2">
        <v>1</v>
      </c>
      <c r="E3318" s="11" t="s">
        <v>1096</v>
      </c>
      <c r="F3318" t="s">
        <v>39</v>
      </c>
      <c r="G3318" s="2" t="s">
        <v>31</v>
      </c>
      <c r="H3318" s="1">
        <v>132.39400000000001</v>
      </c>
    </row>
    <row r="3319" spans="1:8" x14ac:dyDescent="0.3">
      <c r="A3319" s="2">
        <v>686</v>
      </c>
      <c r="B3319" t="s">
        <v>113</v>
      </c>
      <c r="C3319" t="s">
        <v>3219</v>
      </c>
      <c r="D3319" s="2">
        <v>1</v>
      </c>
      <c r="E3319" s="11" t="s">
        <v>102</v>
      </c>
      <c r="F3319" t="s">
        <v>36</v>
      </c>
      <c r="G3319" s="2" t="s">
        <v>4</v>
      </c>
      <c r="H3319" s="1">
        <v>121.79400000000001</v>
      </c>
    </row>
    <row r="3320" spans="1:8" x14ac:dyDescent="0.3">
      <c r="A3320" s="2">
        <v>686</v>
      </c>
      <c r="B3320" t="s">
        <v>1862</v>
      </c>
      <c r="C3320" t="s">
        <v>3219</v>
      </c>
      <c r="D3320" s="2">
        <v>1</v>
      </c>
      <c r="E3320" s="11" t="s">
        <v>102</v>
      </c>
      <c r="F3320" t="s">
        <v>36</v>
      </c>
      <c r="G3320" s="2" t="s">
        <v>31</v>
      </c>
      <c r="H3320" s="1">
        <v>121.79400000000001</v>
      </c>
    </row>
    <row r="3321" spans="1:8" x14ac:dyDescent="0.3">
      <c r="A3321" s="2">
        <v>686</v>
      </c>
      <c r="B3321" t="s">
        <v>1440</v>
      </c>
      <c r="C3321" t="s">
        <v>3238</v>
      </c>
      <c r="D3321" s="2">
        <v>1</v>
      </c>
      <c r="E3321" s="11" t="s">
        <v>871</v>
      </c>
      <c r="F3321" t="s">
        <v>28</v>
      </c>
      <c r="G3321" s="2" t="s">
        <v>31</v>
      </c>
      <c r="H3321" s="1">
        <v>68.794000000000011</v>
      </c>
    </row>
    <row r="3322" spans="1:8" x14ac:dyDescent="0.3">
      <c r="A3322" s="2">
        <v>686</v>
      </c>
      <c r="B3322" t="s">
        <v>1258</v>
      </c>
      <c r="C3322" t="s">
        <v>3238</v>
      </c>
      <c r="D3322" s="2">
        <v>1</v>
      </c>
      <c r="E3322" s="11" t="s">
        <v>871</v>
      </c>
      <c r="F3322" t="s">
        <v>28</v>
      </c>
      <c r="G3322" s="2" t="s">
        <v>23</v>
      </c>
      <c r="H3322" s="1">
        <v>68.794000000000011</v>
      </c>
    </row>
    <row r="3323" spans="1:8" x14ac:dyDescent="0.3">
      <c r="A3323" s="2">
        <v>687</v>
      </c>
      <c r="B3323" t="s">
        <v>1781</v>
      </c>
      <c r="C3323" t="s">
        <v>1</v>
      </c>
      <c r="D3323" s="2">
        <v>1</v>
      </c>
      <c r="E3323" s="11" t="s">
        <v>281</v>
      </c>
      <c r="F3323" t="s">
        <v>55</v>
      </c>
      <c r="G3323" s="2" t="s">
        <v>4</v>
      </c>
      <c r="H3323" s="1">
        <v>58.194000000000003</v>
      </c>
    </row>
    <row r="3324" spans="1:8" x14ac:dyDescent="0.3">
      <c r="A3324" s="2">
        <v>687</v>
      </c>
      <c r="B3324" t="s">
        <v>296</v>
      </c>
      <c r="C3324" t="s">
        <v>1</v>
      </c>
      <c r="D3324" s="2">
        <v>1</v>
      </c>
      <c r="E3324" s="11" t="s">
        <v>281</v>
      </c>
      <c r="F3324" t="s">
        <v>55</v>
      </c>
      <c r="G3324" s="2" t="s">
        <v>31</v>
      </c>
      <c r="H3324" s="1">
        <v>58.194000000000003</v>
      </c>
    </row>
    <row r="3325" spans="1:8" x14ac:dyDescent="0.3">
      <c r="A3325" s="2">
        <v>687</v>
      </c>
      <c r="B3325" t="s">
        <v>1123</v>
      </c>
      <c r="C3325" t="s">
        <v>1</v>
      </c>
      <c r="D3325" s="2">
        <v>1</v>
      </c>
      <c r="E3325" s="11" t="s">
        <v>281</v>
      </c>
      <c r="F3325" t="s">
        <v>55</v>
      </c>
      <c r="G3325" s="2" t="s">
        <v>23</v>
      </c>
      <c r="H3325" s="1">
        <v>58.194000000000003</v>
      </c>
    </row>
    <row r="3326" spans="1:8" x14ac:dyDescent="0.3">
      <c r="A3326" s="2">
        <v>687</v>
      </c>
      <c r="B3326" t="s">
        <v>694</v>
      </c>
      <c r="C3326" t="s">
        <v>3220</v>
      </c>
      <c r="D3326" s="2">
        <v>1</v>
      </c>
      <c r="E3326" s="11" t="s">
        <v>204</v>
      </c>
      <c r="F3326" t="s">
        <v>55</v>
      </c>
      <c r="G3326" s="2" t="s">
        <v>4</v>
      </c>
      <c r="H3326" s="1">
        <v>42.294000000000004</v>
      </c>
    </row>
    <row r="3327" spans="1:8" x14ac:dyDescent="0.3">
      <c r="A3327" s="2">
        <v>687</v>
      </c>
      <c r="B3327" t="s">
        <v>278</v>
      </c>
      <c r="C3327" t="s">
        <v>3220</v>
      </c>
      <c r="D3327" s="2">
        <v>1</v>
      </c>
      <c r="E3327" s="11" t="s">
        <v>204</v>
      </c>
      <c r="F3327" t="s">
        <v>55</v>
      </c>
      <c r="G3327" s="2" t="s">
        <v>31</v>
      </c>
      <c r="H3327" s="1">
        <v>42.294000000000004</v>
      </c>
    </row>
    <row r="3328" spans="1:8" x14ac:dyDescent="0.3">
      <c r="A3328" s="2">
        <v>687</v>
      </c>
      <c r="B3328" t="s">
        <v>726</v>
      </c>
      <c r="C3328" t="s">
        <v>1</v>
      </c>
      <c r="D3328" s="2">
        <v>1</v>
      </c>
      <c r="E3328" s="11" t="s">
        <v>281</v>
      </c>
      <c r="F3328" t="s">
        <v>65</v>
      </c>
      <c r="G3328" s="2" t="s">
        <v>4</v>
      </c>
      <c r="H3328" s="1">
        <v>58.194000000000003</v>
      </c>
    </row>
    <row r="3329" spans="1:8" x14ac:dyDescent="0.3">
      <c r="A3329" s="2">
        <v>687</v>
      </c>
      <c r="B3329" t="s">
        <v>1203</v>
      </c>
      <c r="C3329" t="s">
        <v>1</v>
      </c>
      <c r="D3329" s="2">
        <v>1</v>
      </c>
      <c r="E3329" s="11" t="s">
        <v>281</v>
      </c>
      <c r="F3329" t="s">
        <v>65</v>
      </c>
      <c r="G3329" s="2" t="s">
        <v>203</v>
      </c>
      <c r="H3329" s="1">
        <v>58.194000000000003</v>
      </c>
    </row>
    <row r="3330" spans="1:8" x14ac:dyDescent="0.3">
      <c r="A3330" s="2">
        <v>687</v>
      </c>
      <c r="B3330" t="s">
        <v>729</v>
      </c>
      <c r="C3330" t="s">
        <v>1</v>
      </c>
      <c r="D3330" s="2">
        <v>1</v>
      </c>
      <c r="E3330" s="11" t="s">
        <v>281</v>
      </c>
      <c r="F3330" t="s">
        <v>65</v>
      </c>
      <c r="G3330" s="2" t="s">
        <v>31</v>
      </c>
      <c r="H3330" s="1">
        <v>58.194000000000003</v>
      </c>
    </row>
    <row r="3331" spans="1:8" x14ac:dyDescent="0.3">
      <c r="A3331" s="2">
        <v>687</v>
      </c>
      <c r="B3331" t="s">
        <v>726</v>
      </c>
      <c r="C3331" t="s">
        <v>1</v>
      </c>
      <c r="D3331" s="2">
        <v>1</v>
      </c>
      <c r="E3331" s="11" t="s">
        <v>281</v>
      </c>
      <c r="F3331" t="s">
        <v>65</v>
      </c>
      <c r="G3331" s="2" t="s">
        <v>4</v>
      </c>
      <c r="H3331" s="1">
        <v>58.194000000000003</v>
      </c>
    </row>
    <row r="3332" spans="1:8" x14ac:dyDescent="0.3">
      <c r="A3332" s="2">
        <v>687</v>
      </c>
      <c r="B3332" t="s">
        <v>729</v>
      </c>
      <c r="C3332" t="s">
        <v>1</v>
      </c>
      <c r="D3332" s="2">
        <v>1</v>
      </c>
      <c r="E3332" s="11" t="s">
        <v>281</v>
      </c>
      <c r="F3332" t="s">
        <v>65</v>
      </c>
      <c r="G3332" s="2" t="s">
        <v>31</v>
      </c>
      <c r="H3332" s="1">
        <v>58.194000000000003</v>
      </c>
    </row>
    <row r="3333" spans="1:8" x14ac:dyDescent="0.3">
      <c r="A3333" s="2">
        <v>687</v>
      </c>
      <c r="B3333" t="s">
        <v>728</v>
      </c>
      <c r="C3333" t="s">
        <v>3220</v>
      </c>
      <c r="D3333" s="2">
        <v>1</v>
      </c>
      <c r="E3333" s="11" t="s">
        <v>204</v>
      </c>
      <c r="F3333" t="s">
        <v>65</v>
      </c>
      <c r="G3333" s="2" t="s">
        <v>31</v>
      </c>
      <c r="H3333" s="1">
        <v>42.294000000000004</v>
      </c>
    </row>
    <row r="3334" spans="1:8" x14ac:dyDescent="0.3">
      <c r="A3334" s="2">
        <v>687</v>
      </c>
      <c r="B3334" t="s">
        <v>1659</v>
      </c>
      <c r="C3334" t="s">
        <v>1</v>
      </c>
      <c r="D3334" s="2">
        <v>1</v>
      </c>
      <c r="E3334" s="11" t="s">
        <v>281</v>
      </c>
      <c r="F3334" t="s">
        <v>62</v>
      </c>
      <c r="G3334" s="2" t="s">
        <v>4</v>
      </c>
      <c r="H3334" s="1">
        <v>58.194000000000003</v>
      </c>
    </row>
    <row r="3335" spans="1:8" x14ac:dyDescent="0.3">
      <c r="A3335" s="2">
        <v>687</v>
      </c>
      <c r="B3335" t="s">
        <v>1861</v>
      </c>
      <c r="C3335" t="s">
        <v>1</v>
      </c>
      <c r="D3335" s="2">
        <v>1</v>
      </c>
      <c r="E3335" s="11" t="s">
        <v>281</v>
      </c>
      <c r="F3335" t="s">
        <v>62</v>
      </c>
      <c r="G3335" s="2" t="s">
        <v>31</v>
      </c>
      <c r="H3335" s="1">
        <v>58.194000000000003</v>
      </c>
    </row>
    <row r="3336" spans="1:8" x14ac:dyDescent="0.3">
      <c r="A3336" s="2">
        <v>687</v>
      </c>
      <c r="B3336" t="s">
        <v>718</v>
      </c>
      <c r="C3336" t="s">
        <v>1</v>
      </c>
      <c r="D3336" s="2">
        <v>1</v>
      </c>
      <c r="E3336" s="11" t="s">
        <v>281</v>
      </c>
      <c r="F3336" t="s">
        <v>28</v>
      </c>
      <c r="G3336" s="2" t="s">
        <v>4</v>
      </c>
      <c r="H3336" s="1">
        <v>58.194000000000003</v>
      </c>
    </row>
    <row r="3337" spans="1:8" x14ac:dyDescent="0.3">
      <c r="A3337" s="2">
        <v>687</v>
      </c>
      <c r="B3337" t="s">
        <v>1183</v>
      </c>
      <c r="C3337" t="s">
        <v>1</v>
      </c>
      <c r="D3337" s="2">
        <v>1</v>
      </c>
      <c r="E3337" s="11" t="s">
        <v>281</v>
      </c>
      <c r="F3337" t="s">
        <v>28</v>
      </c>
      <c r="G3337" s="2" t="s">
        <v>203</v>
      </c>
      <c r="H3337" s="1">
        <v>58.194000000000003</v>
      </c>
    </row>
    <row r="3338" spans="1:8" x14ac:dyDescent="0.3">
      <c r="A3338" s="2">
        <v>687</v>
      </c>
      <c r="B3338" t="s">
        <v>1115</v>
      </c>
      <c r="C3338" t="s">
        <v>1</v>
      </c>
      <c r="D3338" s="2">
        <v>1</v>
      </c>
      <c r="E3338" s="11" t="s">
        <v>281</v>
      </c>
      <c r="F3338" t="s">
        <v>28</v>
      </c>
      <c r="G3338" s="2" t="s">
        <v>31</v>
      </c>
      <c r="H3338" s="1">
        <v>58.194000000000003</v>
      </c>
    </row>
    <row r="3339" spans="1:8" x14ac:dyDescent="0.3">
      <c r="A3339" s="2">
        <v>687</v>
      </c>
      <c r="B3339" t="s">
        <v>717</v>
      </c>
      <c r="C3339" t="s">
        <v>3220</v>
      </c>
      <c r="D3339" s="2">
        <v>1</v>
      </c>
      <c r="E3339" s="11" t="s">
        <v>204</v>
      </c>
      <c r="F3339" t="s">
        <v>28</v>
      </c>
      <c r="G3339" s="2" t="s">
        <v>31</v>
      </c>
      <c r="H3339" s="1">
        <v>42.294000000000004</v>
      </c>
    </row>
    <row r="3340" spans="1:8" x14ac:dyDescent="0.3">
      <c r="A3340" s="2">
        <v>687</v>
      </c>
      <c r="B3340" t="s">
        <v>289</v>
      </c>
      <c r="C3340" t="s">
        <v>3220</v>
      </c>
      <c r="D3340" s="2">
        <v>1</v>
      </c>
      <c r="E3340" s="11" t="s">
        <v>204</v>
      </c>
      <c r="F3340" t="s">
        <v>28</v>
      </c>
      <c r="G3340" s="2" t="s">
        <v>23</v>
      </c>
      <c r="H3340" s="1">
        <v>42.294000000000004</v>
      </c>
    </row>
    <row r="3341" spans="1:8" x14ac:dyDescent="0.3">
      <c r="A3341" s="2">
        <v>687</v>
      </c>
      <c r="B3341" t="s">
        <v>1017</v>
      </c>
      <c r="C3341" t="s">
        <v>3220</v>
      </c>
      <c r="D3341" s="2">
        <v>1</v>
      </c>
      <c r="E3341" s="11" t="s">
        <v>204</v>
      </c>
      <c r="F3341" t="s">
        <v>959</v>
      </c>
      <c r="G3341" s="2" t="s">
        <v>4</v>
      </c>
      <c r="H3341" s="1">
        <v>42.294000000000004</v>
      </c>
    </row>
    <row r="3342" spans="1:8" x14ac:dyDescent="0.3">
      <c r="A3342" s="2">
        <v>687</v>
      </c>
      <c r="B3342" t="s">
        <v>1499</v>
      </c>
      <c r="C3342" t="s">
        <v>3220</v>
      </c>
      <c r="D3342" s="2">
        <v>1</v>
      </c>
      <c r="E3342" s="11" t="s">
        <v>204</v>
      </c>
      <c r="F3342" t="s">
        <v>959</v>
      </c>
      <c r="G3342" s="2" t="s">
        <v>31</v>
      </c>
      <c r="H3342" s="1">
        <v>42.294000000000004</v>
      </c>
    </row>
    <row r="3343" spans="1:8" x14ac:dyDescent="0.3">
      <c r="A3343" s="2">
        <v>687</v>
      </c>
      <c r="B3343" t="s">
        <v>1311</v>
      </c>
      <c r="C3343" t="s">
        <v>1</v>
      </c>
      <c r="D3343" s="2">
        <v>1</v>
      </c>
      <c r="E3343" s="11" t="s">
        <v>281</v>
      </c>
      <c r="F3343" t="s">
        <v>114</v>
      </c>
      <c r="G3343" s="2" t="s">
        <v>4</v>
      </c>
      <c r="H3343" s="1">
        <v>58.194000000000003</v>
      </c>
    </row>
    <row r="3344" spans="1:8" x14ac:dyDescent="0.3">
      <c r="A3344" s="2">
        <v>687</v>
      </c>
      <c r="B3344" t="s">
        <v>1860</v>
      </c>
      <c r="C3344" t="s">
        <v>1</v>
      </c>
      <c r="D3344" s="2">
        <v>1</v>
      </c>
      <c r="E3344" s="11" t="s">
        <v>281</v>
      </c>
      <c r="F3344" t="s">
        <v>114</v>
      </c>
      <c r="G3344" s="2" t="s">
        <v>203</v>
      </c>
      <c r="H3344" s="1">
        <v>58.194000000000003</v>
      </c>
    </row>
    <row r="3345" spans="1:8" x14ac:dyDescent="0.3">
      <c r="A3345" s="2">
        <v>687</v>
      </c>
      <c r="B3345" t="s">
        <v>1310</v>
      </c>
      <c r="C3345" t="s">
        <v>1</v>
      </c>
      <c r="D3345" s="2">
        <v>1</v>
      </c>
      <c r="E3345" s="11" t="s">
        <v>281</v>
      </c>
      <c r="F3345" t="s">
        <v>114</v>
      </c>
      <c r="G3345" s="2" t="s">
        <v>31</v>
      </c>
      <c r="H3345" s="1">
        <v>58.194000000000003</v>
      </c>
    </row>
    <row r="3346" spans="1:8" x14ac:dyDescent="0.3">
      <c r="A3346" s="2">
        <v>687</v>
      </c>
      <c r="B3346" t="s">
        <v>715</v>
      </c>
      <c r="C3346" t="s">
        <v>1</v>
      </c>
      <c r="D3346" s="2">
        <v>1</v>
      </c>
      <c r="E3346" s="11" t="s">
        <v>281</v>
      </c>
      <c r="F3346" t="s">
        <v>114</v>
      </c>
      <c r="G3346" s="2" t="s">
        <v>23</v>
      </c>
      <c r="H3346" s="1">
        <v>58.194000000000003</v>
      </c>
    </row>
    <row r="3347" spans="1:8" x14ac:dyDescent="0.3">
      <c r="A3347" s="2">
        <v>687</v>
      </c>
      <c r="B3347" t="s">
        <v>1017</v>
      </c>
      <c r="C3347" t="s">
        <v>3220</v>
      </c>
      <c r="D3347" s="2">
        <v>1</v>
      </c>
      <c r="E3347" s="11" t="s">
        <v>204</v>
      </c>
      <c r="F3347" t="s">
        <v>959</v>
      </c>
      <c r="G3347" s="2" t="s">
        <v>4</v>
      </c>
      <c r="H3347" s="1">
        <v>42.294000000000004</v>
      </c>
    </row>
    <row r="3348" spans="1:8" x14ac:dyDescent="0.3">
      <c r="A3348" s="2">
        <v>687</v>
      </c>
      <c r="B3348" t="s">
        <v>1499</v>
      </c>
      <c r="C3348" t="s">
        <v>3220</v>
      </c>
      <c r="D3348" s="2">
        <v>1</v>
      </c>
      <c r="E3348" s="11" t="s">
        <v>204</v>
      </c>
      <c r="F3348" t="s">
        <v>959</v>
      </c>
      <c r="G3348" s="2" t="s">
        <v>31</v>
      </c>
      <c r="H3348" s="1">
        <v>42.294000000000004</v>
      </c>
    </row>
    <row r="3349" spans="1:8" x14ac:dyDescent="0.3">
      <c r="A3349" s="2">
        <v>687</v>
      </c>
      <c r="B3349" t="s">
        <v>1776</v>
      </c>
      <c r="C3349" t="s">
        <v>1</v>
      </c>
      <c r="D3349" s="2">
        <v>1</v>
      </c>
      <c r="E3349" s="11" t="s">
        <v>281</v>
      </c>
      <c r="F3349" t="s">
        <v>78</v>
      </c>
      <c r="G3349" s="2" t="s">
        <v>4</v>
      </c>
      <c r="H3349" s="1">
        <v>58.194000000000003</v>
      </c>
    </row>
    <row r="3350" spans="1:8" x14ac:dyDescent="0.3">
      <c r="A3350" s="2">
        <v>687</v>
      </c>
      <c r="B3350" t="s">
        <v>1239</v>
      </c>
      <c r="C3350" t="s">
        <v>1</v>
      </c>
      <c r="D3350" s="2">
        <v>1</v>
      </c>
      <c r="E3350" s="11" t="s">
        <v>281</v>
      </c>
      <c r="F3350" t="s">
        <v>78</v>
      </c>
      <c r="G3350" s="2" t="s">
        <v>31</v>
      </c>
      <c r="H3350" s="1">
        <v>58.194000000000003</v>
      </c>
    </row>
    <row r="3351" spans="1:8" x14ac:dyDescent="0.3">
      <c r="A3351" s="2">
        <v>687</v>
      </c>
      <c r="B3351" t="s">
        <v>1309</v>
      </c>
      <c r="C3351" t="s">
        <v>1</v>
      </c>
      <c r="D3351" s="2">
        <v>1</v>
      </c>
      <c r="E3351" s="11" t="s">
        <v>281</v>
      </c>
      <c r="F3351" t="s">
        <v>276</v>
      </c>
      <c r="G3351" s="2" t="s">
        <v>4</v>
      </c>
      <c r="H3351" s="1">
        <v>58.194000000000003</v>
      </c>
    </row>
    <row r="3352" spans="1:8" x14ac:dyDescent="0.3">
      <c r="A3352" s="2">
        <v>687</v>
      </c>
      <c r="B3352" t="s">
        <v>1859</v>
      </c>
      <c r="C3352" t="s">
        <v>1</v>
      </c>
      <c r="D3352" s="2">
        <v>1</v>
      </c>
      <c r="E3352" s="11" t="s">
        <v>281</v>
      </c>
      <c r="F3352" t="s">
        <v>276</v>
      </c>
      <c r="G3352" s="2" t="s">
        <v>31</v>
      </c>
      <c r="H3352" s="1">
        <v>58.194000000000003</v>
      </c>
    </row>
    <row r="3353" spans="1:8" x14ac:dyDescent="0.3">
      <c r="A3353" s="2">
        <v>687</v>
      </c>
      <c r="B3353" t="s">
        <v>1237</v>
      </c>
      <c r="C3353" t="s">
        <v>1</v>
      </c>
      <c r="D3353" s="2">
        <v>1</v>
      </c>
      <c r="E3353" s="11" t="s">
        <v>281</v>
      </c>
      <c r="F3353" t="s">
        <v>47</v>
      </c>
      <c r="G3353" s="2" t="s">
        <v>31</v>
      </c>
      <c r="H3353" s="1">
        <v>58.194000000000003</v>
      </c>
    </row>
    <row r="3354" spans="1:8" x14ac:dyDescent="0.3">
      <c r="A3354" s="2">
        <v>687</v>
      </c>
      <c r="B3354" t="s">
        <v>711</v>
      </c>
      <c r="C3354" t="s">
        <v>1</v>
      </c>
      <c r="D3354" s="2">
        <v>1</v>
      </c>
      <c r="E3354" s="11" t="s">
        <v>281</v>
      </c>
      <c r="F3354" t="s">
        <v>47</v>
      </c>
      <c r="G3354" s="2" t="s">
        <v>23</v>
      </c>
      <c r="H3354" s="1">
        <v>58.194000000000003</v>
      </c>
    </row>
    <row r="3355" spans="1:8" x14ac:dyDescent="0.3">
      <c r="A3355" s="2">
        <v>687</v>
      </c>
      <c r="B3355" t="s">
        <v>1457</v>
      </c>
      <c r="C3355" t="s">
        <v>1</v>
      </c>
      <c r="D3355" s="2">
        <v>1</v>
      </c>
      <c r="E3355" s="11" t="s">
        <v>281</v>
      </c>
      <c r="F3355" t="s">
        <v>39</v>
      </c>
      <c r="G3355" s="2" t="s">
        <v>4</v>
      </c>
      <c r="H3355" s="1">
        <v>58.194000000000003</v>
      </c>
    </row>
    <row r="3356" spans="1:8" x14ac:dyDescent="0.3">
      <c r="A3356" s="2">
        <v>687</v>
      </c>
      <c r="B3356" t="s">
        <v>284</v>
      </c>
      <c r="C3356" t="s">
        <v>1</v>
      </c>
      <c r="D3356" s="2">
        <v>1</v>
      </c>
      <c r="E3356" s="11" t="s">
        <v>281</v>
      </c>
      <c r="F3356" t="s">
        <v>39</v>
      </c>
      <c r="G3356" s="2" t="s">
        <v>203</v>
      </c>
      <c r="H3356" s="1">
        <v>58.194000000000003</v>
      </c>
    </row>
    <row r="3357" spans="1:8" x14ac:dyDescent="0.3">
      <c r="A3357" s="2">
        <v>687</v>
      </c>
      <c r="B3357" t="s">
        <v>1308</v>
      </c>
      <c r="C3357" t="s">
        <v>1</v>
      </c>
      <c r="D3357" s="2">
        <v>1</v>
      </c>
      <c r="E3357" s="11" t="s">
        <v>281</v>
      </c>
      <c r="F3357" t="s">
        <v>39</v>
      </c>
      <c r="G3357" s="2" t="s">
        <v>31</v>
      </c>
      <c r="H3357" s="1">
        <v>58.194000000000003</v>
      </c>
    </row>
    <row r="3358" spans="1:8" x14ac:dyDescent="0.3">
      <c r="A3358" s="2">
        <v>687</v>
      </c>
      <c r="B3358" t="s">
        <v>1264</v>
      </c>
      <c r="C3358" t="s">
        <v>3220</v>
      </c>
      <c r="D3358" s="2">
        <v>1</v>
      </c>
      <c r="E3358" s="11" t="s">
        <v>204</v>
      </c>
      <c r="F3358" t="s">
        <v>39</v>
      </c>
      <c r="G3358" s="2" t="s">
        <v>4</v>
      </c>
      <c r="H3358" s="1">
        <v>42.294000000000004</v>
      </c>
    </row>
    <row r="3359" spans="1:8" x14ac:dyDescent="0.3">
      <c r="A3359" s="2">
        <v>687</v>
      </c>
      <c r="B3359" t="s">
        <v>1012</v>
      </c>
      <c r="C3359" t="s">
        <v>3220</v>
      </c>
      <c r="D3359" s="2">
        <v>1</v>
      </c>
      <c r="E3359" s="11" t="s">
        <v>204</v>
      </c>
      <c r="F3359" t="s">
        <v>39</v>
      </c>
      <c r="G3359" s="2" t="s">
        <v>203</v>
      </c>
      <c r="H3359" s="1">
        <v>42.294000000000004</v>
      </c>
    </row>
    <row r="3360" spans="1:8" x14ac:dyDescent="0.3">
      <c r="A3360" s="2">
        <v>687</v>
      </c>
      <c r="B3360" t="s">
        <v>1121</v>
      </c>
      <c r="C3360" t="s">
        <v>3220</v>
      </c>
      <c r="D3360" s="2">
        <v>1</v>
      </c>
      <c r="E3360" s="11" t="s">
        <v>204</v>
      </c>
      <c r="F3360" t="s">
        <v>39</v>
      </c>
      <c r="G3360" s="2" t="s">
        <v>31</v>
      </c>
      <c r="H3360" s="1">
        <v>42.294000000000004</v>
      </c>
    </row>
    <row r="3361" spans="1:8" x14ac:dyDescent="0.3">
      <c r="A3361" s="2">
        <v>687</v>
      </c>
      <c r="B3361" t="s">
        <v>688</v>
      </c>
      <c r="C3361" t="s">
        <v>3220</v>
      </c>
      <c r="D3361" s="2">
        <v>1</v>
      </c>
      <c r="E3361" s="11" t="s">
        <v>204</v>
      </c>
      <c r="F3361" t="s">
        <v>28</v>
      </c>
      <c r="G3361" s="2" t="s">
        <v>4</v>
      </c>
      <c r="H3361" s="1">
        <v>42.294000000000004</v>
      </c>
    </row>
    <row r="3362" spans="1:8" x14ac:dyDescent="0.3">
      <c r="A3362" s="2">
        <v>687</v>
      </c>
      <c r="B3362" t="s">
        <v>1003</v>
      </c>
      <c r="C3362" t="s">
        <v>3220</v>
      </c>
      <c r="D3362" s="2">
        <v>1</v>
      </c>
      <c r="E3362" s="11" t="s">
        <v>204</v>
      </c>
      <c r="F3362" t="s">
        <v>28</v>
      </c>
      <c r="G3362" s="2" t="s">
        <v>203</v>
      </c>
      <c r="H3362" s="1">
        <v>42.294000000000004</v>
      </c>
    </row>
    <row r="3363" spans="1:8" x14ac:dyDescent="0.3">
      <c r="A3363" s="2">
        <v>687</v>
      </c>
      <c r="B3363" t="s">
        <v>717</v>
      </c>
      <c r="C3363" t="s">
        <v>3220</v>
      </c>
      <c r="D3363" s="2">
        <v>1</v>
      </c>
      <c r="E3363" s="11" t="s">
        <v>204</v>
      </c>
      <c r="F3363" t="s">
        <v>28</v>
      </c>
      <c r="G3363" s="2" t="s">
        <v>31</v>
      </c>
      <c r="H3363" s="1">
        <v>42.294000000000004</v>
      </c>
    </row>
    <row r="3364" spans="1:8" x14ac:dyDescent="0.3">
      <c r="A3364" s="2">
        <v>688</v>
      </c>
      <c r="B3364" t="s">
        <v>1692</v>
      </c>
      <c r="C3364" t="s">
        <v>0</v>
      </c>
      <c r="D3364" s="2">
        <v>1</v>
      </c>
      <c r="E3364" s="11" t="s">
        <v>1584</v>
      </c>
      <c r="F3364" t="s">
        <v>126</v>
      </c>
      <c r="G3364" s="2" t="s">
        <v>4</v>
      </c>
      <c r="H3364" s="1">
        <v>169.49400000000003</v>
      </c>
    </row>
    <row r="3365" spans="1:8" x14ac:dyDescent="0.3">
      <c r="A3365" s="2">
        <v>688</v>
      </c>
      <c r="B3365" t="s">
        <v>1590</v>
      </c>
      <c r="C3365" t="s">
        <v>0</v>
      </c>
      <c r="D3365" s="2">
        <v>1</v>
      </c>
      <c r="E3365" s="11" t="s">
        <v>1584</v>
      </c>
      <c r="F3365" t="s">
        <v>126</v>
      </c>
      <c r="G3365" s="2" t="s">
        <v>31</v>
      </c>
      <c r="H3365" s="1">
        <v>169.49400000000003</v>
      </c>
    </row>
    <row r="3366" spans="1:8" x14ac:dyDescent="0.3">
      <c r="A3366" s="2">
        <v>688</v>
      </c>
      <c r="B3366" t="s">
        <v>1691</v>
      </c>
      <c r="C3366" t="s">
        <v>0</v>
      </c>
      <c r="D3366" s="2">
        <v>1</v>
      </c>
      <c r="E3366" s="11" t="s">
        <v>1584</v>
      </c>
      <c r="F3366" t="s">
        <v>126</v>
      </c>
      <c r="G3366" s="2" t="s">
        <v>23</v>
      </c>
      <c r="H3366" s="1">
        <v>169.49400000000003</v>
      </c>
    </row>
    <row r="3367" spans="1:8" x14ac:dyDescent="0.3">
      <c r="A3367" s="2">
        <v>688</v>
      </c>
      <c r="B3367" t="s">
        <v>1858</v>
      </c>
      <c r="C3367" t="s">
        <v>3225</v>
      </c>
      <c r="D3367" s="2">
        <v>1</v>
      </c>
      <c r="E3367" s="11" t="s">
        <v>239</v>
      </c>
      <c r="F3367" t="s">
        <v>47</v>
      </c>
      <c r="G3367" s="2" t="s">
        <v>31</v>
      </c>
      <c r="H3367" s="1">
        <v>148.29400000000001</v>
      </c>
    </row>
    <row r="3368" spans="1:8" x14ac:dyDescent="0.3">
      <c r="A3368" s="2">
        <v>688</v>
      </c>
      <c r="B3368" t="s">
        <v>1565</v>
      </c>
      <c r="C3368" t="s">
        <v>3225</v>
      </c>
      <c r="D3368" s="2">
        <v>1</v>
      </c>
      <c r="E3368" s="11" t="s">
        <v>239</v>
      </c>
      <c r="F3368" t="s">
        <v>47</v>
      </c>
      <c r="G3368" s="2" t="s">
        <v>23</v>
      </c>
      <c r="H3368" s="1">
        <v>148.29400000000001</v>
      </c>
    </row>
    <row r="3369" spans="1:8" x14ac:dyDescent="0.3">
      <c r="A3369" s="2">
        <v>688</v>
      </c>
      <c r="B3369" t="s">
        <v>1857</v>
      </c>
      <c r="C3369" t="s">
        <v>0</v>
      </c>
      <c r="D3369" s="2">
        <v>1</v>
      </c>
      <c r="E3369" s="11" t="s">
        <v>1856</v>
      </c>
      <c r="F3369" t="s">
        <v>47</v>
      </c>
      <c r="G3369" s="2" t="s">
        <v>31</v>
      </c>
      <c r="H3369" s="1">
        <v>158.89400000000001</v>
      </c>
    </row>
    <row r="3370" spans="1:8" x14ac:dyDescent="0.3">
      <c r="A3370" s="2">
        <v>688</v>
      </c>
      <c r="B3370" t="s">
        <v>1855</v>
      </c>
      <c r="C3370" t="s">
        <v>3219</v>
      </c>
      <c r="D3370" s="2">
        <v>1</v>
      </c>
      <c r="E3370" s="11" t="s">
        <v>1845</v>
      </c>
      <c r="F3370" t="s">
        <v>47</v>
      </c>
      <c r="G3370" s="2" t="s">
        <v>31</v>
      </c>
      <c r="H3370" s="1">
        <v>180.09400000000002</v>
      </c>
    </row>
    <row r="3371" spans="1:8" x14ac:dyDescent="0.3">
      <c r="A3371" s="2">
        <v>688</v>
      </c>
      <c r="B3371" t="s">
        <v>1846</v>
      </c>
      <c r="C3371" t="s">
        <v>3219</v>
      </c>
      <c r="D3371" s="2">
        <v>1</v>
      </c>
      <c r="E3371" s="11" t="s">
        <v>1845</v>
      </c>
      <c r="F3371" t="s">
        <v>47</v>
      </c>
      <c r="G3371" s="2" t="s">
        <v>23</v>
      </c>
      <c r="H3371" s="1">
        <v>180.09400000000002</v>
      </c>
    </row>
    <row r="3372" spans="1:8" x14ac:dyDescent="0.3">
      <c r="A3372" s="2">
        <v>688</v>
      </c>
      <c r="B3372" t="s">
        <v>1854</v>
      </c>
      <c r="C3372" t="s">
        <v>3233</v>
      </c>
      <c r="D3372" s="2">
        <v>1</v>
      </c>
      <c r="E3372" s="11" t="s">
        <v>1096</v>
      </c>
      <c r="F3372" t="s">
        <v>47</v>
      </c>
      <c r="G3372" s="2" t="s">
        <v>31</v>
      </c>
      <c r="H3372" s="1">
        <v>132.39400000000001</v>
      </c>
    </row>
    <row r="3373" spans="1:8" x14ac:dyDescent="0.3">
      <c r="A3373" s="2">
        <v>688</v>
      </c>
      <c r="B3373" t="s">
        <v>1097</v>
      </c>
      <c r="C3373" t="s">
        <v>3233</v>
      </c>
      <c r="D3373" s="2">
        <v>1</v>
      </c>
      <c r="E3373" s="11" t="s">
        <v>1096</v>
      </c>
      <c r="F3373" t="s">
        <v>47</v>
      </c>
      <c r="G3373" s="2" t="s">
        <v>23</v>
      </c>
      <c r="H3373" s="1">
        <v>132.39400000000001</v>
      </c>
    </row>
    <row r="3374" spans="1:8" x14ac:dyDescent="0.3">
      <c r="A3374" s="2">
        <v>688</v>
      </c>
      <c r="B3374" t="s">
        <v>1552</v>
      </c>
      <c r="C3374" t="s">
        <v>0</v>
      </c>
      <c r="D3374" s="2">
        <v>1</v>
      </c>
      <c r="E3374" s="11" t="s">
        <v>1551</v>
      </c>
      <c r="F3374" t="s">
        <v>39</v>
      </c>
      <c r="G3374" s="2" t="s">
        <v>4</v>
      </c>
      <c r="H3374" s="1">
        <v>121.79400000000001</v>
      </c>
    </row>
    <row r="3375" spans="1:8" x14ac:dyDescent="0.3">
      <c r="A3375" s="2">
        <v>688</v>
      </c>
      <c r="B3375" t="s">
        <v>1689</v>
      </c>
      <c r="C3375" t="s">
        <v>0</v>
      </c>
      <c r="D3375" s="2">
        <v>1</v>
      </c>
      <c r="E3375" s="11" t="s">
        <v>1551</v>
      </c>
      <c r="F3375" t="s">
        <v>39</v>
      </c>
      <c r="G3375" s="2" t="s">
        <v>31</v>
      </c>
      <c r="H3375" s="1">
        <v>121.79400000000001</v>
      </c>
    </row>
    <row r="3376" spans="1:8" x14ac:dyDescent="0.3">
      <c r="A3376" s="2">
        <v>688</v>
      </c>
      <c r="B3376" t="s">
        <v>1661</v>
      </c>
      <c r="C3376" t="s">
        <v>0</v>
      </c>
      <c r="D3376" s="2">
        <v>1</v>
      </c>
      <c r="E3376" s="11" t="s">
        <v>1551</v>
      </c>
      <c r="F3376" t="s">
        <v>39</v>
      </c>
      <c r="G3376" s="2" t="s">
        <v>23</v>
      </c>
      <c r="H3376" s="1">
        <v>121.79400000000001</v>
      </c>
    </row>
    <row r="3377" spans="1:8" x14ac:dyDescent="0.3">
      <c r="A3377" s="2">
        <v>689</v>
      </c>
      <c r="B3377" t="s">
        <v>1276</v>
      </c>
      <c r="C3377" t="s">
        <v>3</v>
      </c>
      <c r="D3377" s="2">
        <v>1</v>
      </c>
      <c r="E3377" s="11" t="s">
        <v>434</v>
      </c>
      <c r="F3377" t="s">
        <v>55</v>
      </c>
      <c r="G3377" s="2" t="s">
        <v>4</v>
      </c>
      <c r="H3377" s="1">
        <v>105.89400000000001</v>
      </c>
    </row>
    <row r="3378" spans="1:8" x14ac:dyDescent="0.3">
      <c r="A3378" s="2">
        <v>689</v>
      </c>
      <c r="B3378" t="s">
        <v>766</v>
      </c>
      <c r="C3378" t="s">
        <v>3</v>
      </c>
      <c r="D3378" s="2">
        <v>1</v>
      </c>
      <c r="E3378" s="11" t="s">
        <v>434</v>
      </c>
      <c r="F3378" t="s">
        <v>55</v>
      </c>
      <c r="G3378" s="2" t="s">
        <v>31</v>
      </c>
      <c r="H3378" s="1">
        <v>105.89400000000001</v>
      </c>
    </row>
    <row r="3379" spans="1:8" x14ac:dyDescent="0.3">
      <c r="A3379" s="2">
        <v>689</v>
      </c>
      <c r="B3379" t="s">
        <v>1200</v>
      </c>
      <c r="C3379" t="s">
        <v>3</v>
      </c>
      <c r="D3379" s="2">
        <v>1</v>
      </c>
      <c r="E3379" s="11" t="s">
        <v>434</v>
      </c>
      <c r="F3379" t="s">
        <v>55</v>
      </c>
      <c r="G3379" s="2" t="s">
        <v>23</v>
      </c>
      <c r="H3379" s="1">
        <v>105.89400000000001</v>
      </c>
    </row>
    <row r="3380" spans="1:8" x14ac:dyDescent="0.3">
      <c r="A3380" s="2">
        <v>689</v>
      </c>
      <c r="B3380" t="s">
        <v>1017</v>
      </c>
      <c r="C3380" t="s">
        <v>3220</v>
      </c>
      <c r="D3380" s="2">
        <v>1</v>
      </c>
      <c r="E3380" s="11" t="s">
        <v>204</v>
      </c>
      <c r="F3380" t="s">
        <v>959</v>
      </c>
      <c r="G3380" s="2" t="s">
        <v>4</v>
      </c>
      <c r="H3380" s="1">
        <v>42.294000000000004</v>
      </c>
    </row>
    <row r="3381" spans="1:8" x14ac:dyDescent="0.3">
      <c r="A3381" s="2">
        <v>689</v>
      </c>
      <c r="B3381" t="s">
        <v>1499</v>
      </c>
      <c r="C3381" t="s">
        <v>3220</v>
      </c>
      <c r="D3381" s="2">
        <v>1</v>
      </c>
      <c r="E3381" s="11" t="s">
        <v>204</v>
      </c>
      <c r="F3381" t="s">
        <v>959</v>
      </c>
      <c r="G3381" s="2" t="s">
        <v>31</v>
      </c>
      <c r="H3381" s="1">
        <v>42.294000000000004</v>
      </c>
    </row>
    <row r="3382" spans="1:8" x14ac:dyDescent="0.3">
      <c r="A3382" s="2">
        <v>689</v>
      </c>
      <c r="B3382" t="s">
        <v>1021</v>
      </c>
      <c r="C3382" t="s">
        <v>3220</v>
      </c>
      <c r="D3382" s="2">
        <v>1</v>
      </c>
      <c r="E3382" s="11" t="s">
        <v>204</v>
      </c>
      <c r="F3382" t="s">
        <v>959</v>
      </c>
      <c r="G3382" s="2" t="s">
        <v>23</v>
      </c>
      <c r="H3382" s="1">
        <v>42.294000000000004</v>
      </c>
    </row>
    <row r="3383" spans="1:8" x14ac:dyDescent="0.3">
      <c r="A3383" s="2">
        <v>689</v>
      </c>
      <c r="B3383" t="s">
        <v>1689</v>
      </c>
      <c r="C3383" t="s">
        <v>0</v>
      </c>
      <c r="D3383" s="2">
        <v>1</v>
      </c>
      <c r="E3383" s="11" t="s">
        <v>1551</v>
      </c>
      <c r="F3383" t="s">
        <v>39</v>
      </c>
      <c r="G3383" s="2" t="s">
        <v>31</v>
      </c>
      <c r="H3383" s="1">
        <v>121.79400000000001</v>
      </c>
    </row>
    <row r="3384" spans="1:8" x14ac:dyDescent="0.3">
      <c r="A3384" s="2">
        <v>689</v>
      </c>
      <c r="B3384" t="s">
        <v>1661</v>
      </c>
      <c r="C3384" t="s">
        <v>0</v>
      </c>
      <c r="D3384" s="2">
        <v>1</v>
      </c>
      <c r="E3384" s="11" t="s">
        <v>1551</v>
      </c>
      <c r="F3384" t="s">
        <v>39</v>
      </c>
      <c r="G3384" s="2" t="s">
        <v>23</v>
      </c>
      <c r="H3384" s="1">
        <v>121.79400000000001</v>
      </c>
    </row>
    <row r="3385" spans="1:8" x14ac:dyDescent="0.3">
      <c r="A3385" s="2">
        <v>689</v>
      </c>
      <c r="B3385" t="s">
        <v>1853</v>
      </c>
      <c r="C3385" t="s">
        <v>3</v>
      </c>
      <c r="D3385" s="2">
        <v>1</v>
      </c>
      <c r="E3385" s="11" t="s">
        <v>434</v>
      </c>
      <c r="F3385" t="s">
        <v>39</v>
      </c>
      <c r="G3385" s="2" t="s">
        <v>4</v>
      </c>
      <c r="H3385" s="1">
        <v>105.89400000000001</v>
      </c>
    </row>
    <row r="3386" spans="1:8" x14ac:dyDescent="0.3">
      <c r="A3386" s="2">
        <v>689</v>
      </c>
      <c r="B3386" t="s">
        <v>995</v>
      </c>
      <c r="C3386" t="s">
        <v>3</v>
      </c>
      <c r="D3386" s="2">
        <v>1</v>
      </c>
      <c r="E3386" s="11" t="s">
        <v>434</v>
      </c>
      <c r="F3386" t="s">
        <v>39</v>
      </c>
      <c r="G3386" s="2" t="s">
        <v>31</v>
      </c>
      <c r="H3386" s="1">
        <v>105.89400000000001</v>
      </c>
    </row>
    <row r="3387" spans="1:8" x14ac:dyDescent="0.3">
      <c r="A3387" s="2">
        <v>689</v>
      </c>
      <c r="B3387" t="s">
        <v>1189</v>
      </c>
      <c r="C3387" t="s">
        <v>3</v>
      </c>
      <c r="D3387" s="2">
        <v>1</v>
      </c>
      <c r="E3387" s="11" t="s">
        <v>434</v>
      </c>
      <c r="F3387" t="s">
        <v>39</v>
      </c>
      <c r="G3387" s="2" t="s">
        <v>23</v>
      </c>
      <c r="H3387" s="1">
        <v>105.89400000000001</v>
      </c>
    </row>
    <row r="3388" spans="1:8" x14ac:dyDescent="0.3">
      <c r="A3388" s="2">
        <v>689</v>
      </c>
      <c r="B3388" t="s">
        <v>823</v>
      </c>
      <c r="C3388" t="s">
        <v>2</v>
      </c>
      <c r="D3388" s="2">
        <v>1</v>
      </c>
      <c r="E3388" s="11" t="s">
        <v>733</v>
      </c>
      <c r="F3388" t="s">
        <v>39</v>
      </c>
      <c r="G3388" s="2" t="s">
        <v>31</v>
      </c>
      <c r="H3388" s="1">
        <v>132.39400000000001</v>
      </c>
    </row>
    <row r="3389" spans="1:8" x14ac:dyDescent="0.3">
      <c r="A3389" s="2">
        <v>689</v>
      </c>
      <c r="B3389" t="s">
        <v>1852</v>
      </c>
      <c r="C3389" t="s">
        <v>2</v>
      </c>
      <c r="D3389" s="2">
        <v>1</v>
      </c>
      <c r="E3389" s="11" t="s">
        <v>733</v>
      </c>
      <c r="F3389" t="s">
        <v>39</v>
      </c>
      <c r="G3389" s="2" t="s">
        <v>23</v>
      </c>
      <c r="H3389" s="1">
        <v>132.39400000000001</v>
      </c>
    </row>
    <row r="3390" spans="1:8" x14ac:dyDescent="0.3">
      <c r="A3390" s="2">
        <v>689</v>
      </c>
      <c r="B3390" t="s">
        <v>1600</v>
      </c>
      <c r="C3390" t="s">
        <v>3220</v>
      </c>
      <c r="D3390" s="2">
        <v>1</v>
      </c>
      <c r="E3390" s="11" t="s">
        <v>1138</v>
      </c>
      <c r="F3390" t="s">
        <v>28</v>
      </c>
      <c r="G3390" s="2" t="s">
        <v>4</v>
      </c>
      <c r="H3390" s="1">
        <v>68.794000000000011</v>
      </c>
    </row>
    <row r="3391" spans="1:8" x14ac:dyDescent="0.3">
      <c r="A3391" s="2">
        <v>689</v>
      </c>
      <c r="B3391" t="s">
        <v>1851</v>
      </c>
      <c r="C3391" t="s">
        <v>3220</v>
      </c>
      <c r="D3391" s="2">
        <v>1</v>
      </c>
      <c r="E3391" s="11" t="s">
        <v>1138</v>
      </c>
      <c r="F3391" t="s">
        <v>28</v>
      </c>
      <c r="G3391" s="2" t="s">
        <v>31</v>
      </c>
      <c r="H3391" s="1">
        <v>68.794000000000011</v>
      </c>
    </row>
    <row r="3392" spans="1:8" x14ac:dyDescent="0.3">
      <c r="A3392" s="2">
        <v>689</v>
      </c>
      <c r="B3392" t="s">
        <v>1850</v>
      </c>
      <c r="C3392" t="s">
        <v>3220</v>
      </c>
      <c r="D3392" s="2">
        <v>1</v>
      </c>
      <c r="E3392" s="11" t="s">
        <v>1138</v>
      </c>
      <c r="F3392" t="s">
        <v>28</v>
      </c>
      <c r="G3392" s="2" t="s">
        <v>23</v>
      </c>
      <c r="H3392" s="1">
        <v>68.794000000000011</v>
      </c>
    </row>
    <row r="3393" spans="1:8" x14ac:dyDescent="0.3">
      <c r="A3393" s="2">
        <v>690</v>
      </c>
      <c r="B3393" t="s">
        <v>1470</v>
      </c>
      <c r="C3393" t="s">
        <v>1</v>
      </c>
      <c r="D3393" s="2">
        <v>1</v>
      </c>
      <c r="E3393" s="11" t="s">
        <v>58</v>
      </c>
      <c r="F3393" t="s">
        <v>65</v>
      </c>
      <c r="G3393" s="2" t="s">
        <v>4</v>
      </c>
      <c r="H3393" s="1">
        <v>52.893999999999998</v>
      </c>
    </row>
    <row r="3394" spans="1:8" x14ac:dyDescent="0.3">
      <c r="A3394" s="2">
        <v>690</v>
      </c>
      <c r="B3394" t="s">
        <v>1165</v>
      </c>
      <c r="C3394" t="s">
        <v>1</v>
      </c>
      <c r="D3394" s="2">
        <v>1</v>
      </c>
      <c r="E3394" s="11" t="s">
        <v>58</v>
      </c>
      <c r="F3394" t="s">
        <v>65</v>
      </c>
      <c r="G3394" s="2" t="s">
        <v>31</v>
      </c>
      <c r="H3394" s="1">
        <v>52.893999999999998</v>
      </c>
    </row>
    <row r="3395" spans="1:8" x14ac:dyDescent="0.3">
      <c r="A3395" s="2">
        <v>690</v>
      </c>
      <c r="B3395" t="s">
        <v>1423</v>
      </c>
      <c r="C3395" t="s">
        <v>1</v>
      </c>
      <c r="D3395" s="2">
        <v>1</v>
      </c>
      <c r="E3395" s="11" t="s">
        <v>58</v>
      </c>
      <c r="F3395" t="s">
        <v>65</v>
      </c>
      <c r="G3395" s="2" t="s">
        <v>23</v>
      </c>
      <c r="H3395" s="1">
        <v>52.893999999999998</v>
      </c>
    </row>
    <row r="3396" spans="1:8" x14ac:dyDescent="0.3">
      <c r="A3396" s="2">
        <v>690</v>
      </c>
      <c r="B3396" t="s">
        <v>1849</v>
      </c>
      <c r="C3396" t="s">
        <v>0</v>
      </c>
      <c r="D3396" s="2">
        <v>1</v>
      </c>
      <c r="E3396" s="11" t="s">
        <v>1106</v>
      </c>
      <c r="F3396" t="s">
        <v>114</v>
      </c>
      <c r="G3396" s="2" t="s">
        <v>4</v>
      </c>
      <c r="H3396" s="1">
        <v>185.39400000000001</v>
      </c>
    </row>
    <row r="3397" spans="1:8" x14ac:dyDescent="0.3">
      <c r="A3397" s="2">
        <v>690</v>
      </c>
      <c r="B3397" t="s">
        <v>1715</v>
      </c>
      <c r="C3397" t="s">
        <v>0</v>
      </c>
      <c r="D3397" s="2">
        <v>1</v>
      </c>
      <c r="E3397" s="11" t="s">
        <v>1106</v>
      </c>
      <c r="F3397" t="s">
        <v>114</v>
      </c>
      <c r="G3397" s="2" t="s">
        <v>31</v>
      </c>
      <c r="H3397" s="1">
        <v>185.39400000000001</v>
      </c>
    </row>
    <row r="3398" spans="1:8" x14ac:dyDescent="0.3">
      <c r="A3398" s="2">
        <v>690</v>
      </c>
      <c r="B3398" t="s">
        <v>1665</v>
      </c>
      <c r="C3398" t="s">
        <v>0</v>
      </c>
      <c r="D3398" s="2">
        <v>1</v>
      </c>
      <c r="E3398" s="11" t="s">
        <v>1106</v>
      </c>
      <c r="F3398" t="s">
        <v>114</v>
      </c>
      <c r="G3398" s="2" t="s">
        <v>23</v>
      </c>
      <c r="H3398" s="1">
        <v>185.39400000000001</v>
      </c>
    </row>
    <row r="3399" spans="1:8" x14ac:dyDescent="0.3">
      <c r="A3399" s="2">
        <v>690</v>
      </c>
      <c r="B3399" t="s">
        <v>1506</v>
      </c>
      <c r="C3399" t="s">
        <v>3224</v>
      </c>
      <c r="D3399" s="2">
        <v>1</v>
      </c>
      <c r="E3399" s="11" t="s">
        <v>1399</v>
      </c>
      <c r="F3399" t="s">
        <v>114</v>
      </c>
      <c r="G3399" s="2" t="s">
        <v>31</v>
      </c>
      <c r="H3399" s="1">
        <v>63.494000000000007</v>
      </c>
    </row>
    <row r="3400" spans="1:8" x14ac:dyDescent="0.3">
      <c r="A3400" s="2">
        <v>690</v>
      </c>
      <c r="B3400" t="s">
        <v>1400</v>
      </c>
      <c r="C3400" t="s">
        <v>3224</v>
      </c>
      <c r="D3400" s="2">
        <v>1</v>
      </c>
      <c r="E3400" s="11" t="s">
        <v>1399</v>
      </c>
      <c r="F3400" t="s">
        <v>114</v>
      </c>
      <c r="G3400" s="2" t="s">
        <v>23</v>
      </c>
      <c r="H3400" s="1">
        <v>63.494000000000007</v>
      </c>
    </row>
    <row r="3401" spans="1:8" x14ac:dyDescent="0.3">
      <c r="A3401" s="2">
        <v>690</v>
      </c>
      <c r="B3401" t="s">
        <v>1848</v>
      </c>
      <c r="C3401" t="s">
        <v>0</v>
      </c>
      <c r="D3401" s="2">
        <v>1</v>
      </c>
      <c r="E3401" s="11" t="s">
        <v>213</v>
      </c>
      <c r="F3401" t="s">
        <v>47</v>
      </c>
      <c r="G3401" s="2" t="s">
        <v>4</v>
      </c>
      <c r="H3401" s="1">
        <v>206.59400000000002</v>
      </c>
    </row>
    <row r="3402" spans="1:8" x14ac:dyDescent="0.3">
      <c r="A3402" s="2">
        <v>690</v>
      </c>
      <c r="B3402" t="s">
        <v>214</v>
      </c>
      <c r="C3402" t="s">
        <v>0</v>
      </c>
      <c r="D3402" s="2">
        <v>1</v>
      </c>
      <c r="E3402" s="11" t="s">
        <v>213</v>
      </c>
      <c r="F3402" t="s">
        <v>47</v>
      </c>
      <c r="G3402" s="2" t="s">
        <v>31</v>
      </c>
      <c r="H3402" s="1">
        <v>206.59400000000002</v>
      </c>
    </row>
    <row r="3403" spans="1:8" x14ac:dyDescent="0.3">
      <c r="A3403" s="2">
        <v>690</v>
      </c>
      <c r="B3403" t="s">
        <v>1706</v>
      </c>
      <c r="C3403" t="s">
        <v>0</v>
      </c>
      <c r="D3403" s="2">
        <v>1</v>
      </c>
      <c r="E3403" s="11" t="s">
        <v>213</v>
      </c>
      <c r="F3403" t="s">
        <v>47</v>
      </c>
      <c r="G3403" s="2" t="s">
        <v>23</v>
      </c>
      <c r="H3403" s="1">
        <v>206.59400000000002</v>
      </c>
    </row>
    <row r="3404" spans="1:8" x14ac:dyDescent="0.3">
      <c r="A3404" s="2">
        <v>690</v>
      </c>
      <c r="B3404" t="s">
        <v>1153</v>
      </c>
      <c r="C3404" t="s">
        <v>1</v>
      </c>
      <c r="D3404" s="2">
        <v>1</v>
      </c>
      <c r="E3404" s="11" t="s">
        <v>58</v>
      </c>
      <c r="F3404" t="s">
        <v>39</v>
      </c>
      <c r="G3404" s="2" t="s">
        <v>4</v>
      </c>
      <c r="H3404" s="1">
        <v>52.893999999999998</v>
      </c>
    </row>
    <row r="3405" spans="1:8" x14ac:dyDescent="0.3">
      <c r="A3405" s="2">
        <v>690</v>
      </c>
      <c r="B3405" t="s">
        <v>1283</v>
      </c>
      <c r="C3405" t="s">
        <v>1</v>
      </c>
      <c r="D3405" s="2">
        <v>1</v>
      </c>
      <c r="E3405" s="11" t="s">
        <v>58</v>
      </c>
      <c r="F3405" t="s">
        <v>39</v>
      </c>
      <c r="G3405" s="2" t="s">
        <v>31</v>
      </c>
      <c r="H3405" s="1">
        <v>52.893999999999998</v>
      </c>
    </row>
    <row r="3406" spans="1:8" x14ac:dyDescent="0.3">
      <c r="A3406" s="2">
        <v>690</v>
      </c>
      <c r="B3406" t="s">
        <v>1273</v>
      </c>
      <c r="C3406" t="s">
        <v>1</v>
      </c>
      <c r="D3406" s="2">
        <v>1</v>
      </c>
      <c r="E3406" s="11" t="s">
        <v>58</v>
      </c>
      <c r="F3406" t="s">
        <v>39</v>
      </c>
      <c r="G3406" s="2" t="s">
        <v>23</v>
      </c>
      <c r="H3406" s="1">
        <v>52.893999999999998</v>
      </c>
    </row>
    <row r="3407" spans="1:8" x14ac:dyDescent="0.3">
      <c r="A3407" s="2">
        <v>690</v>
      </c>
      <c r="B3407" t="s">
        <v>1698</v>
      </c>
      <c r="C3407" t="s">
        <v>3224</v>
      </c>
      <c r="D3407" s="2">
        <v>1</v>
      </c>
      <c r="E3407" s="11" t="s">
        <v>1399</v>
      </c>
      <c r="F3407" t="s">
        <v>36</v>
      </c>
      <c r="G3407" s="2" t="s">
        <v>4</v>
      </c>
      <c r="H3407" s="1">
        <v>63.494000000000007</v>
      </c>
    </row>
    <row r="3408" spans="1:8" x14ac:dyDescent="0.3">
      <c r="A3408" s="2">
        <v>690</v>
      </c>
      <c r="B3408" t="s">
        <v>1745</v>
      </c>
      <c r="C3408" t="s">
        <v>3224</v>
      </c>
      <c r="D3408" s="2">
        <v>1</v>
      </c>
      <c r="E3408" s="11" t="s">
        <v>1399</v>
      </c>
      <c r="F3408" t="s">
        <v>36</v>
      </c>
      <c r="G3408" s="2" t="s">
        <v>23</v>
      </c>
      <c r="H3408" s="1">
        <v>63.494000000000007</v>
      </c>
    </row>
    <row r="3409" spans="1:8" x14ac:dyDescent="0.3">
      <c r="A3409" s="2">
        <v>690</v>
      </c>
      <c r="B3409" t="s">
        <v>1550</v>
      </c>
      <c r="C3409" t="s">
        <v>3225</v>
      </c>
      <c r="D3409" s="2">
        <v>1</v>
      </c>
      <c r="E3409" s="11" t="s">
        <v>932</v>
      </c>
      <c r="F3409" t="s">
        <v>28</v>
      </c>
      <c r="G3409" s="2" t="s">
        <v>4</v>
      </c>
      <c r="H3409" s="1">
        <v>174.79400000000001</v>
      </c>
    </row>
    <row r="3410" spans="1:8" x14ac:dyDescent="0.3">
      <c r="A3410" s="2">
        <v>690</v>
      </c>
      <c r="B3410" t="s">
        <v>1831</v>
      </c>
      <c r="C3410" t="s">
        <v>3225</v>
      </c>
      <c r="D3410" s="2">
        <v>1</v>
      </c>
      <c r="E3410" s="11" t="s">
        <v>932</v>
      </c>
      <c r="F3410" t="s">
        <v>28</v>
      </c>
      <c r="G3410" s="2" t="s">
        <v>31</v>
      </c>
      <c r="H3410" s="1">
        <v>174.79400000000001</v>
      </c>
    </row>
    <row r="3411" spans="1:8" x14ac:dyDescent="0.3">
      <c r="A3411" s="2">
        <v>690</v>
      </c>
      <c r="B3411" t="s">
        <v>1830</v>
      </c>
      <c r="C3411" t="s">
        <v>3225</v>
      </c>
      <c r="D3411" s="2">
        <v>1</v>
      </c>
      <c r="E3411" s="11" t="s">
        <v>932</v>
      </c>
      <c r="F3411" t="s">
        <v>28</v>
      </c>
      <c r="G3411" s="2" t="s">
        <v>23</v>
      </c>
      <c r="H3411" s="1">
        <v>174.79400000000001</v>
      </c>
    </row>
    <row r="3412" spans="1:8" x14ac:dyDescent="0.3">
      <c r="A3412" s="2">
        <v>691</v>
      </c>
      <c r="B3412" t="s">
        <v>1847</v>
      </c>
      <c r="C3412" t="s">
        <v>3219</v>
      </c>
      <c r="D3412" s="2">
        <v>1</v>
      </c>
      <c r="E3412" s="11" t="s">
        <v>1845</v>
      </c>
      <c r="F3412" t="s">
        <v>114</v>
      </c>
      <c r="G3412" s="2" t="s">
        <v>23</v>
      </c>
      <c r="H3412" s="1">
        <v>180.09400000000002</v>
      </c>
    </row>
    <row r="3413" spans="1:8" x14ac:dyDescent="0.3">
      <c r="A3413" s="2">
        <v>691</v>
      </c>
      <c r="B3413" t="s">
        <v>1622</v>
      </c>
      <c r="C3413" t="s">
        <v>3224</v>
      </c>
      <c r="D3413" s="2">
        <v>1</v>
      </c>
      <c r="E3413" s="11" t="s">
        <v>1478</v>
      </c>
      <c r="F3413" t="s">
        <v>114</v>
      </c>
      <c r="G3413" s="2" t="s">
        <v>23</v>
      </c>
      <c r="H3413" s="1">
        <v>116.49400000000001</v>
      </c>
    </row>
    <row r="3414" spans="1:8" x14ac:dyDescent="0.3">
      <c r="A3414" s="2">
        <v>691</v>
      </c>
      <c r="B3414" t="s">
        <v>1846</v>
      </c>
      <c r="C3414" t="s">
        <v>3219</v>
      </c>
      <c r="D3414" s="2">
        <v>1</v>
      </c>
      <c r="E3414" s="11" t="s">
        <v>1845</v>
      </c>
      <c r="F3414" t="s">
        <v>47</v>
      </c>
      <c r="G3414" s="2" t="s">
        <v>23</v>
      </c>
      <c r="H3414" s="1">
        <v>180.09400000000002</v>
      </c>
    </row>
    <row r="3415" spans="1:8" x14ac:dyDescent="0.3">
      <c r="A3415" s="2">
        <v>691</v>
      </c>
      <c r="B3415" t="s">
        <v>1476</v>
      </c>
      <c r="C3415" t="s">
        <v>3219</v>
      </c>
      <c r="D3415" s="2">
        <v>1</v>
      </c>
      <c r="E3415" s="11" t="s">
        <v>892</v>
      </c>
      <c r="F3415" t="s">
        <v>47</v>
      </c>
      <c r="G3415" s="2" t="s">
        <v>4</v>
      </c>
      <c r="H3415" s="1">
        <v>158.89400000000001</v>
      </c>
    </row>
    <row r="3416" spans="1:8" x14ac:dyDescent="0.3">
      <c r="A3416" s="2">
        <v>691</v>
      </c>
      <c r="B3416" t="s">
        <v>1632</v>
      </c>
      <c r="C3416" t="s">
        <v>3224</v>
      </c>
      <c r="D3416" s="2">
        <v>1</v>
      </c>
      <c r="E3416" s="11" t="s">
        <v>1399</v>
      </c>
      <c r="F3416" t="s">
        <v>47</v>
      </c>
      <c r="G3416" s="2" t="s">
        <v>23</v>
      </c>
      <c r="H3416" s="1">
        <v>63.494000000000007</v>
      </c>
    </row>
    <row r="3417" spans="1:8" x14ac:dyDescent="0.3">
      <c r="A3417" s="2">
        <v>691</v>
      </c>
      <c r="B3417" t="s">
        <v>1825</v>
      </c>
      <c r="C3417" t="s">
        <v>0</v>
      </c>
      <c r="D3417" s="2">
        <v>1</v>
      </c>
      <c r="E3417" s="11" t="s">
        <v>1106</v>
      </c>
      <c r="F3417" t="s">
        <v>39</v>
      </c>
      <c r="G3417" s="2" t="s">
        <v>31</v>
      </c>
      <c r="H3417" s="1">
        <v>185.39400000000001</v>
      </c>
    </row>
    <row r="3418" spans="1:8" x14ac:dyDescent="0.3">
      <c r="A3418" s="2">
        <v>691</v>
      </c>
      <c r="B3418" t="s">
        <v>1710</v>
      </c>
      <c r="C3418" t="s">
        <v>0</v>
      </c>
      <c r="D3418" s="2">
        <v>1</v>
      </c>
      <c r="E3418" s="11" t="s">
        <v>1106</v>
      </c>
      <c r="F3418" t="s">
        <v>39</v>
      </c>
      <c r="G3418" s="2" t="s">
        <v>23</v>
      </c>
      <c r="H3418" s="1">
        <v>185.39400000000001</v>
      </c>
    </row>
    <row r="3419" spans="1:8" x14ac:dyDescent="0.3">
      <c r="A3419" s="2">
        <v>691</v>
      </c>
      <c r="B3419" t="s">
        <v>1844</v>
      </c>
      <c r="C3419" t="s">
        <v>3219</v>
      </c>
      <c r="D3419" s="2">
        <v>1</v>
      </c>
      <c r="E3419" s="11" t="s">
        <v>1335</v>
      </c>
      <c r="F3419" t="s">
        <v>36</v>
      </c>
      <c r="G3419" s="2" t="s">
        <v>31</v>
      </c>
      <c r="H3419" s="1">
        <v>100.59400000000001</v>
      </c>
    </row>
    <row r="3420" spans="1:8" x14ac:dyDescent="0.3">
      <c r="A3420" s="2">
        <v>691</v>
      </c>
      <c r="B3420" t="s">
        <v>1843</v>
      </c>
      <c r="C3420" t="s">
        <v>3219</v>
      </c>
      <c r="D3420" s="2">
        <v>1</v>
      </c>
      <c r="E3420" s="11" t="s">
        <v>1335</v>
      </c>
      <c r="F3420" t="s">
        <v>36</v>
      </c>
      <c r="G3420" s="2" t="s">
        <v>23</v>
      </c>
      <c r="H3420" s="1">
        <v>100.59400000000001</v>
      </c>
    </row>
    <row r="3421" spans="1:8" x14ac:dyDescent="0.3">
      <c r="A3421" s="2">
        <v>691</v>
      </c>
      <c r="B3421" t="s">
        <v>1745</v>
      </c>
      <c r="C3421" t="s">
        <v>3224</v>
      </c>
      <c r="D3421" s="2">
        <v>1</v>
      </c>
      <c r="E3421" s="11" t="s">
        <v>1399</v>
      </c>
      <c r="F3421" t="s">
        <v>36</v>
      </c>
      <c r="G3421" s="2" t="s">
        <v>23</v>
      </c>
      <c r="H3421" s="1">
        <v>63.494000000000007</v>
      </c>
    </row>
    <row r="3422" spans="1:8" x14ac:dyDescent="0.3">
      <c r="A3422" s="2">
        <v>691</v>
      </c>
      <c r="B3422" t="s">
        <v>1831</v>
      </c>
      <c r="C3422" t="s">
        <v>3225</v>
      </c>
      <c r="D3422" s="2">
        <v>1</v>
      </c>
      <c r="E3422" s="11" t="s">
        <v>932</v>
      </c>
      <c r="F3422" t="s">
        <v>28</v>
      </c>
      <c r="G3422" s="2" t="s">
        <v>31</v>
      </c>
      <c r="H3422" s="1">
        <v>174.79400000000001</v>
      </c>
    </row>
    <row r="3423" spans="1:8" x14ac:dyDescent="0.3">
      <c r="A3423" s="2">
        <v>691</v>
      </c>
      <c r="B3423" t="s">
        <v>1830</v>
      </c>
      <c r="C3423" t="s">
        <v>3225</v>
      </c>
      <c r="D3423" s="2">
        <v>1</v>
      </c>
      <c r="E3423" s="11" t="s">
        <v>932</v>
      </c>
      <c r="F3423" t="s">
        <v>28</v>
      </c>
      <c r="G3423" s="2" t="s">
        <v>23</v>
      </c>
      <c r="H3423" s="1">
        <v>174.79400000000001</v>
      </c>
    </row>
    <row r="3424" spans="1:8" x14ac:dyDescent="0.3">
      <c r="A3424" s="2">
        <v>692</v>
      </c>
      <c r="B3424" t="s">
        <v>1842</v>
      </c>
      <c r="C3424" t="s">
        <v>1</v>
      </c>
      <c r="D3424" s="2">
        <v>1</v>
      </c>
      <c r="E3424" s="11" t="s">
        <v>243</v>
      </c>
      <c r="F3424" t="s">
        <v>55</v>
      </c>
      <c r="G3424" s="2" t="s">
        <v>4</v>
      </c>
      <c r="H3424" s="1">
        <v>31.693999999999999</v>
      </c>
    </row>
    <row r="3425" spans="1:8" x14ac:dyDescent="0.3">
      <c r="A3425" s="2">
        <v>692</v>
      </c>
      <c r="B3425" t="s">
        <v>1841</v>
      </c>
      <c r="C3425" t="s">
        <v>1</v>
      </c>
      <c r="D3425" s="2">
        <v>1</v>
      </c>
      <c r="E3425" s="11" t="s">
        <v>243</v>
      </c>
      <c r="F3425" t="s">
        <v>55</v>
      </c>
      <c r="G3425" s="2" t="s">
        <v>203</v>
      </c>
      <c r="H3425" s="1">
        <v>31.693999999999999</v>
      </c>
    </row>
    <row r="3426" spans="1:8" x14ac:dyDescent="0.3">
      <c r="A3426" s="2">
        <v>692</v>
      </c>
      <c r="B3426" t="s">
        <v>1840</v>
      </c>
      <c r="C3426" t="s">
        <v>1</v>
      </c>
      <c r="D3426" s="2">
        <v>1</v>
      </c>
      <c r="E3426" s="11" t="s">
        <v>243</v>
      </c>
      <c r="F3426" t="s">
        <v>55</v>
      </c>
      <c r="G3426" s="2" t="s">
        <v>31</v>
      </c>
      <c r="H3426" s="1">
        <v>31.693999999999999</v>
      </c>
    </row>
    <row r="3427" spans="1:8" x14ac:dyDescent="0.3">
      <c r="A3427" s="2">
        <v>692</v>
      </c>
      <c r="B3427" t="s">
        <v>1470</v>
      </c>
      <c r="C3427" t="s">
        <v>1</v>
      </c>
      <c r="D3427" s="2">
        <v>1</v>
      </c>
      <c r="E3427" s="11" t="s">
        <v>58</v>
      </c>
      <c r="F3427" t="s">
        <v>65</v>
      </c>
      <c r="G3427" s="2" t="s">
        <v>4</v>
      </c>
      <c r="H3427" s="1">
        <v>52.893999999999998</v>
      </c>
    </row>
    <row r="3428" spans="1:8" x14ac:dyDescent="0.3">
      <c r="A3428" s="2">
        <v>692</v>
      </c>
      <c r="B3428" t="s">
        <v>1165</v>
      </c>
      <c r="C3428" t="s">
        <v>1</v>
      </c>
      <c r="D3428" s="2">
        <v>1</v>
      </c>
      <c r="E3428" s="11" t="s">
        <v>58</v>
      </c>
      <c r="F3428" t="s">
        <v>65</v>
      </c>
      <c r="G3428" s="2" t="s">
        <v>31</v>
      </c>
      <c r="H3428" s="1">
        <v>52.893999999999998</v>
      </c>
    </row>
    <row r="3429" spans="1:8" x14ac:dyDescent="0.3">
      <c r="A3429" s="2">
        <v>692</v>
      </c>
      <c r="B3429" t="s">
        <v>1423</v>
      </c>
      <c r="C3429" t="s">
        <v>1</v>
      </c>
      <c r="D3429" s="2">
        <v>1</v>
      </c>
      <c r="E3429" s="11" t="s">
        <v>58</v>
      </c>
      <c r="F3429" t="s">
        <v>65</v>
      </c>
      <c r="G3429" s="2" t="s">
        <v>23</v>
      </c>
      <c r="H3429" s="1">
        <v>52.893999999999998</v>
      </c>
    </row>
    <row r="3430" spans="1:8" x14ac:dyDescent="0.3">
      <c r="A3430" s="2">
        <v>692</v>
      </c>
      <c r="B3430" t="s">
        <v>1422</v>
      </c>
      <c r="C3430" t="s">
        <v>1</v>
      </c>
      <c r="D3430" s="2">
        <v>1</v>
      </c>
      <c r="E3430" s="11" t="s">
        <v>58</v>
      </c>
      <c r="F3430" t="s">
        <v>28</v>
      </c>
      <c r="G3430" s="2" t="s">
        <v>4</v>
      </c>
      <c r="H3430" s="1">
        <v>52.893999999999998</v>
      </c>
    </row>
    <row r="3431" spans="1:8" x14ac:dyDescent="0.3">
      <c r="A3431" s="2">
        <v>692</v>
      </c>
      <c r="B3431" t="s">
        <v>1164</v>
      </c>
      <c r="C3431" t="s">
        <v>1</v>
      </c>
      <c r="D3431" s="2">
        <v>1</v>
      </c>
      <c r="E3431" s="11" t="s">
        <v>58</v>
      </c>
      <c r="F3431" t="s">
        <v>28</v>
      </c>
      <c r="G3431" s="2" t="s">
        <v>31</v>
      </c>
      <c r="H3431" s="1">
        <v>52.893999999999998</v>
      </c>
    </row>
    <row r="3432" spans="1:8" x14ac:dyDescent="0.3">
      <c r="A3432" s="2">
        <v>692</v>
      </c>
      <c r="B3432" t="s">
        <v>1540</v>
      </c>
      <c r="C3432" t="s">
        <v>1</v>
      </c>
      <c r="D3432" s="2">
        <v>1</v>
      </c>
      <c r="E3432" s="11" t="s">
        <v>58</v>
      </c>
      <c r="F3432" t="s">
        <v>28</v>
      </c>
      <c r="G3432" s="2" t="s">
        <v>23</v>
      </c>
      <c r="H3432" s="1">
        <v>52.893999999999998</v>
      </c>
    </row>
    <row r="3433" spans="1:8" x14ac:dyDescent="0.3">
      <c r="A3433" s="2">
        <v>692</v>
      </c>
      <c r="B3433" t="s">
        <v>1778</v>
      </c>
      <c r="C3433" t="s">
        <v>1</v>
      </c>
      <c r="D3433" s="2">
        <v>1</v>
      </c>
      <c r="E3433" s="11" t="s">
        <v>1774</v>
      </c>
      <c r="F3433" t="s">
        <v>114</v>
      </c>
      <c r="G3433" s="2" t="s">
        <v>4</v>
      </c>
      <c r="H3433" s="1">
        <v>89.994000000000014</v>
      </c>
    </row>
    <row r="3434" spans="1:8" x14ac:dyDescent="0.3">
      <c r="A3434" s="2">
        <v>692</v>
      </c>
      <c r="B3434" t="s">
        <v>1839</v>
      </c>
      <c r="C3434" t="s">
        <v>1</v>
      </c>
      <c r="D3434" s="2">
        <v>1</v>
      </c>
      <c r="E3434" s="11" t="s">
        <v>243</v>
      </c>
      <c r="F3434" t="s">
        <v>114</v>
      </c>
      <c r="G3434" s="2" t="s">
        <v>4</v>
      </c>
      <c r="H3434" s="1">
        <v>31.693999999999999</v>
      </c>
    </row>
    <row r="3435" spans="1:8" x14ac:dyDescent="0.3">
      <c r="A3435" s="2">
        <v>692</v>
      </c>
      <c r="B3435" t="s">
        <v>736</v>
      </c>
      <c r="C3435" t="s">
        <v>1</v>
      </c>
      <c r="D3435" s="2">
        <v>1</v>
      </c>
      <c r="E3435" s="11" t="s">
        <v>53</v>
      </c>
      <c r="F3435" t="s">
        <v>47</v>
      </c>
      <c r="G3435" s="2" t="s">
        <v>203</v>
      </c>
      <c r="H3435" s="1">
        <v>36.994</v>
      </c>
    </row>
    <row r="3436" spans="1:8" x14ac:dyDescent="0.3">
      <c r="A3436" s="2">
        <v>692</v>
      </c>
      <c r="B3436" t="s">
        <v>1595</v>
      </c>
      <c r="C3436" t="s">
        <v>1</v>
      </c>
      <c r="D3436" s="2">
        <v>2</v>
      </c>
      <c r="E3436" s="11" t="s">
        <v>53</v>
      </c>
      <c r="F3436" t="s">
        <v>47</v>
      </c>
      <c r="G3436" s="2" t="s">
        <v>31</v>
      </c>
      <c r="H3436" s="1">
        <v>36.994</v>
      </c>
    </row>
    <row r="3437" spans="1:8" x14ac:dyDescent="0.3">
      <c r="A3437" s="2">
        <v>692</v>
      </c>
      <c r="B3437" t="s">
        <v>288</v>
      </c>
      <c r="C3437" t="s">
        <v>1</v>
      </c>
      <c r="D3437" s="2">
        <v>2</v>
      </c>
      <c r="E3437" s="11" t="s">
        <v>53</v>
      </c>
      <c r="F3437" t="s">
        <v>47</v>
      </c>
      <c r="G3437" s="2" t="s">
        <v>23</v>
      </c>
      <c r="H3437" s="1">
        <v>36.994</v>
      </c>
    </row>
    <row r="3438" spans="1:8" x14ac:dyDescent="0.3">
      <c r="A3438" s="2">
        <v>692</v>
      </c>
      <c r="B3438" t="s">
        <v>732</v>
      </c>
      <c r="C3438" t="s">
        <v>1</v>
      </c>
      <c r="D3438" s="2">
        <v>1</v>
      </c>
      <c r="E3438" s="11" t="s">
        <v>189</v>
      </c>
      <c r="F3438" t="s">
        <v>39</v>
      </c>
      <c r="G3438" s="2" t="s">
        <v>4</v>
      </c>
      <c r="H3438" s="1">
        <v>63.494000000000007</v>
      </c>
    </row>
    <row r="3439" spans="1:8" x14ac:dyDescent="0.3">
      <c r="A3439" s="2">
        <v>692</v>
      </c>
      <c r="B3439" t="s">
        <v>880</v>
      </c>
      <c r="C3439" t="s">
        <v>1</v>
      </c>
      <c r="D3439" s="2">
        <v>1</v>
      </c>
      <c r="E3439" s="11" t="s">
        <v>189</v>
      </c>
      <c r="F3439" t="s">
        <v>39</v>
      </c>
      <c r="G3439" s="2" t="s">
        <v>31</v>
      </c>
      <c r="H3439" s="1">
        <v>63.494000000000007</v>
      </c>
    </row>
    <row r="3440" spans="1:8" x14ac:dyDescent="0.3">
      <c r="A3440" s="2">
        <v>692</v>
      </c>
      <c r="B3440" t="s">
        <v>879</v>
      </c>
      <c r="C3440" t="s">
        <v>1</v>
      </c>
      <c r="D3440" s="2">
        <v>1</v>
      </c>
      <c r="E3440" s="11" t="s">
        <v>189</v>
      </c>
      <c r="F3440" t="s">
        <v>39</v>
      </c>
      <c r="G3440" s="2" t="s">
        <v>23</v>
      </c>
      <c r="H3440" s="1">
        <v>63.494000000000007</v>
      </c>
    </row>
    <row r="3441" spans="1:8" x14ac:dyDescent="0.3">
      <c r="A3441" s="2">
        <v>692</v>
      </c>
      <c r="B3441" t="s">
        <v>1153</v>
      </c>
      <c r="C3441" t="s">
        <v>1</v>
      </c>
      <c r="D3441" s="2">
        <v>1</v>
      </c>
      <c r="E3441" s="11" t="s">
        <v>58</v>
      </c>
      <c r="F3441" t="s">
        <v>39</v>
      </c>
      <c r="G3441" s="2" t="s">
        <v>4</v>
      </c>
      <c r="H3441" s="1">
        <v>52.893999999999998</v>
      </c>
    </row>
    <row r="3442" spans="1:8" x14ac:dyDescent="0.3">
      <c r="A3442" s="2">
        <v>692</v>
      </c>
      <c r="B3442" t="s">
        <v>1283</v>
      </c>
      <c r="C3442" t="s">
        <v>1</v>
      </c>
      <c r="D3442" s="2">
        <v>1</v>
      </c>
      <c r="E3442" s="11" t="s">
        <v>58</v>
      </c>
      <c r="F3442" t="s">
        <v>39</v>
      </c>
      <c r="G3442" s="2" t="s">
        <v>31</v>
      </c>
      <c r="H3442" s="1">
        <v>52.893999999999998</v>
      </c>
    </row>
    <row r="3443" spans="1:8" x14ac:dyDescent="0.3">
      <c r="A3443" s="2">
        <v>692</v>
      </c>
      <c r="B3443" t="s">
        <v>1273</v>
      </c>
      <c r="C3443" t="s">
        <v>1</v>
      </c>
      <c r="D3443" s="2">
        <v>1</v>
      </c>
      <c r="E3443" s="11" t="s">
        <v>58</v>
      </c>
      <c r="F3443" t="s">
        <v>39</v>
      </c>
      <c r="G3443" s="2" t="s">
        <v>23</v>
      </c>
      <c r="H3443" s="1">
        <v>52.893999999999998</v>
      </c>
    </row>
    <row r="3444" spans="1:8" x14ac:dyDescent="0.3">
      <c r="A3444" s="2">
        <v>692</v>
      </c>
      <c r="B3444" t="s">
        <v>1272</v>
      </c>
      <c r="C3444" t="s">
        <v>1</v>
      </c>
      <c r="D3444" s="2">
        <v>1</v>
      </c>
      <c r="E3444" s="11" t="s">
        <v>53</v>
      </c>
      <c r="F3444" t="s">
        <v>28</v>
      </c>
      <c r="G3444" s="2" t="s">
        <v>31</v>
      </c>
      <c r="H3444" s="1">
        <v>36.994</v>
      </c>
    </row>
    <row r="3445" spans="1:8" x14ac:dyDescent="0.3">
      <c r="A3445" s="2">
        <v>692</v>
      </c>
      <c r="B3445" t="s">
        <v>742</v>
      </c>
      <c r="C3445" t="s">
        <v>1</v>
      </c>
      <c r="D3445" s="2">
        <v>1</v>
      </c>
      <c r="E3445" s="11" t="s">
        <v>53</v>
      </c>
      <c r="F3445" t="s">
        <v>28</v>
      </c>
      <c r="G3445" s="2" t="s">
        <v>23</v>
      </c>
      <c r="H3445" s="1">
        <v>36.994</v>
      </c>
    </row>
    <row r="3446" spans="1:8" x14ac:dyDescent="0.3">
      <c r="A3446" s="2">
        <v>692</v>
      </c>
      <c r="B3446" t="s">
        <v>878</v>
      </c>
      <c r="C3446" t="s">
        <v>1</v>
      </c>
      <c r="D3446" s="2">
        <v>1</v>
      </c>
      <c r="E3446" s="11" t="s">
        <v>189</v>
      </c>
      <c r="F3446" t="s">
        <v>28</v>
      </c>
      <c r="G3446" s="2" t="s">
        <v>4</v>
      </c>
      <c r="H3446" s="1">
        <v>63.494000000000007</v>
      </c>
    </row>
    <row r="3447" spans="1:8" x14ac:dyDescent="0.3">
      <c r="A3447" s="2">
        <v>692</v>
      </c>
      <c r="B3447" t="s">
        <v>876</v>
      </c>
      <c r="C3447" t="s">
        <v>1</v>
      </c>
      <c r="D3447" s="2">
        <v>1</v>
      </c>
      <c r="E3447" s="11" t="s">
        <v>189</v>
      </c>
      <c r="F3447" t="s">
        <v>28</v>
      </c>
      <c r="G3447" s="2" t="s">
        <v>31</v>
      </c>
      <c r="H3447" s="1">
        <v>63.494000000000007</v>
      </c>
    </row>
    <row r="3448" spans="1:8" x14ac:dyDescent="0.3">
      <c r="A3448" s="2">
        <v>692</v>
      </c>
      <c r="B3448" t="s">
        <v>875</v>
      </c>
      <c r="C3448" t="s">
        <v>1</v>
      </c>
      <c r="D3448" s="2">
        <v>1</v>
      </c>
      <c r="E3448" s="11" t="s">
        <v>189</v>
      </c>
      <c r="F3448" t="s">
        <v>28</v>
      </c>
      <c r="G3448" s="2" t="s">
        <v>23</v>
      </c>
      <c r="H3448" s="1">
        <v>63.494000000000007</v>
      </c>
    </row>
    <row r="3449" spans="1:8" x14ac:dyDescent="0.3">
      <c r="A3449" s="2">
        <v>692</v>
      </c>
      <c r="B3449" t="s">
        <v>1838</v>
      </c>
      <c r="C3449" t="s">
        <v>1</v>
      </c>
      <c r="D3449" s="2">
        <v>1</v>
      </c>
      <c r="E3449" s="11" t="s">
        <v>1774</v>
      </c>
      <c r="F3449" t="s">
        <v>28</v>
      </c>
      <c r="G3449" s="2" t="s">
        <v>31</v>
      </c>
      <c r="H3449" s="1">
        <v>89.994000000000014</v>
      </c>
    </row>
    <row r="3450" spans="1:8" x14ac:dyDescent="0.3">
      <c r="A3450" s="2">
        <v>692</v>
      </c>
      <c r="B3450" t="s">
        <v>1834</v>
      </c>
      <c r="C3450" t="s">
        <v>1</v>
      </c>
      <c r="D3450" s="2">
        <v>1</v>
      </c>
      <c r="E3450" s="11" t="s">
        <v>58</v>
      </c>
      <c r="F3450" t="s">
        <v>24</v>
      </c>
      <c r="G3450" s="2" t="s">
        <v>4</v>
      </c>
      <c r="H3450" s="1">
        <v>52.893999999999998</v>
      </c>
    </row>
    <row r="3451" spans="1:8" x14ac:dyDescent="0.3">
      <c r="A3451" s="2">
        <v>692</v>
      </c>
      <c r="B3451" t="s">
        <v>1815</v>
      </c>
      <c r="C3451" t="s">
        <v>1</v>
      </c>
      <c r="D3451" s="2">
        <v>1</v>
      </c>
      <c r="E3451" s="11" t="s">
        <v>58</v>
      </c>
      <c r="F3451" t="s">
        <v>24</v>
      </c>
      <c r="G3451" s="2" t="s">
        <v>31</v>
      </c>
      <c r="H3451" s="1">
        <v>52.893999999999998</v>
      </c>
    </row>
    <row r="3452" spans="1:8" x14ac:dyDescent="0.3">
      <c r="A3452" s="2">
        <v>692</v>
      </c>
      <c r="B3452" t="s">
        <v>1814</v>
      </c>
      <c r="C3452" t="s">
        <v>1</v>
      </c>
      <c r="D3452" s="2">
        <v>1</v>
      </c>
      <c r="E3452" s="11" t="s">
        <v>58</v>
      </c>
      <c r="F3452" t="s">
        <v>24</v>
      </c>
      <c r="G3452" s="2" t="s">
        <v>23</v>
      </c>
      <c r="H3452" s="1">
        <v>52.893999999999998</v>
      </c>
    </row>
    <row r="3453" spans="1:8" x14ac:dyDescent="0.3">
      <c r="A3453" s="2">
        <v>693</v>
      </c>
      <c r="B3453" t="s">
        <v>1035</v>
      </c>
      <c r="C3453" t="s">
        <v>3224</v>
      </c>
      <c r="D3453" s="2">
        <v>1</v>
      </c>
      <c r="E3453" s="11" t="s">
        <v>499</v>
      </c>
      <c r="F3453" t="s">
        <v>55</v>
      </c>
      <c r="G3453" s="2" t="s">
        <v>23</v>
      </c>
      <c r="H3453" s="1">
        <v>84.694000000000017</v>
      </c>
    </row>
    <row r="3454" spans="1:8" x14ac:dyDescent="0.3">
      <c r="A3454" s="2">
        <v>693</v>
      </c>
      <c r="B3454" t="s">
        <v>1470</v>
      </c>
      <c r="C3454" t="s">
        <v>1</v>
      </c>
      <c r="D3454" s="2">
        <v>1</v>
      </c>
      <c r="E3454" s="11" t="s">
        <v>58</v>
      </c>
      <c r="F3454" t="s">
        <v>65</v>
      </c>
      <c r="G3454" s="2" t="s">
        <v>4</v>
      </c>
      <c r="H3454" s="1">
        <v>52.893999999999998</v>
      </c>
    </row>
    <row r="3455" spans="1:8" x14ac:dyDescent="0.3">
      <c r="A3455" s="2">
        <v>693</v>
      </c>
      <c r="B3455" t="s">
        <v>1788</v>
      </c>
      <c r="C3455" t="s">
        <v>3224</v>
      </c>
      <c r="D3455" s="2">
        <v>2</v>
      </c>
      <c r="E3455" s="11" t="s">
        <v>1231</v>
      </c>
      <c r="F3455" t="s">
        <v>114</v>
      </c>
      <c r="G3455" s="2" t="s">
        <v>23</v>
      </c>
      <c r="H3455" s="1">
        <v>105.89400000000001</v>
      </c>
    </row>
    <row r="3456" spans="1:8" x14ac:dyDescent="0.3">
      <c r="A3456" s="2">
        <v>693</v>
      </c>
      <c r="B3456" t="s">
        <v>1422</v>
      </c>
      <c r="C3456" t="s">
        <v>1</v>
      </c>
      <c r="D3456" s="2">
        <v>1</v>
      </c>
      <c r="E3456" s="11" t="s">
        <v>58</v>
      </c>
      <c r="F3456" t="s">
        <v>28</v>
      </c>
      <c r="G3456" s="2" t="s">
        <v>4</v>
      </c>
      <c r="H3456" s="1">
        <v>52.893999999999998</v>
      </c>
    </row>
    <row r="3457" spans="1:8" x14ac:dyDescent="0.3">
      <c r="A3457" s="2">
        <v>693</v>
      </c>
      <c r="B3457" t="s">
        <v>1540</v>
      </c>
      <c r="C3457" t="s">
        <v>1</v>
      </c>
      <c r="D3457" s="2">
        <v>1</v>
      </c>
      <c r="E3457" s="11" t="s">
        <v>58</v>
      </c>
      <c r="F3457" t="s">
        <v>28</v>
      </c>
      <c r="G3457" s="2" t="s">
        <v>23</v>
      </c>
      <c r="H3457" s="1">
        <v>52.893999999999998</v>
      </c>
    </row>
    <row r="3458" spans="1:8" x14ac:dyDescent="0.3">
      <c r="A3458" s="2">
        <v>693</v>
      </c>
      <c r="B3458" t="s">
        <v>1142</v>
      </c>
      <c r="C3458" t="s">
        <v>3219</v>
      </c>
      <c r="D3458" s="2">
        <v>1</v>
      </c>
      <c r="E3458" s="11" t="s">
        <v>102</v>
      </c>
      <c r="F3458" t="s">
        <v>114</v>
      </c>
      <c r="G3458" s="2" t="s">
        <v>4</v>
      </c>
      <c r="H3458" s="1">
        <v>121.79400000000001</v>
      </c>
    </row>
    <row r="3459" spans="1:8" x14ac:dyDescent="0.3">
      <c r="A3459" s="2">
        <v>693</v>
      </c>
      <c r="B3459" t="s">
        <v>1622</v>
      </c>
      <c r="C3459" t="s">
        <v>3224</v>
      </c>
      <c r="D3459" s="2">
        <v>1</v>
      </c>
      <c r="E3459" s="11" t="s">
        <v>1478</v>
      </c>
      <c r="F3459" t="s">
        <v>114</v>
      </c>
      <c r="G3459" s="2" t="s">
        <v>23</v>
      </c>
      <c r="H3459" s="1">
        <v>116.49400000000001</v>
      </c>
    </row>
    <row r="3460" spans="1:8" x14ac:dyDescent="0.3">
      <c r="A3460" s="2">
        <v>693</v>
      </c>
      <c r="B3460" t="s">
        <v>1837</v>
      </c>
      <c r="C3460" t="s">
        <v>1</v>
      </c>
      <c r="D3460" s="2">
        <v>1</v>
      </c>
      <c r="E3460" s="11" t="s">
        <v>1645</v>
      </c>
      <c r="F3460" t="s">
        <v>114</v>
      </c>
      <c r="G3460" s="2" t="s">
        <v>23</v>
      </c>
      <c r="H3460" s="1">
        <v>63.494000000000007</v>
      </c>
    </row>
    <row r="3461" spans="1:8" x14ac:dyDescent="0.3">
      <c r="A3461" s="2">
        <v>693</v>
      </c>
      <c r="B3461" t="s">
        <v>1720</v>
      </c>
      <c r="C3461" t="s">
        <v>3224</v>
      </c>
      <c r="D3461" s="2">
        <v>1</v>
      </c>
      <c r="E3461" s="11" t="s">
        <v>1719</v>
      </c>
      <c r="F3461" t="s">
        <v>114</v>
      </c>
      <c r="G3461" s="2" t="s">
        <v>23</v>
      </c>
      <c r="H3461" s="1">
        <v>105.89400000000001</v>
      </c>
    </row>
    <row r="3462" spans="1:8" x14ac:dyDescent="0.3">
      <c r="A3462" s="2">
        <v>693</v>
      </c>
      <c r="B3462" t="s">
        <v>1065</v>
      </c>
      <c r="C3462" t="s">
        <v>3219</v>
      </c>
      <c r="D3462" s="2">
        <v>1</v>
      </c>
      <c r="E3462" s="11" t="s">
        <v>892</v>
      </c>
      <c r="F3462" t="s">
        <v>114</v>
      </c>
      <c r="G3462" s="2" t="s">
        <v>23</v>
      </c>
      <c r="H3462" s="1">
        <v>158.89400000000001</v>
      </c>
    </row>
    <row r="3463" spans="1:8" x14ac:dyDescent="0.3">
      <c r="A3463" s="2">
        <v>693</v>
      </c>
      <c r="B3463" t="s">
        <v>863</v>
      </c>
      <c r="C3463" t="s">
        <v>3233</v>
      </c>
      <c r="D3463" s="2">
        <v>1</v>
      </c>
      <c r="E3463" s="11" t="s">
        <v>862</v>
      </c>
      <c r="F3463" t="s">
        <v>114</v>
      </c>
      <c r="G3463" s="2" t="s">
        <v>23</v>
      </c>
      <c r="H3463" s="1">
        <v>68.794000000000011</v>
      </c>
    </row>
    <row r="3464" spans="1:8" x14ac:dyDescent="0.3">
      <c r="A3464" s="2">
        <v>693</v>
      </c>
      <c r="B3464" t="s">
        <v>1836</v>
      </c>
      <c r="C3464" t="s">
        <v>3220</v>
      </c>
      <c r="D3464" s="2">
        <v>1</v>
      </c>
      <c r="E3464" s="11" t="s">
        <v>1138</v>
      </c>
      <c r="F3464" t="s">
        <v>114</v>
      </c>
      <c r="G3464" s="2" t="s">
        <v>23</v>
      </c>
      <c r="H3464" s="1">
        <v>68.794000000000011</v>
      </c>
    </row>
    <row r="3465" spans="1:8" x14ac:dyDescent="0.3">
      <c r="A3465" s="2">
        <v>693</v>
      </c>
      <c r="B3465" t="s">
        <v>1569</v>
      </c>
      <c r="C3465" t="s">
        <v>3233</v>
      </c>
      <c r="D3465" s="2">
        <v>1</v>
      </c>
      <c r="E3465" s="11" t="s">
        <v>1278</v>
      </c>
      <c r="F3465" t="s">
        <v>114</v>
      </c>
      <c r="G3465" s="2" t="s">
        <v>31</v>
      </c>
      <c r="H3465" s="1">
        <v>100.59400000000001</v>
      </c>
    </row>
    <row r="3466" spans="1:8" x14ac:dyDescent="0.3">
      <c r="A3466" s="2">
        <v>693</v>
      </c>
      <c r="B3466" t="s">
        <v>1701</v>
      </c>
      <c r="C3466" t="s">
        <v>0</v>
      </c>
      <c r="D3466" s="2">
        <v>1</v>
      </c>
      <c r="E3466" s="11" t="s">
        <v>549</v>
      </c>
      <c r="F3466" t="s">
        <v>114</v>
      </c>
      <c r="G3466" s="2" t="s">
        <v>31</v>
      </c>
      <c r="H3466" s="1">
        <v>164.19400000000002</v>
      </c>
    </row>
    <row r="3467" spans="1:8" x14ac:dyDescent="0.3">
      <c r="A3467" s="2">
        <v>693</v>
      </c>
      <c r="B3467" t="s">
        <v>1809</v>
      </c>
      <c r="C3467" t="s">
        <v>3233</v>
      </c>
      <c r="D3467" s="2">
        <v>1</v>
      </c>
      <c r="E3467" s="11" t="s">
        <v>862</v>
      </c>
      <c r="F3467" t="s">
        <v>47</v>
      </c>
      <c r="G3467" s="2" t="s">
        <v>31</v>
      </c>
      <c r="H3467" s="1">
        <v>68.794000000000011</v>
      </c>
    </row>
    <row r="3468" spans="1:8" x14ac:dyDescent="0.3">
      <c r="A3468" s="2">
        <v>693</v>
      </c>
      <c r="B3468" t="s">
        <v>1611</v>
      </c>
      <c r="C3468" t="s">
        <v>3220</v>
      </c>
      <c r="D3468" s="2">
        <v>1</v>
      </c>
      <c r="E3468" s="11" t="s">
        <v>1138</v>
      </c>
      <c r="F3468" t="s">
        <v>47</v>
      </c>
      <c r="G3468" s="2" t="s">
        <v>4</v>
      </c>
      <c r="H3468" s="1">
        <v>68.794000000000011</v>
      </c>
    </row>
    <row r="3469" spans="1:8" x14ac:dyDescent="0.3">
      <c r="A3469" s="2">
        <v>693</v>
      </c>
      <c r="B3469" t="s">
        <v>1445</v>
      </c>
      <c r="C3469" t="s">
        <v>3224</v>
      </c>
      <c r="D3469" s="2">
        <v>1</v>
      </c>
      <c r="E3469" s="11" t="s">
        <v>1444</v>
      </c>
      <c r="F3469" t="s">
        <v>39</v>
      </c>
      <c r="G3469" s="2" t="s">
        <v>23</v>
      </c>
      <c r="H3469" s="1">
        <v>95.294000000000011</v>
      </c>
    </row>
    <row r="3470" spans="1:8" x14ac:dyDescent="0.3">
      <c r="A3470" s="2">
        <v>693</v>
      </c>
      <c r="B3470" t="s">
        <v>1015</v>
      </c>
      <c r="C3470" t="s">
        <v>3220</v>
      </c>
      <c r="D3470" s="2">
        <v>1</v>
      </c>
      <c r="E3470" s="11" t="s">
        <v>640</v>
      </c>
      <c r="F3470" t="s">
        <v>39</v>
      </c>
      <c r="G3470" s="2" t="s">
        <v>23</v>
      </c>
      <c r="H3470" s="1">
        <v>21.094000000000001</v>
      </c>
    </row>
    <row r="3471" spans="1:8" x14ac:dyDescent="0.3">
      <c r="A3471" s="2">
        <v>693</v>
      </c>
      <c r="B3471" t="s">
        <v>1069</v>
      </c>
      <c r="C3471" t="s">
        <v>3219</v>
      </c>
      <c r="D3471" s="2">
        <v>1</v>
      </c>
      <c r="E3471" s="11" t="s">
        <v>892</v>
      </c>
      <c r="F3471" t="s">
        <v>39</v>
      </c>
      <c r="G3471" s="2" t="s">
        <v>23</v>
      </c>
      <c r="H3471" s="1">
        <v>158.89400000000001</v>
      </c>
    </row>
    <row r="3472" spans="1:8" x14ac:dyDescent="0.3">
      <c r="A3472" s="2">
        <v>693</v>
      </c>
      <c r="B3472" t="s">
        <v>954</v>
      </c>
      <c r="C3472" t="s">
        <v>3220</v>
      </c>
      <c r="D3472" s="2">
        <v>1</v>
      </c>
      <c r="E3472" s="11" t="s">
        <v>647</v>
      </c>
      <c r="F3472" t="s">
        <v>39</v>
      </c>
      <c r="G3472" s="2" t="s">
        <v>23</v>
      </c>
      <c r="H3472" s="1">
        <v>15.793999999999999</v>
      </c>
    </row>
    <row r="3473" spans="1:8" x14ac:dyDescent="0.3">
      <c r="A3473" s="2">
        <v>693</v>
      </c>
      <c r="B3473" t="s">
        <v>1823</v>
      </c>
      <c r="C3473" t="s">
        <v>3233</v>
      </c>
      <c r="D3473" s="2">
        <v>1</v>
      </c>
      <c r="E3473" s="11" t="s">
        <v>1278</v>
      </c>
      <c r="F3473" t="s">
        <v>39</v>
      </c>
      <c r="G3473" s="2" t="s">
        <v>23</v>
      </c>
      <c r="H3473" s="1">
        <v>100.59400000000001</v>
      </c>
    </row>
    <row r="3474" spans="1:8" x14ac:dyDescent="0.3">
      <c r="A3474" s="2">
        <v>693</v>
      </c>
      <c r="B3474" t="s">
        <v>1723</v>
      </c>
      <c r="C3474" t="s">
        <v>2</v>
      </c>
      <c r="D3474" s="2">
        <v>1</v>
      </c>
      <c r="E3474" s="11" t="s">
        <v>43</v>
      </c>
      <c r="F3474" t="s">
        <v>39</v>
      </c>
      <c r="G3474" s="2" t="s">
        <v>23</v>
      </c>
      <c r="H3474" s="1">
        <v>74.094000000000008</v>
      </c>
    </row>
    <row r="3475" spans="1:8" x14ac:dyDescent="0.3">
      <c r="A3475" s="2">
        <v>693</v>
      </c>
      <c r="B3475" t="s">
        <v>1442</v>
      </c>
      <c r="C3475" t="s">
        <v>3233</v>
      </c>
      <c r="D3475" s="2">
        <v>1</v>
      </c>
      <c r="E3475" s="11" t="s">
        <v>1278</v>
      </c>
      <c r="F3475" t="s">
        <v>36</v>
      </c>
      <c r="G3475" s="2" t="s">
        <v>23</v>
      </c>
      <c r="H3475" s="1">
        <v>100.59400000000001</v>
      </c>
    </row>
    <row r="3476" spans="1:8" x14ac:dyDescent="0.3">
      <c r="A3476" s="2">
        <v>693</v>
      </c>
      <c r="B3476" t="s">
        <v>1412</v>
      </c>
      <c r="C3476" t="s">
        <v>2</v>
      </c>
      <c r="D3476" s="2">
        <v>1</v>
      </c>
      <c r="E3476" s="11" t="s">
        <v>86</v>
      </c>
      <c r="F3476" t="s">
        <v>36</v>
      </c>
      <c r="G3476" s="2" t="s">
        <v>23</v>
      </c>
      <c r="H3476" s="1">
        <v>95.294000000000011</v>
      </c>
    </row>
    <row r="3477" spans="1:8" x14ac:dyDescent="0.3">
      <c r="A3477" s="2">
        <v>693</v>
      </c>
      <c r="B3477" t="s">
        <v>855</v>
      </c>
      <c r="C3477" t="s">
        <v>3220</v>
      </c>
      <c r="D3477" s="2">
        <v>1</v>
      </c>
      <c r="E3477" s="11" t="s">
        <v>185</v>
      </c>
      <c r="F3477" t="s">
        <v>36</v>
      </c>
      <c r="G3477" s="2" t="s">
        <v>23</v>
      </c>
      <c r="H3477" s="1">
        <v>84.694000000000017</v>
      </c>
    </row>
    <row r="3478" spans="1:8" x14ac:dyDescent="0.3">
      <c r="A3478" s="2">
        <v>693</v>
      </c>
      <c r="B3478" t="s">
        <v>1185</v>
      </c>
      <c r="C3478" t="s">
        <v>3224</v>
      </c>
      <c r="D3478" s="2">
        <v>1</v>
      </c>
      <c r="E3478" s="11" t="s">
        <v>1145</v>
      </c>
      <c r="F3478" t="s">
        <v>28</v>
      </c>
      <c r="G3478" s="2" t="s">
        <v>4</v>
      </c>
      <c r="H3478" s="1">
        <v>121.79400000000001</v>
      </c>
    </row>
    <row r="3479" spans="1:8" x14ac:dyDescent="0.3">
      <c r="A3479" s="2">
        <v>693</v>
      </c>
      <c r="B3479" t="s">
        <v>922</v>
      </c>
      <c r="C3479" t="s">
        <v>3220</v>
      </c>
      <c r="D3479" s="2">
        <v>1</v>
      </c>
      <c r="E3479" s="11" t="s">
        <v>647</v>
      </c>
      <c r="F3479" t="s">
        <v>28</v>
      </c>
      <c r="G3479" s="2" t="s">
        <v>4</v>
      </c>
      <c r="H3479" s="1">
        <v>15.793999999999999</v>
      </c>
    </row>
    <row r="3480" spans="1:8" x14ac:dyDescent="0.3">
      <c r="A3480" s="2">
        <v>693</v>
      </c>
      <c r="B3480" t="s">
        <v>1372</v>
      </c>
      <c r="C3480" t="s">
        <v>2</v>
      </c>
      <c r="D3480" s="2">
        <v>1</v>
      </c>
      <c r="E3480" s="11" t="s">
        <v>1288</v>
      </c>
      <c r="F3480" t="s">
        <v>28</v>
      </c>
      <c r="G3480" s="2" t="s">
        <v>23</v>
      </c>
      <c r="H3480" s="1">
        <v>89.994000000000014</v>
      </c>
    </row>
    <row r="3481" spans="1:8" x14ac:dyDescent="0.3">
      <c r="A3481" s="2">
        <v>693</v>
      </c>
      <c r="B3481" t="s">
        <v>1369</v>
      </c>
      <c r="C3481" t="s">
        <v>3233</v>
      </c>
      <c r="D3481" s="2">
        <v>1</v>
      </c>
      <c r="E3481" s="11" t="s">
        <v>258</v>
      </c>
      <c r="F3481" t="s">
        <v>28</v>
      </c>
      <c r="G3481" s="2" t="s">
        <v>23</v>
      </c>
      <c r="H3481" s="1">
        <v>79.394000000000005</v>
      </c>
    </row>
    <row r="3482" spans="1:8" x14ac:dyDescent="0.3">
      <c r="A3482" s="2">
        <v>693</v>
      </c>
      <c r="B3482" t="s">
        <v>1523</v>
      </c>
      <c r="C3482" t="s">
        <v>3233</v>
      </c>
      <c r="D3482" s="2">
        <v>1</v>
      </c>
      <c r="E3482" s="11" t="s">
        <v>1278</v>
      </c>
      <c r="F3482" t="s">
        <v>28</v>
      </c>
      <c r="G3482" s="2" t="s">
        <v>4</v>
      </c>
      <c r="H3482" s="1">
        <v>100.59400000000001</v>
      </c>
    </row>
    <row r="3483" spans="1:8" x14ac:dyDescent="0.3">
      <c r="A3483" s="2">
        <v>693</v>
      </c>
      <c r="B3483" t="s">
        <v>1486</v>
      </c>
      <c r="C3483" t="s">
        <v>3224</v>
      </c>
      <c r="D3483" s="2">
        <v>1</v>
      </c>
      <c r="E3483" s="11" t="s">
        <v>1426</v>
      </c>
      <c r="F3483" t="s">
        <v>28</v>
      </c>
      <c r="G3483" s="2" t="s">
        <v>23</v>
      </c>
      <c r="H3483" s="1">
        <v>63.494000000000007</v>
      </c>
    </row>
    <row r="3484" spans="1:8" x14ac:dyDescent="0.3">
      <c r="A3484" s="2">
        <v>693</v>
      </c>
      <c r="B3484" t="s">
        <v>1835</v>
      </c>
      <c r="C3484" t="s">
        <v>0</v>
      </c>
      <c r="D3484" s="2">
        <v>1</v>
      </c>
      <c r="E3484" s="11" t="s">
        <v>213</v>
      </c>
      <c r="F3484" t="s">
        <v>28</v>
      </c>
      <c r="G3484" s="2" t="s">
        <v>23</v>
      </c>
      <c r="H3484" s="1">
        <v>206.59400000000002</v>
      </c>
    </row>
    <row r="3485" spans="1:8" x14ac:dyDescent="0.3">
      <c r="A3485" s="2">
        <v>693</v>
      </c>
      <c r="B3485" t="s">
        <v>1834</v>
      </c>
      <c r="C3485" t="s">
        <v>1</v>
      </c>
      <c r="D3485" s="2">
        <v>1</v>
      </c>
      <c r="E3485" s="11" t="s">
        <v>58</v>
      </c>
      <c r="F3485" t="s">
        <v>24</v>
      </c>
      <c r="G3485" s="2" t="s">
        <v>4</v>
      </c>
      <c r="H3485" s="1">
        <v>52.893999999999998</v>
      </c>
    </row>
    <row r="3486" spans="1:8" x14ac:dyDescent="0.3">
      <c r="A3486" s="2">
        <v>693</v>
      </c>
      <c r="B3486" t="s">
        <v>1815</v>
      </c>
      <c r="C3486" t="s">
        <v>1</v>
      </c>
      <c r="D3486" s="2">
        <v>1</v>
      </c>
      <c r="E3486" s="11" t="s">
        <v>58</v>
      </c>
      <c r="F3486" t="s">
        <v>24</v>
      </c>
      <c r="G3486" s="2" t="s">
        <v>31</v>
      </c>
      <c r="H3486" s="1">
        <v>52.893999999999998</v>
      </c>
    </row>
    <row r="3487" spans="1:8" x14ac:dyDescent="0.3">
      <c r="A3487" s="2">
        <v>693</v>
      </c>
      <c r="B3487" t="s">
        <v>1814</v>
      </c>
      <c r="C3487" t="s">
        <v>1</v>
      </c>
      <c r="D3487" s="2">
        <v>1</v>
      </c>
      <c r="E3487" s="11" t="s">
        <v>58</v>
      </c>
      <c r="F3487" t="s">
        <v>24</v>
      </c>
      <c r="G3487" s="2" t="s">
        <v>23</v>
      </c>
      <c r="H3487" s="1">
        <v>52.893999999999998</v>
      </c>
    </row>
    <row r="3488" spans="1:8" x14ac:dyDescent="0.3">
      <c r="A3488" s="2">
        <v>693</v>
      </c>
      <c r="B3488" t="s">
        <v>1271</v>
      </c>
      <c r="C3488" t="s">
        <v>3224</v>
      </c>
      <c r="D3488" s="2">
        <v>1</v>
      </c>
      <c r="E3488" s="11" t="s">
        <v>1270</v>
      </c>
      <c r="F3488" t="s">
        <v>24</v>
      </c>
      <c r="G3488" s="2" t="s">
        <v>23</v>
      </c>
      <c r="H3488" s="1">
        <v>68.794000000000011</v>
      </c>
    </row>
    <row r="3489" spans="1:8" x14ac:dyDescent="0.3">
      <c r="A3489" s="2">
        <v>694</v>
      </c>
      <c r="B3489" t="s">
        <v>1589</v>
      </c>
      <c r="C3489" t="s">
        <v>3</v>
      </c>
      <c r="D3489" s="2">
        <v>1</v>
      </c>
      <c r="E3489" s="11" t="s">
        <v>1356</v>
      </c>
      <c r="F3489" t="s">
        <v>114</v>
      </c>
      <c r="G3489" s="2" t="s">
        <v>31</v>
      </c>
      <c r="H3489" s="1">
        <v>111.19400000000002</v>
      </c>
    </row>
    <row r="3490" spans="1:8" x14ac:dyDescent="0.3">
      <c r="A3490" s="2">
        <v>694</v>
      </c>
      <c r="B3490" t="s">
        <v>1760</v>
      </c>
      <c r="C3490" t="s">
        <v>3</v>
      </c>
      <c r="D3490" s="2">
        <v>1</v>
      </c>
      <c r="E3490" s="11" t="s">
        <v>1356</v>
      </c>
      <c r="F3490" t="s">
        <v>114</v>
      </c>
      <c r="G3490" s="2" t="s">
        <v>23</v>
      </c>
      <c r="H3490" s="1">
        <v>111.19400000000002</v>
      </c>
    </row>
    <row r="3491" spans="1:8" x14ac:dyDescent="0.3">
      <c r="A3491" s="2">
        <v>694</v>
      </c>
      <c r="B3491" t="s">
        <v>1704</v>
      </c>
      <c r="C3491" t="s">
        <v>3221</v>
      </c>
      <c r="D3491" s="2">
        <v>1</v>
      </c>
      <c r="E3491" s="11" t="s">
        <v>1180</v>
      </c>
      <c r="F3491" t="s">
        <v>114</v>
      </c>
      <c r="G3491" s="2" t="s">
        <v>4</v>
      </c>
      <c r="H3491" s="1">
        <v>169.49400000000003</v>
      </c>
    </row>
    <row r="3492" spans="1:8" x14ac:dyDescent="0.3">
      <c r="A3492" s="2">
        <v>694</v>
      </c>
      <c r="B3492" t="s">
        <v>1703</v>
      </c>
      <c r="C3492" t="s">
        <v>3221</v>
      </c>
      <c r="D3492" s="2">
        <v>1</v>
      </c>
      <c r="E3492" s="11" t="s">
        <v>1180</v>
      </c>
      <c r="F3492" t="s">
        <v>114</v>
      </c>
      <c r="G3492" s="2" t="s">
        <v>31</v>
      </c>
      <c r="H3492" s="1">
        <v>169.49400000000003</v>
      </c>
    </row>
    <row r="3493" spans="1:8" x14ac:dyDescent="0.3">
      <c r="A3493" s="2">
        <v>694</v>
      </c>
      <c r="B3493" t="s">
        <v>1794</v>
      </c>
      <c r="C3493" t="s">
        <v>3221</v>
      </c>
      <c r="D3493" s="2">
        <v>2</v>
      </c>
      <c r="E3493" s="11" t="s">
        <v>1180</v>
      </c>
      <c r="F3493" t="s">
        <v>114</v>
      </c>
      <c r="G3493" s="2" t="s">
        <v>23</v>
      </c>
      <c r="H3493" s="1">
        <v>169.49400000000003</v>
      </c>
    </row>
    <row r="3494" spans="1:8" x14ac:dyDescent="0.3">
      <c r="A3494" s="2">
        <v>694</v>
      </c>
      <c r="B3494" t="s">
        <v>1534</v>
      </c>
      <c r="C3494" t="s">
        <v>3233</v>
      </c>
      <c r="D3494" s="2">
        <v>1</v>
      </c>
      <c r="E3494" s="11" t="s">
        <v>1278</v>
      </c>
      <c r="F3494" t="s">
        <v>114</v>
      </c>
      <c r="G3494" s="2" t="s">
        <v>4</v>
      </c>
      <c r="H3494" s="1">
        <v>100.59400000000001</v>
      </c>
    </row>
    <row r="3495" spans="1:8" x14ac:dyDescent="0.3">
      <c r="A3495" s="2">
        <v>694</v>
      </c>
      <c r="B3495" t="s">
        <v>1569</v>
      </c>
      <c r="C3495" t="s">
        <v>3233</v>
      </c>
      <c r="D3495" s="2">
        <v>1</v>
      </c>
      <c r="E3495" s="11" t="s">
        <v>1278</v>
      </c>
      <c r="F3495" t="s">
        <v>114</v>
      </c>
      <c r="G3495" s="2" t="s">
        <v>31</v>
      </c>
      <c r="H3495" s="1">
        <v>100.59400000000001</v>
      </c>
    </row>
    <row r="3496" spans="1:8" x14ac:dyDescent="0.3">
      <c r="A3496" s="2">
        <v>694</v>
      </c>
      <c r="B3496" t="s">
        <v>1802</v>
      </c>
      <c r="C3496" t="s">
        <v>3233</v>
      </c>
      <c r="D3496" s="2">
        <v>1</v>
      </c>
      <c r="E3496" s="11" t="s">
        <v>1278</v>
      </c>
      <c r="F3496" t="s">
        <v>114</v>
      </c>
      <c r="G3496" s="2" t="s">
        <v>23</v>
      </c>
      <c r="H3496" s="1">
        <v>100.59400000000001</v>
      </c>
    </row>
    <row r="3497" spans="1:8" x14ac:dyDescent="0.3">
      <c r="A3497" s="2">
        <v>694</v>
      </c>
      <c r="B3497" t="s">
        <v>1506</v>
      </c>
      <c r="C3497" t="s">
        <v>3224</v>
      </c>
      <c r="D3497" s="2">
        <v>1</v>
      </c>
      <c r="E3497" s="11" t="s">
        <v>1399</v>
      </c>
      <c r="F3497" t="s">
        <v>114</v>
      </c>
      <c r="G3497" s="2" t="s">
        <v>31</v>
      </c>
      <c r="H3497" s="1">
        <v>63.494000000000007</v>
      </c>
    </row>
    <row r="3498" spans="1:8" x14ac:dyDescent="0.3">
      <c r="A3498" s="2">
        <v>694</v>
      </c>
      <c r="B3498" t="s">
        <v>1400</v>
      </c>
      <c r="C3498" t="s">
        <v>3224</v>
      </c>
      <c r="D3498" s="2">
        <v>1</v>
      </c>
      <c r="E3498" s="11" t="s">
        <v>1399</v>
      </c>
      <c r="F3498" t="s">
        <v>114</v>
      </c>
      <c r="G3498" s="2" t="s">
        <v>23</v>
      </c>
      <c r="H3498" s="1">
        <v>63.494000000000007</v>
      </c>
    </row>
    <row r="3499" spans="1:8" x14ac:dyDescent="0.3">
      <c r="A3499" s="2">
        <v>694</v>
      </c>
      <c r="B3499" t="s">
        <v>1701</v>
      </c>
      <c r="C3499" t="s">
        <v>0</v>
      </c>
      <c r="D3499" s="2">
        <v>1</v>
      </c>
      <c r="E3499" s="11" t="s">
        <v>549</v>
      </c>
      <c r="F3499" t="s">
        <v>114</v>
      </c>
      <c r="G3499" s="2" t="s">
        <v>31</v>
      </c>
      <c r="H3499" s="1">
        <v>164.19400000000002</v>
      </c>
    </row>
    <row r="3500" spans="1:8" x14ac:dyDescent="0.3">
      <c r="A3500" s="2">
        <v>694</v>
      </c>
      <c r="B3500" t="s">
        <v>558</v>
      </c>
      <c r="C3500" t="s">
        <v>0</v>
      </c>
      <c r="D3500" s="2">
        <v>1</v>
      </c>
      <c r="E3500" s="11" t="s">
        <v>549</v>
      </c>
      <c r="F3500" t="s">
        <v>114</v>
      </c>
      <c r="G3500" s="2" t="s">
        <v>23</v>
      </c>
      <c r="H3500" s="1">
        <v>164.19400000000002</v>
      </c>
    </row>
    <row r="3501" spans="1:8" x14ac:dyDescent="0.3">
      <c r="A3501" s="2">
        <v>694</v>
      </c>
      <c r="B3501" t="s">
        <v>1697</v>
      </c>
      <c r="C3501" t="s">
        <v>3225</v>
      </c>
      <c r="D3501" s="2">
        <v>1</v>
      </c>
      <c r="E3501" s="11" t="s">
        <v>932</v>
      </c>
      <c r="F3501" t="s">
        <v>47</v>
      </c>
      <c r="G3501" s="2" t="s">
        <v>31</v>
      </c>
      <c r="H3501" s="1">
        <v>174.79400000000001</v>
      </c>
    </row>
    <row r="3502" spans="1:8" x14ac:dyDescent="0.3">
      <c r="A3502" s="2">
        <v>694</v>
      </c>
      <c r="B3502" t="s">
        <v>1586</v>
      </c>
      <c r="C3502" t="s">
        <v>3225</v>
      </c>
      <c r="D3502" s="2">
        <v>1</v>
      </c>
      <c r="E3502" s="11" t="s">
        <v>932</v>
      </c>
      <c r="F3502" t="s">
        <v>47</v>
      </c>
      <c r="G3502" s="2" t="s">
        <v>23</v>
      </c>
      <c r="H3502" s="1">
        <v>174.79400000000001</v>
      </c>
    </row>
    <row r="3503" spans="1:8" x14ac:dyDescent="0.3">
      <c r="A3503" s="2">
        <v>694</v>
      </c>
      <c r="B3503" t="s">
        <v>1755</v>
      </c>
      <c r="C3503" t="s">
        <v>3</v>
      </c>
      <c r="D3503" s="2">
        <v>1</v>
      </c>
      <c r="E3503" s="11" t="s">
        <v>1356</v>
      </c>
      <c r="F3503" t="s">
        <v>47</v>
      </c>
      <c r="G3503" s="2" t="s">
        <v>4</v>
      </c>
      <c r="H3503" s="1">
        <v>111.19400000000002</v>
      </c>
    </row>
    <row r="3504" spans="1:8" x14ac:dyDescent="0.3">
      <c r="A3504" s="2">
        <v>694</v>
      </c>
      <c r="B3504" t="s">
        <v>1555</v>
      </c>
      <c r="C3504" t="s">
        <v>3</v>
      </c>
      <c r="D3504" s="2">
        <v>1</v>
      </c>
      <c r="E3504" s="11" t="s">
        <v>1356</v>
      </c>
      <c r="F3504" t="s">
        <v>47</v>
      </c>
      <c r="G3504" s="2" t="s">
        <v>31</v>
      </c>
      <c r="H3504" s="1">
        <v>111.19400000000002</v>
      </c>
    </row>
    <row r="3505" spans="1:8" x14ac:dyDescent="0.3">
      <c r="A3505" s="2">
        <v>694</v>
      </c>
      <c r="B3505" t="s">
        <v>1833</v>
      </c>
      <c r="C3505" t="s">
        <v>3</v>
      </c>
      <c r="D3505" s="2">
        <v>1</v>
      </c>
      <c r="E3505" s="11" t="s">
        <v>1356</v>
      </c>
      <c r="F3505" t="s">
        <v>47</v>
      </c>
      <c r="G3505" s="2" t="s">
        <v>23</v>
      </c>
      <c r="H3505" s="1">
        <v>111.19400000000002</v>
      </c>
    </row>
    <row r="3506" spans="1:8" x14ac:dyDescent="0.3">
      <c r="A3506" s="2">
        <v>694</v>
      </c>
      <c r="B3506" t="s">
        <v>1554</v>
      </c>
      <c r="C3506" t="s">
        <v>3221</v>
      </c>
      <c r="D3506" s="2">
        <v>1</v>
      </c>
      <c r="E3506" s="11" t="s">
        <v>1180</v>
      </c>
      <c r="F3506" t="s">
        <v>47</v>
      </c>
      <c r="G3506" s="2" t="s">
        <v>4</v>
      </c>
      <c r="H3506" s="1">
        <v>169.49400000000003</v>
      </c>
    </row>
    <row r="3507" spans="1:8" x14ac:dyDescent="0.3">
      <c r="A3507" s="2">
        <v>694</v>
      </c>
      <c r="B3507" t="s">
        <v>1181</v>
      </c>
      <c r="C3507" t="s">
        <v>3221</v>
      </c>
      <c r="D3507" s="2">
        <v>1</v>
      </c>
      <c r="E3507" s="11" t="s">
        <v>1180</v>
      </c>
      <c r="F3507" t="s">
        <v>47</v>
      </c>
      <c r="G3507" s="2" t="s">
        <v>31</v>
      </c>
      <c r="H3507" s="1">
        <v>169.49400000000003</v>
      </c>
    </row>
    <row r="3508" spans="1:8" x14ac:dyDescent="0.3">
      <c r="A3508" s="2">
        <v>694</v>
      </c>
      <c r="B3508" t="s">
        <v>1700</v>
      </c>
      <c r="C3508" t="s">
        <v>3221</v>
      </c>
      <c r="D3508" s="2">
        <v>1</v>
      </c>
      <c r="E3508" s="11" t="s">
        <v>1180</v>
      </c>
      <c r="F3508" t="s">
        <v>47</v>
      </c>
      <c r="G3508" s="2" t="s">
        <v>23</v>
      </c>
      <c r="H3508" s="1">
        <v>169.49400000000003</v>
      </c>
    </row>
    <row r="3509" spans="1:8" x14ac:dyDescent="0.3">
      <c r="A3509" s="2">
        <v>694</v>
      </c>
      <c r="B3509" t="s">
        <v>1699</v>
      </c>
      <c r="C3509" t="s">
        <v>3224</v>
      </c>
      <c r="D3509" s="2">
        <v>1</v>
      </c>
      <c r="E3509" s="11" t="s">
        <v>1399</v>
      </c>
      <c r="F3509" t="s">
        <v>47</v>
      </c>
      <c r="G3509" s="2" t="s">
        <v>31</v>
      </c>
      <c r="H3509" s="1">
        <v>63.494000000000007</v>
      </c>
    </row>
    <row r="3510" spans="1:8" x14ac:dyDescent="0.3">
      <c r="A3510" s="2">
        <v>694</v>
      </c>
      <c r="B3510" t="s">
        <v>1632</v>
      </c>
      <c r="C3510" t="s">
        <v>3224</v>
      </c>
      <c r="D3510" s="2">
        <v>1</v>
      </c>
      <c r="E3510" s="11" t="s">
        <v>1399</v>
      </c>
      <c r="F3510" t="s">
        <v>47</v>
      </c>
      <c r="G3510" s="2" t="s">
        <v>23</v>
      </c>
      <c r="H3510" s="1">
        <v>63.494000000000007</v>
      </c>
    </row>
    <row r="3511" spans="1:8" x14ac:dyDescent="0.3">
      <c r="A3511" s="2">
        <v>694</v>
      </c>
      <c r="B3511" t="s">
        <v>1832</v>
      </c>
      <c r="C3511" t="s">
        <v>3</v>
      </c>
      <c r="D3511" s="2">
        <v>1</v>
      </c>
      <c r="E3511" s="11" t="s">
        <v>1356</v>
      </c>
      <c r="F3511" t="s">
        <v>39</v>
      </c>
      <c r="G3511" s="2" t="s">
        <v>4</v>
      </c>
      <c r="H3511" s="1">
        <v>111.19400000000002</v>
      </c>
    </row>
    <row r="3512" spans="1:8" x14ac:dyDescent="0.3">
      <c r="A3512" s="2">
        <v>694</v>
      </c>
      <c r="B3512" t="s">
        <v>1516</v>
      </c>
      <c r="C3512" t="s">
        <v>3</v>
      </c>
      <c r="D3512" s="2">
        <v>1</v>
      </c>
      <c r="E3512" s="11" t="s">
        <v>1356</v>
      </c>
      <c r="F3512" t="s">
        <v>39</v>
      </c>
      <c r="G3512" s="2" t="s">
        <v>31</v>
      </c>
      <c r="H3512" s="1">
        <v>111.19400000000002</v>
      </c>
    </row>
    <row r="3513" spans="1:8" x14ac:dyDescent="0.3">
      <c r="A3513" s="2">
        <v>694</v>
      </c>
      <c r="B3513" t="s">
        <v>1392</v>
      </c>
      <c r="C3513" t="s">
        <v>3</v>
      </c>
      <c r="D3513" s="2">
        <v>1</v>
      </c>
      <c r="E3513" s="11" t="s">
        <v>1356</v>
      </c>
      <c r="F3513" t="s">
        <v>39</v>
      </c>
      <c r="G3513" s="2" t="s">
        <v>23</v>
      </c>
      <c r="H3513" s="1">
        <v>111.19400000000002</v>
      </c>
    </row>
    <row r="3514" spans="1:8" x14ac:dyDescent="0.3">
      <c r="A3514" s="2">
        <v>694</v>
      </c>
      <c r="B3514" t="s">
        <v>1378</v>
      </c>
      <c r="C3514" t="s">
        <v>3221</v>
      </c>
      <c r="D3514" s="2">
        <v>1</v>
      </c>
      <c r="E3514" s="11" t="s">
        <v>1180</v>
      </c>
      <c r="F3514" t="s">
        <v>39</v>
      </c>
      <c r="G3514" s="2" t="s">
        <v>4</v>
      </c>
      <c r="H3514" s="1">
        <v>169.49400000000003</v>
      </c>
    </row>
    <row r="3515" spans="1:8" x14ac:dyDescent="0.3">
      <c r="A3515" s="2">
        <v>694</v>
      </c>
      <c r="B3515" t="s">
        <v>1515</v>
      </c>
      <c r="C3515" t="s">
        <v>3221</v>
      </c>
      <c r="D3515" s="2">
        <v>1</v>
      </c>
      <c r="E3515" s="11" t="s">
        <v>1180</v>
      </c>
      <c r="F3515" t="s">
        <v>39</v>
      </c>
      <c r="G3515" s="2" t="s">
        <v>31</v>
      </c>
      <c r="H3515" s="1">
        <v>169.49400000000003</v>
      </c>
    </row>
    <row r="3516" spans="1:8" x14ac:dyDescent="0.3">
      <c r="A3516" s="2">
        <v>694</v>
      </c>
      <c r="B3516" t="s">
        <v>1425</v>
      </c>
      <c r="C3516" t="s">
        <v>3221</v>
      </c>
      <c r="D3516" s="2">
        <v>1</v>
      </c>
      <c r="E3516" s="11" t="s">
        <v>1180</v>
      </c>
      <c r="F3516" t="s">
        <v>39</v>
      </c>
      <c r="G3516" s="2" t="s">
        <v>23</v>
      </c>
      <c r="H3516" s="1">
        <v>169.49400000000003</v>
      </c>
    </row>
    <row r="3517" spans="1:8" x14ac:dyDescent="0.3">
      <c r="A3517" s="2">
        <v>694</v>
      </c>
      <c r="B3517" t="s">
        <v>1358</v>
      </c>
      <c r="C3517" t="s">
        <v>0</v>
      </c>
      <c r="D3517" s="2">
        <v>1</v>
      </c>
      <c r="E3517" s="11" t="s">
        <v>1106</v>
      </c>
      <c r="F3517" t="s">
        <v>39</v>
      </c>
      <c r="G3517" s="2" t="s">
        <v>4</v>
      </c>
      <c r="H3517" s="1">
        <v>185.39400000000001</v>
      </c>
    </row>
    <row r="3518" spans="1:8" x14ac:dyDescent="0.3">
      <c r="A3518" s="2">
        <v>694</v>
      </c>
      <c r="B3518" t="s">
        <v>1825</v>
      </c>
      <c r="C3518" t="s">
        <v>0</v>
      </c>
      <c r="D3518" s="2">
        <v>1</v>
      </c>
      <c r="E3518" s="11" t="s">
        <v>1106</v>
      </c>
      <c r="F3518" t="s">
        <v>39</v>
      </c>
      <c r="G3518" s="2" t="s">
        <v>31</v>
      </c>
      <c r="H3518" s="1">
        <v>185.39400000000001</v>
      </c>
    </row>
    <row r="3519" spans="1:8" x14ac:dyDescent="0.3">
      <c r="A3519" s="2">
        <v>694</v>
      </c>
      <c r="B3519" t="s">
        <v>1710</v>
      </c>
      <c r="C3519" t="s">
        <v>0</v>
      </c>
      <c r="D3519" s="2">
        <v>1</v>
      </c>
      <c r="E3519" s="11" t="s">
        <v>1106</v>
      </c>
      <c r="F3519" t="s">
        <v>39</v>
      </c>
      <c r="G3519" s="2" t="s">
        <v>23</v>
      </c>
      <c r="H3519" s="1">
        <v>185.39400000000001</v>
      </c>
    </row>
    <row r="3520" spans="1:8" x14ac:dyDescent="0.3">
      <c r="A3520" s="2">
        <v>694</v>
      </c>
      <c r="B3520" t="s">
        <v>1282</v>
      </c>
      <c r="C3520" t="s">
        <v>3233</v>
      </c>
      <c r="D3520" s="2">
        <v>1</v>
      </c>
      <c r="E3520" s="11" t="s">
        <v>1278</v>
      </c>
      <c r="F3520" t="s">
        <v>39</v>
      </c>
      <c r="G3520" s="2" t="s">
        <v>4</v>
      </c>
      <c r="H3520" s="1">
        <v>100.59400000000001</v>
      </c>
    </row>
    <row r="3521" spans="1:8" x14ac:dyDescent="0.3">
      <c r="A3521" s="2">
        <v>694</v>
      </c>
      <c r="B3521" t="s">
        <v>1660</v>
      </c>
      <c r="C3521" t="s">
        <v>3233</v>
      </c>
      <c r="D3521" s="2">
        <v>1</v>
      </c>
      <c r="E3521" s="11" t="s">
        <v>1278</v>
      </c>
      <c r="F3521" t="s">
        <v>39</v>
      </c>
      <c r="G3521" s="2" t="s">
        <v>31</v>
      </c>
      <c r="H3521" s="1">
        <v>100.59400000000001</v>
      </c>
    </row>
    <row r="3522" spans="1:8" x14ac:dyDescent="0.3">
      <c r="A3522" s="2">
        <v>694</v>
      </c>
      <c r="B3522" t="s">
        <v>1823</v>
      </c>
      <c r="C3522" t="s">
        <v>3233</v>
      </c>
      <c r="D3522" s="2">
        <v>2</v>
      </c>
      <c r="E3522" s="11" t="s">
        <v>1278</v>
      </c>
      <c r="F3522" t="s">
        <v>39</v>
      </c>
      <c r="G3522" s="2" t="s">
        <v>23</v>
      </c>
      <c r="H3522" s="1">
        <v>100.59400000000001</v>
      </c>
    </row>
    <row r="3523" spans="1:8" x14ac:dyDescent="0.3">
      <c r="A3523" s="2">
        <v>694</v>
      </c>
      <c r="B3523" t="s">
        <v>1550</v>
      </c>
      <c r="C3523" t="s">
        <v>3225</v>
      </c>
      <c r="D3523" s="2">
        <v>1</v>
      </c>
      <c r="E3523" s="11" t="s">
        <v>932</v>
      </c>
      <c r="F3523" t="s">
        <v>28</v>
      </c>
      <c r="G3523" s="2" t="s">
        <v>4</v>
      </c>
      <c r="H3523" s="1">
        <v>174.79400000000001</v>
      </c>
    </row>
    <row r="3524" spans="1:8" x14ac:dyDescent="0.3">
      <c r="A3524" s="2">
        <v>694</v>
      </c>
      <c r="B3524" t="s">
        <v>1831</v>
      </c>
      <c r="C3524" t="s">
        <v>3225</v>
      </c>
      <c r="D3524" s="2">
        <v>1</v>
      </c>
      <c r="E3524" s="11" t="s">
        <v>932</v>
      </c>
      <c r="F3524" t="s">
        <v>28</v>
      </c>
      <c r="G3524" s="2" t="s">
        <v>31</v>
      </c>
      <c r="H3524" s="1">
        <v>174.79400000000001</v>
      </c>
    </row>
    <row r="3525" spans="1:8" x14ac:dyDescent="0.3">
      <c r="A3525" s="2">
        <v>694</v>
      </c>
      <c r="B3525" t="s">
        <v>1830</v>
      </c>
      <c r="C3525" t="s">
        <v>3225</v>
      </c>
      <c r="D3525" s="2">
        <v>1</v>
      </c>
      <c r="E3525" s="11" t="s">
        <v>932</v>
      </c>
      <c r="F3525" t="s">
        <v>28</v>
      </c>
      <c r="G3525" s="2" t="s">
        <v>23</v>
      </c>
      <c r="H3525" s="1">
        <v>174.79400000000001</v>
      </c>
    </row>
    <row r="3526" spans="1:8" x14ac:dyDescent="0.3">
      <c r="A3526" s="2">
        <v>694</v>
      </c>
      <c r="B3526" t="s">
        <v>1822</v>
      </c>
      <c r="C3526" t="s">
        <v>0</v>
      </c>
      <c r="D3526" s="2">
        <v>1</v>
      </c>
      <c r="E3526" s="11" t="s">
        <v>1106</v>
      </c>
      <c r="F3526" t="s">
        <v>28</v>
      </c>
      <c r="G3526" s="2" t="s">
        <v>31</v>
      </c>
      <c r="H3526" s="1">
        <v>185.39400000000001</v>
      </c>
    </row>
    <row r="3527" spans="1:8" x14ac:dyDescent="0.3">
      <c r="A3527" s="2">
        <v>694</v>
      </c>
      <c r="B3527" t="s">
        <v>1821</v>
      </c>
      <c r="C3527" t="s">
        <v>0</v>
      </c>
      <c r="D3527" s="2">
        <v>1</v>
      </c>
      <c r="E3527" s="11" t="s">
        <v>1106</v>
      </c>
      <c r="F3527" t="s">
        <v>28</v>
      </c>
      <c r="G3527" s="2" t="s">
        <v>23</v>
      </c>
      <c r="H3527" s="1">
        <v>185.39400000000001</v>
      </c>
    </row>
    <row r="3528" spans="1:8" x14ac:dyDescent="0.3">
      <c r="A3528" s="2">
        <v>694</v>
      </c>
      <c r="B3528" t="s">
        <v>1567</v>
      </c>
      <c r="C3528" t="s">
        <v>3233</v>
      </c>
      <c r="D3528" s="2">
        <v>1</v>
      </c>
      <c r="E3528" s="11" t="s">
        <v>1278</v>
      </c>
      <c r="F3528" t="s">
        <v>28</v>
      </c>
      <c r="G3528" s="2" t="s">
        <v>31</v>
      </c>
      <c r="H3528" s="1">
        <v>100.59400000000001</v>
      </c>
    </row>
    <row r="3529" spans="1:8" x14ac:dyDescent="0.3">
      <c r="A3529" s="2">
        <v>694</v>
      </c>
      <c r="B3529" t="s">
        <v>1820</v>
      </c>
      <c r="C3529" t="s">
        <v>3233</v>
      </c>
      <c r="D3529" s="2">
        <v>2</v>
      </c>
      <c r="E3529" s="11" t="s">
        <v>1278</v>
      </c>
      <c r="F3529" t="s">
        <v>28</v>
      </c>
      <c r="G3529" s="2" t="s">
        <v>23</v>
      </c>
      <c r="H3529" s="1">
        <v>100.59400000000001</v>
      </c>
    </row>
    <row r="3530" spans="1:8" x14ac:dyDescent="0.3">
      <c r="A3530" s="2">
        <v>695</v>
      </c>
      <c r="B3530" t="s">
        <v>1232</v>
      </c>
      <c r="C3530" t="s">
        <v>3224</v>
      </c>
      <c r="D3530" s="2">
        <v>1</v>
      </c>
      <c r="E3530" s="11" t="s">
        <v>1231</v>
      </c>
      <c r="F3530" t="s">
        <v>114</v>
      </c>
      <c r="G3530" s="2" t="s">
        <v>31</v>
      </c>
      <c r="H3530" s="1">
        <v>105.89400000000001</v>
      </c>
    </row>
    <row r="3531" spans="1:8" x14ac:dyDescent="0.3">
      <c r="A3531" s="2">
        <v>695</v>
      </c>
      <c r="B3531" t="s">
        <v>1788</v>
      </c>
      <c r="C3531" t="s">
        <v>3224</v>
      </c>
      <c r="D3531" s="2">
        <v>2</v>
      </c>
      <c r="E3531" s="11" t="s">
        <v>1231</v>
      </c>
      <c r="F3531" t="s">
        <v>114</v>
      </c>
      <c r="G3531" s="2" t="s">
        <v>23</v>
      </c>
      <c r="H3531" s="1">
        <v>105.89400000000001</v>
      </c>
    </row>
    <row r="3532" spans="1:8" x14ac:dyDescent="0.3">
      <c r="A3532" s="2">
        <v>695</v>
      </c>
      <c r="B3532" t="s">
        <v>1829</v>
      </c>
      <c r="C3532" t="s">
        <v>3233</v>
      </c>
      <c r="D3532" s="2">
        <v>1</v>
      </c>
      <c r="E3532" s="11" t="s">
        <v>862</v>
      </c>
      <c r="F3532" t="s">
        <v>114</v>
      </c>
      <c r="G3532" s="2" t="s">
        <v>31</v>
      </c>
      <c r="H3532" s="1">
        <v>68.794000000000011</v>
      </c>
    </row>
    <row r="3533" spans="1:8" x14ac:dyDescent="0.3">
      <c r="A3533" s="2">
        <v>695</v>
      </c>
      <c r="B3533" t="s">
        <v>863</v>
      </c>
      <c r="C3533" t="s">
        <v>3233</v>
      </c>
      <c r="D3533" s="2">
        <v>3</v>
      </c>
      <c r="E3533" s="11" t="s">
        <v>862</v>
      </c>
      <c r="F3533" t="s">
        <v>114</v>
      </c>
      <c r="G3533" s="2" t="s">
        <v>23</v>
      </c>
      <c r="H3533" s="1">
        <v>68.794000000000011</v>
      </c>
    </row>
    <row r="3534" spans="1:8" x14ac:dyDescent="0.3">
      <c r="A3534" s="2">
        <v>695</v>
      </c>
      <c r="B3534" t="s">
        <v>1828</v>
      </c>
      <c r="C3534" t="s">
        <v>3233</v>
      </c>
      <c r="D3534" s="2">
        <v>4</v>
      </c>
      <c r="E3534" s="11" t="s">
        <v>1096</v>
      </c>
      <c r="F3534" t="s">
        <v>114</v>
      </c>
      <c r="G3534" s="2" t="s">
        <v>23</v>
      </c>
      <c r="H3534" s="1">
        <v>132.39400000000001</v>
      </c>
    </row>
    <row r="3535" spans="1:8" x14ac:dyDescent="0.3">
      <c r="A3535" s="2">
        <v>695</v>
      </c>
      <c r="B3535" t="s">
        <v>1569</v>
      </c>
      <c r="C3535" t="s">
        <v>3233</v>
      </c>
      <c r="D3535" s="2">
        <v>1</v>
      </c>
      <c r="E3535" s="11" t="s">
        <v>1278</v>
      </c>
      <c r="F3535" t="s">
        <v>114</v>
      </c>
      <c r="G3535" s="2" t="s">
        <v>31</v>
      </c>
      <c r="H3535" s="1">
        <v>100.59400000000001</v>
      </c>
    </row>
    <row r="3536" spans="1:8" x14ac:dyDescent="0.3">
      <c r="A3536" s="2">
        <v>695</v>
      </c>
      <c r="B3536" t="s">
        <v>1802</v>
      </c>
      <c r="C3536" t="s">
        <v>3233</v>
      </c>
      <c r="D3536" s="2">
        <v>3</v>
      </c>
      <c r="E3536" s="11" t="s">
        <v>1278</v>
      </c>
      <c r="F3536" t="s">
        <v>114</v>
      </c>
      <c r="G3536" s="2" t="s">
        <v>23</v>
      </c>
      <c r="H3536" s="1">
        <v>100.59400000000001</v>
      </c>
    </row>
    <row r="3537" spans="1:8" x14ac:dyDescent="0.3">
      <c r="A3537" s="2">
        <v>695</v>
      </c>
      <c r="B3537" t="s">
        <v>1809</v>
      </c>
      <c r="C3537" t="s">
        <v>3233</v>
      </c>
      <c r="D3537" s="2">
        <v>1</v>
      </c>
      <c r="E3537" s="11" t="s">
        <v>862</v>
      </c>
      <c r="F3537" t="s">
        <v>47</v>
      </c>
      <c r="G3537" s="2" t="s">
        <v>31</v>
      </c>
      <c r="H3537" s="1">
        <v>68.794000000000011</v>
      </c>
    </row>
    <row r="3538" spans="1:8" x14ac:dyDescent="0.3">
      <c r="A3538" s="2">
        <v>695</v>
      </c>
      <c r="B3538" t="s">
        <v>1827</v>
      </c>
      <c r="C3538" t="s">
        <v>3233</v>
      </c>
      <c r="D3538" s="2">
        <v>3</v>
      </c>
      <c r="E3538" s="11" t="s">
        <v>862</v>
      </c>
      <c r="F3538" t="s">
        <v>47</v>
      </c>
      <c r="G3538" s="2" t="s">
        <v>23</v>
      </c>
      <c r="H3538" s="1">
        <v>68.794000000000011</v>
      </c>
    </row>
    <row r="3539" spans="1:8" x14ac:dyDescent="0.3">
      <c r="A3539" s="2">
        <v>695</v>
      </c>
      <c r="B3539" t="s">
        <v>1826</v>
      </c>
      <c r="C3539" t="s">
        <v>2</v>
      </c>
      <c r="D3539" s="2">
        <v>1</v>
      </c>
      <c r="E3539" s="11" t="s">
        <v>86</v>
      </c>
      <c r="F3539" t="s">
        <v>47</v>
      </c>
      <c r="G3539" s="2" t="s">
        <v>31</v>
      </c>
      <c r="H3539" s="1">
        <v>95.294000000000011</v>
      </c>
    </row>
    <row r="3540" spans="1:8" x14ac:dyDescent="0.3">
      <c r="A3540" s="2">
        <v>695</v>
      </c>
      <c r="B3540" t="s">
        <v>105</v>
      </c>
      <c r="C3540" t="s">
        <v>2</v>
      </c>
      <c r="D3540" s="2">
        <v>2</v>
      </c>
      <c r="E3540" s="11" t="s">
        <v>86</v>
      </c>
      <c r="F3540" t="s">
        <v>47</v>
      </c>
      <c r="G3540" s="2" t="s">
        <v>23</v>
      </c>
      <c r="H3540" s="1">
        <v>95.294000000000011</v>
      </c>
    </row>
    <row r="3541" spans="1:8" x14ac:dyDescent="0.3">
      <c r="A3541" s="2">
        <v>695</v>
      </c>
      <c r="B3541" t="s">
        <v>981</v>
      </c>
      <c r="C3541" t="s">
        <v>3219</v>
      </c>
      <c r="D3541" s="2">
        <v>1</v>
      </c>
      <c r="E3541" s="11" t="s">
        <v>892</v>
      </c>
      <c r="F3541" t="s">
        <v>39</v>
      </c>
      <c r="G3541" s="2" t="s">
        <v>31</v>
      </c>
      <c r="H3541" s="1">
        <v>158.89400000000001</v>
      </c>
    </row>
    <row r="3542" spans="1:8" x14ac:dyDescent="0.3">
      <c r="A3542" s="2">
        <v>695</v>
      </c>
      <c r="B3542" t="s">
        <v>1069</v>
      </c>
      <c r="C3542" t="s">
        <v>3219</v>
      </c>
      <c r="D3542" s="2">
        <v>1</v>
      </c>
      <c r="E3542" s="11" t="s">
        <v>892</v>
      </c>
      <c r="F3542" t="s">
        <v>39</v>
      </c>
      <c r="G3542" s="2" t="s">
        <v>23</v>
      </c>
      <c r="H3542" s="1">
        <v>158.89400000000001</v>
      </c>
    </row>
    <row r="3543" spans="1:8" x14ac:dyDescent="0.3">
      <c r="A3543" s="2">
        <v>695</v>
      </c>
      <c r="B3543" t="s">
        <v>1825</v>
      </c>
      <c r="C3543" t="s">
        <v>0</v>
      </c>
      <c r="D3543" s="2">
        <v>1</v>
      </c>
      <c r="E3543" s="11" t="s">
        <v>1106</v>
      </c>
      <c r="F3543" t="s">
        <v>39</v>
      </c>
      <c r="G3543" s="2" t="s">
        <v>31</v>
      </c>
      <c r="H3543" s="1">
        <v>185.39400000000001</v>
      </c>
    </row>
    <row r="3544" spans="1:8" x14ac:dyDescent="0.3">
      <c r="A3544" s="2">
        <v>695</v>
      </c>
      <c r="B3544" t="s">
        <v>1710</v>
      </c>
      <c r="C3544" t="s">
        <v>0</v>
      </c>
      <c r="D3544" s="2">
        <v>1</v>
      </c>
      <c r="E3544" s="11" t="s">
        <v>1106</v>
      </c>
      <c r="F3544" t="s">
        <v>39</v>
      </c>
      <c r="G3544" s="2" t="s">
        <v>23</v>
      </c>
      <c r="H3544" s="1">
        <v>185.39400000000001</v>
      </c>
    </row>
    <row r="3545" spans="1:8" x14ac:dyDescent="0.3">
      <c r="A3545" s="2">
        <v>695</v>
      </c>
      <c r="B3545" t="s">
        <v>1824</v>
      </c>
      <c r="C3545" t="s">
        <v>3233</v>
      </c>
      <c r="D3545" s="2">
        <v>1</v>
      </c>
      <c r="E3545" s="11" t="s">
        <v>1096</v>
      </c>
      <c r="F3545" t="s">
        <v>39</v>
      </c>
      <c r="G3545" s="2" t="s">
        <v>23</v>
      </c>
      <c r="H3545" s="1">
        <v>132.39400000000001</v>
      </c>
    </row>
    <row r="3546" spans="1:8" x14ac:dyDescent="0.3">
      <c r="A3546" s="2">
        <v>695</v>
      </c>
      <c r="B3546" t="s">
        <v>1660</v>
      </c>
      <c r="C3546" t="s">
        <v>3233</v>
      </c>
      <c r="D3546" s="2">
        <v>1</v>
      </c>
      <c r="E3546" s="11" t="s">
        <v>1278</v>
      </c>
      <c r="F3546" t="s">
        <v>39</v>
      </c>
      <c r="G3546" s="2" t="s">
        <v>31</v>
      </c>
      <c r="H3546" s="1">
        <v>100.59400000000001</v>
      </c>
    </row>
    <row r="3547" spans="1:8" x14ac:dyDescent="0.3">
      <c r="A3547" s="2">
        <v>695</v>
      </c>
      <c r="B3547" t="s">
        <v>1823</v>
      </c>
      <c r="C3547" t="s">
        <v>3233</v>
      </c>
      <c r="D3547" s="2">
        <v>2</v>
      </c>
      <c r="E3547" s="11" t="s">
        <v>1278</v>
      </c>
      <c r="F3547" t="s">
        <v>39</v>
      </c>
      <c r="G3547" s="2" t="s">
        <v>23</v>
      </c>
      <c r="H3547" s="1">
        <v>100.59400000000001</v>
      </c>
    </row>
    <row r="3548" spans="1:8" x14ac:dyDescent="0.3">
      <c r="A3548" s="2">
        <v>695</v>
      </c>
      <c r="B3548" t="s">
        <v>1822</v>
      </c>
      <c r="C3548" t="s">
        <v>0</v>
      </c>
      <c r="D3548" s="2">
        <v>1</v>
      </c>
      <c r="E3548" s="11" t="s">
        <v>1106</v>
      </c>
      <c r="F3548" t="s">
        <v>28</v>
      </c>
      <c r="G3548" s="2" t="s">
        <v>31</v>
      </c>
      <c r="H3548" s="1">
        <v>185.39400000000001</v>
      </c>
    </row>
    <row r="3549" spans="1:8" x14ac:dyDescent="0.3">
      <c r="A3549" s="2">
        <v>695</v>
      </c>
      <c r="B3549" t="s">
        <v>1821</v>
      </c>
      <c r="C3549" t="s">
        <v>0</v>
      </c>
      <c r="D3549" s="2">
        <v>1</v>
      </c>
      <c r="E3549" s="11" t="s">
        <v>1106</v>
      </c>
      <c r="F3549" t="s">
        <v>28</v>
      </c>
      <c r="G3549" s="2" t="s">
        <v>23</v>
      </c>
      <c r="H3549" s="1">
        <v>185.39400000000001</v>
      </c>
    </row>
    <row r="3550" spans="1:8" x14ac:dyDescent="0.3">
      <c r="A3550" s="2">
        <v>695</v>
      </c>
      <c r="B3550" t="s">
        <v>1567</v>
      </c>
      <c r="C3550" t="s">
        <v>3233</v>
      </c>
      <c r="D3550" s="2">
        <v>1</v>
      </c>
      <c r="E3550" s="11" t="s">
        <v>1278</v>
      </c>
      <c r="F3550" t="s">
        <v>28</v>
      </c>
      <c r="G3550" s="2" t="s">
        <v>31</v>
      </c>
      <c r="H3550" s="1">
        <v>100.59400000000001</v>
      </c>
    </row>
    <row r="3551" spans="1:8" x14ac:dyDescent="0.3">
      <c r="A3551" s="2">
        <v>695</v>
      </c>
      <c r="B3551" t="s">
        <v>1820</v>
      </c>
      <c r="C3551" t="s">
        <v>3233</v>
      </c>
      <c r="D3551" s="2">
        <v>3</v>
      </c>
      <c r="E3551" s="11" t="s">
        <v>1278</v>
      </c>
      <c r="F3551" t="s">
        <v>28</v>
      </c>
      <c r="G3551" s="2" t="s">
        <v>23</v>
      </c>
      <c r="H3551" s="1">
        <v>100.59400000000001</v>
      </c>
    </row>
    <row r="3552" spans="1:8" x14ac:dyDescent="0.3">
      <c r="A3552" s="2">
        <v>696</v>
      </c>
      <c r="B3552" t="s">
        <v>727</v>
      </c>
      <c r="C3552" t="s">
        <v>3220</v>
      </c>
      <c r="D3552" s="2">
        <v>1</v>
      </c>
      <c r="E3552" s="11" t="s">
        <v>204</v>
      </c>
      <c r="F3552" t="s">
        <v>65</v>
      </c>
      <c r="G3552" s="2" t="s">
        <v>23</v>
      </c>
      <c r="H3552" s="1">
        <v>42.294000000000004</v>
      </c>
    </row>
    <row r="3553" spans="1:8" x14ac:dyDescent="0.3">
      <c r="A3553" s="2">
        <v>696</v>
      </c>
      <c r="B3553" t="s">
        <v>1470</v>
      </c>
      <c r="C3553" t="s">
        <v>1</v>
      </c>
      <c r="D3553" s="2">
        <v>1</v>
      </c>
      <c r="E3553" s="11" t="s">
        <v>58</v>
      </c>
      <c r="F3553" t="s">
        <v>65</v>
      </c>
      <c r="G3553" s="2" t="s">
        <v>4</v>
      </c>
      <c r="H3553" s="1">
        <v>52.893999999999998</v>
      </c>
    </row>
    <row r="3554" spans="1:8" x14ac:dyDescent="0.3">
      <c r="A3554" s="2">
        <v>696</v>
      </c>
      <c r="B3554" t="s">
        <v>1165</v>
      </c>
      <c r="C3554" t="s">
        <v>1</v>
      </c>
      <c r="D3554" s="2">
        <v>1</v>
      </c>
      <c r="E3554" s="11" t="s">
        <v>58</v>
      </c>
      <c r="F3554" t="s">
        <v>65</v>
      </c>
      <c r="G3554" s="2" t="s">
        <v>31</v>
      </c>
      <c r="H3554" s="1">
        <v>52.893999999999998</v>
      </c>
    </row>
    <row r="3555" spans="1:8" x14ac:dyDescent="0.3">
      <c r="A3555" s="2">
        <v>696</v>
      </c>
      <c r="B3555" t="s">
        <v>1819</v>
      </c>
      <c r="C3555" t="s">
        <v>3217</v>
      </c>
      <c r="D3555" s="2">
        <v>1</v>
      </c>
      <c r="E3555" s="11" t="s">
        <v>1285</v>
      </c>
      <c r="F3555" t="s">
        <v>62</v>
      </c>
      <c r="G3555" s="2" t="s">
        <v>23</v>
      </c>
      <c r="H3555" s="1">
        <v>42.294000000000004</v>
      </c>
    </row>
    <row r="3556" spans="1:8" x14ac:dyDescent="0.3">
      <c r="A3556" s="2">
        <v>696</v>
      </c>
      <c r="B3556" t="s">
        <v>719</v>
      </c>
      <c r="C3556" t="s">
        <v>3220</v>
      </c>
      <c r="D3556" s="2">
        <v>1</v>
      </c>
      <c r="E3556" s="11" t="s">
        <v>204</v>
      </c>
      <c r="F3556" t="s">
        <v>241</v>
      </c>
      <c r="G3556" s="2" t="s">
        <v>23</v>
      </c>
      <c r="H3556" s="1">
        <v>42.294000000000004</v>
      </c>
    </row>
    <row r="3557" spans="1:8" x14ac:dyDescent="0.3">
      <c r="A3557" s="2">
        <v>696</v>
      </c>
      <c r="B3557" t="s">
        <v>1818</v>
      </c>
      <c r="C3557" t="s">
        <v>3217</v>
      </c>
      <c r="D3557" s="2">
        <v>1</v>
      </c>
      <c r="E3557" s="11" t="s">
        <v>1285</v>
      </c>
      <c r="F3557" t="s">
        <v>959</v>
      </c>
      <c r="G3557" s="2" t="s">
        <v>31</v>
      </c>
      <c r="H3557" s="1">
        <v>42.294000000000004</v>
      </c>
    </row>
    <row r="3558" spans="1:8" x14ac:dyDescent="0.3">
      <c r="A3558" s="2">
        <v>696</v>
      </c>
      <c r="B3558" t="s">
        <v>1817</v>
      </c>
      <c r="C3558" t="s">
        <v>1</v>
      </c>
      <c r="D3558" s="2">
        <v>1</v>
      </c>
      <c r="E3558" s="11" t="s">
        <v>222</v>
      </c>
      <c r="F3558" t="s">
        <v>47</v>
      </c>
      <c r="G3558" s="2" t="s">
        <v>31</v>
      </c>
      <c r="H3558" s="1">
        <v>52.893999999999998</v>
      </c>
    </row>
    <row r="3559" spans="1:8" x14ac:dyDescent="0.3">
      <c r="A3559" s="2">
        <v>696</v>
      </c>
      <c r="B3559" t="s">
        <v>206</v>
      </c>
      <c r="C3559" t="s">
        <v>3220</v>
      </c>
      <c r="D3559" s="2">
        <v>1</v>
      </c>
      <c r="E3559" s="11" t="s">
        <v>204</v>
      </c>
      <c r="F3559" t="s">
        <v>47</v>
      </c>
      <c r="G3559" s="2" t="s">
        <v>4</v>
      </c>
      <c r="H3559" s="1">
        <v>42.294000000000004</v>
      </c>
    </row>
    <row r="3560" spans="1:8" x14ac:dyDescent="0.3">
      <c r="A3560" s="2">
        <v>696</v>
      </c>
      <c r="B3560" t="s">
        <v>980</v>
      </c>
      <c r="C3560" t="s">
        <v>2</v>
      </c>
      <c r="D3560" s="2">
        <v>1</v>
      </c>
      <c r="E3560" s="11" t="s">
        <v>43</v>
      </c>
      <c r="F3560" t="s">
        <v>39</v>
      </c>
      <c r="G3560" s="2" t="s">
        <v>31</v>
      </c>
      <c r="H3560" s="1">
        <v>74.094000000000008</v>
      </c>
    </row>
    <row r="3561" spans="1:8" x14ac:dyDescent="0.3">
      <c r="A3561" s="2">
        <v>696</v>
      </c>
      <c r="B3561" t="s">
        <v>1723</v>
      </c>
      <c r="C3561" t="s">
        <v>2</v>
      </c>
      <c r="D3561" s="2">
        <v>1</v>
      </c>
      <c r="E3561" s="11" t="s">
        <v>43</v>
      </c>
      <c r="F3561" t="s">
        <v>39</v>
      </c>
      <c r="G3561" s="2" t="s">
        <v>23</v>
      </c>
      <c r="H3561" s="1">
        <v>74.094000000000008</v>
      </c>
    </row>
    <row r="3562" spans="1:8" x14ac:dyDescent="0.3">
      <c r="A3562" s="2">
        <v>696</v>
      </c>
      <c r="B3562" t="s">
        <v>707</v>
      </c>
      <c r="C3562" t="s">
        <v>3220</v>
      </c>
      <c r="D3562" s="2">
        <v>1</v>
      </c>
      <c r="E3562" s="11" t="s">
        <v>204</v>
      </c>
      <c r="F3562" t="s">
        <v>36</v>
      </c>
      <c r="G3562" s="2" t="s">
        <v>31</v>
      </c>
      <c r="H3562" s="1">
        <v>42.294000000000004</v>
      </c>
    </row>
    <row r="3563" spans="1:8" x14ac:dyDescent="0.3">
      <c r="A3563" s="2">
        <v>696</v>
      </c>
      <c r="B3563" t="s">
        <v>1816</v>
      </c>
      <c r="C3563" t="s">
        <v>3220</v>
      </c>
      <c r="D3563" s="2">
        <v>1</v>
      </c>
      <c r="E3563" s="11" t="s">
        <v>204</v>
      </c>
      <c r="F3563" t="s">
        <v>1116</v>
      </c>
      <c r="G3563" s="2" t="s">
        <v>4</v>
      </c>
      <c r="H3563" s="1">
        <v>42.294000000000004</v>
      </c>
    </row>
    <row r="3564" spans="1:8" x14ac:dyDescent="0.3">
      <c r="A3564" s="2">
        <v>696</v>
      </c>
      <c r="B3564" t="s">
        <v>1815</v>
      </c>
      <c r="C3564" t="s">
        <v>1</v>
      </c>
      <c r="D3564" s="2">
        <v>1</v>
      </c>
      <c r="E3564" s="11" t="s">
        <v>58</v>
      </c>
      <c r="F3564" t="s">
        <v>24</v>
      </c>
      <c r="G3564" s="2" t="s">
        <v>31</v>
      </c>
      <c r="H3564" s="1">
        <v>52.893999999999998</v>
      </c>
    </row>
    <row r="3565" spans="1:8" x14ac:dyDescent="0.3">
      <c r="A3565" s="2">
        <v>696</v>
      </c>
      <c r="B3565" t="s">
        <v>1814</v>
      </c>
      <c r="C3565" t="s">
        <v>1</v>
      </c>
      <c r="D3565" s="2">
        <v>1</v>
      </c>
      <c r="E3565" s="11" t="s">
        <v>58</v>
      </c>
      <c r="F3565" t="s">
        <v>24</v>
      </c>
      <c r="G3565" s="2" t="s">
        <v>23</v>
      </c>
      <c r="H3565" s="1">
        <v>52.893999999999998</v>
      </c>
    </row>
    <row r="3566" spans="1:8" x14ac:dyDescent="0.3">
      <c r="A3566" s="2">
        <v>697</v>
      </c>
      <c r="B3566" t="s">
        <v>1813</v>
      </c>
      <c r="C3566" t="s">
        <v>3224</v>
      </c>
      <c r="D3566" s="2">
        <v>1</v>
      </c>
      <c r="E3566" s="11" t="s">
        <v>1811</v>
      </c>
      <c r="F3566" t="s">
        <v>65</v>
      </c>
      <c r="G3566" s="2" t="s">
        <v>23</v>
      </c>
      <c r="H3566" s="1">
        <v>100.59400000000001</v>
      </c>
    </row>
    <row r="3567" spans="1:8" x14ac:dyDescent="0.3">
      <c r="A3567" s="2">
        <v>697</v>
      </c>
      <c r="B3567" t="s">
        <v>1640</v>
      </c>
      <c r="C3567" t="s">
        <v>3224</v>
      </c>
      <c r="D3567" s="2">
        <v>1</v>
      </c>
      <c r="E3567" s="11" t="s">
        <v>499</v>
      </c>
      <c r="F3567" t="s">
        <v>114</v>
      </c>
      <c r="G3567" s="2" t="s">
        <v>31</v>
      </c>
      <c r="H3567" s="1">
        <v>84.694000000000017</v>
      </c>
    </row>
    <row r="3568" spans="1:8" x14ac:dyDescent="0.3">
      <c r="A3568" s="2">
        <v>697</v>
      </c>
      <c r="B3568" t="s">
        <v>1065</v>
      </c>
      <c r="C3568" t="s">
        <v>3219</v>
      </c>
      <c r="D3568" s="2">
        <v>1</v>
      </c>
      <c r="E3568" s="11" t="s">
        <v>892</v>
      </c>
      <c r="F3568" t="s">
        <v>114</v>
      </c>
      <c r="G3568" s="2" t="s">
        <v>23</v>
      </c>
      <c r="H3568" s="1">
        <v>158.89400000000001</v>
      </c>
    </row>
    <row r="3569" spans="1:8" x14ac:dyDescent="0.3">
      <c r="A3569" s="2">
        <v>697</v>
      </c>
      <c r="B3569" t="s">
        <v>1794</v>
      </c>
      <c r="C3569" t="s">
        <v>3221</v>
      </c>
      <c r="D3569" s="2">
        <v>1</v>
      </c>
      <c r="E3569" s="11" t="s">
        <v>1180</v>
      </c>
      <c r="F3569" t="s">
        <v>114</v>
      </c>
      <c r="G3569" s="2" t="s">
        <v>23</v>
      </c>
      <c r="H3569" s="1">
        <v>169.49400000000003</v>
      </c>
    </row>
    <row r="3570" spans="1:8" x14ac:dyDescent="0.3">
      <c r="A3570" s="2">
        <v>697</v>
      </c>
      <c r="B3570" t="s">
        <v>553</v>
      </c>
      <c r="C3570" t="s">
        <v>3224</v>
      </c>
      <c r="D3570" s="2">
        <v>1</v>
      </c>
      <c r="E3570" s="11" t="s">
        <v>499</v>
      </c>
      <c r="F3570" t="s">
        <v>47</v>
      </c>
      <c r="G3570" s="2" t="s">
        <v>31</v>
      </c>
      <c r="H3570" s="1">
        <v>84.694000000000017</v>
      </c>
    </row>
    <row r="3571" spans="1:8" x14ac:dyDescent="0.3">
      <c r="A3571" s="2">
        <v>697</v>
      </c>
      <c r="B3571" t="s">
        <v>1532</v>
      </c>
      <c r="C3571" t="s">
        <v>3219</v>
      </c>
      <c r="D3571" s="2">
        <v>1</v>
      </c>
      <c r="E3571" s="11" t="s">
        <v>892</v>
      </c>
      <c r="F3571" t="s">
        <v>47</v>
      </c>
      <c r="G3571" s="2" t="s">
        <v>31</v>
      </c>
      <c r="H3571" s="1">
        <v>158.89400000000001</v>
      </c>
    </row>
    <row r="3572" spans="1:8" x14ac:dyDescent="0.3">
      <c r="A3572" s="2">
        <v>697</v>
      </c>
      <c r="B3572" t="s">
        <v>1531</v>
      </c>
      <c r="C3572" t="s">
        <v>3219</v>
      </c>
      <c r="D3572" s="2">
        <v>1</v>
      </c>
      <c r="E3572" s="11" t="s">
        <v>892</v>
      </c>
      <c r="F3572" t="s">
        <v>47</v>
      </c>
      <c r="G3572" s="2" t="s">
        <v>23</v>
      </c>
      <c r="H3572" s="1">
        <v>158.89400000000001</v>
      </c>
    </row>
    <row r="3573" spans="1:8" x14ac:dyDescent="0.3">
      <c r="A3573" s="2">
        <v>697</v>
      </c>
      <c r="B3573" t="s">
        <v>1181</v>
      </c>
      <c r="C3573" t="s">
        <v>3221</v>
      </c>
      <c r="D3573" s="2">
        <v>1</v>
      </c>
      <c r="E3573" s="11" t="s">
        <v>1180</v>
      </c>
      <c r="F3573" t="s">
        <v>47</v>
      </c>
      <c r="G3573" s="2" t="s">
        <v>31</v>
      </c>
      <c r="H3573" s="1">
        <v>169.49400000000003</v>
      </c>
    </row>
    <row r="3574" spans="1:8" x14ac:dyDescent="0.3">
      <c r="A3574" s="2">
        <v>697</v>
      </c>
      <c r="B3574" t="s">
        <v>1700</v>
      </c>
      <c r="C3574" t="s">
        <v>3221</v>
      </c>
      <c r="D3574" s="2">
        <v>1</v>
      </c>
      <c r="E3574" s="11" t="s">
        <v>1180</v>
      </c>
      <c r="F3574" t="s">
        <v>47</v>
      </c>
      <c r="G3574" s="2" t="s">
        <v>23</v>
      </c>
      <c r="H3574" s="1">
        <v>169.49400000000003</v>
      </c>
    </row>
    <row r="3575" spans="1:8" x14ac:dyDescent="0.3">
      <c r="A3575" s="2">
        <v>697</v>
      </c>
      <c r="B3575" t="s">
        <v>1812</v>
      </c>
      <c r="C3575" t="s">
        <v>3224</v>
      </c>
      <c r="D3575" s="2">
        <v>1</v>
      </c>
      <c r="E3575" s="11" t="s">
        <v>1811</v>
      </c>
      <c r="F3575" t="s">
        <v>39</v>
      </c>
      <c r="G3575" s="2" t="s">
        <v>23</v>
      </c>
      <c r="H3575" s="1">
        <v>100.59400000000001</v>
      </c>
    </row>
    <row r="3576" spans="1:8" x14ac:dyDescent="0.3">
      <c r="A3576" s="2">
        <v>697</v>
      </c>
      <c r="B3576" t="s">
        <v>1069</v>
      </c>
      <c r="C3576" t="s">
        <v>3219</v>
      </c>
      <c r="D3576" s="2">
        <v>1</v>
      </c>
      <c r="E3576" s="11" t="s">
        <v>892</v>
      </c>
      <c r="F3576" t="s">
        <v>39</v>
      </c>
      <c r="G3576" s="2" t="s">
        <v>23</v>
      </c>
      <c r="H3576" s="1">
        <v>158.89400000000001</v>
      </c>
    </row>
    <row r="3577" spans="1:8" x14ac:dyDescent="0.3">
      <c r="A3577" s="2">
        <v>697</v>
      </c>
      <c r="B3577" t="s">
        <v>1425</v>
      </c>
      <c r="C3577" t="s">
        <v>3221</v>
      </c>
      <c r="D3577" s="2">
        <v>1</v>
      </c>
      <c r="E3577" s="11" t="s">
        <v>1180</v>
      </c>
      <c r="F3577" t="s">
        <v>39</v>
      </c>
      <c r="G3577" s="2" t="s">
        <v>23</v>
      </c>
      <c r="H3577" s="1">
        <v>169.49400000000003</v>
      </c>
    </row>
    <row r="3578" spans="1:8" x14ac:dyDescent="0.3">
      <c r="A3578" s="2">
        <v>698</v>
      </c>
      <c r="B3578" t="s">
        <v>1810</v>
      </c>
      <c r="C3578" t="s">
        <v>0</v>
      </c>
      <c r="D3578" s="2">
        <v>1</v>
      </c>
      <c r="E3578" s="11" t="s">
        <v>1109</v>
      </c>
      <c r="F3578" t="s">
        <v>114</v>
      </c>
      <c r="G3578" s="2" t="s">
        <v>23</v>
      </c>
      <c r="H3578" s="1">
        <v>137.69400000000002</v>
      </c>
    </row>
    <row r="3579" spans="1:8" x14ac:dyDescent="0.3">
      <c r="A3579" s="2">
        <v>698</v>
      </c>
      <c r="B3579" t="s">
        <v>1464</v>
      </c>
      <c r="C3579" t="s">
        <v>3221</v>
      </c>
      <c r="D3579" s="2">
        <v>1</v>
      </c>
      <c r="E3579" s="11" t="s">
        <v>1462</v>
      </c>
      <c r="F3579" t="s">
        <v>47</v>
      </c>
      <c r="G3579" s="2" t="s">
        <v>31</v>
      </c>
      <c r="H3579" s="1">
        <v>116.49400000000001</v>
      </c>
    </row>
    <row r="3580" spans="1:8" x14ac:dyDescent="0.3">
      <c r="A3580" s="2">
        <v>698</v>
      </c>
      <c r="B3580" t="s">
        <v>1532</v>
      </c>
      <c r="C3580" t="s">
        <v>3219</v>
      </c>
      <c r="D3580" s="2">
        <v>1</v>
      </c>
      <c r="E3580" s="11" t="s">
        <v>892</v>
      </c>
      <c r="F3580" t="s">
        <v>47</v>
      </c>
      <c r="G3580" s="2" t="s">
        <v>31</v>
      </c>
      <c r="H3580" s="1">
        <v>158.89400000000001</v>
      </c>
    </row>
    <row r="3581" spans="1:8" x14ac:dyDescent="0.3">
      <c r="A3581" s="2">
        <v>698</v>
      </c>
      <c r="B3581" t="s">
        <v>1809</v>
      </c>
      <c r="C3581" t="s">
        <v>3233</v>
      </c>
      <c r="D3581" s="2">
        <v>1</v>
      </c>
      <c r="E3581" s="11" t="s">
        <v>862</v>
      </c>
      <c r="F3581" t="s">
        <v>47</v>
      </c>
      <c r="G3581" s="2" t="s">
        <v>31</v>
      </c>
      <c r="H3581" s="1">
        <v>68.794000000000011</v>
      </c>
    </row>
    <row r="3582" spans="1:8" x14ac:dyDescent="0.3">
      <c r="A3582" s="2">
        <v>698</v>
      </c>
      <c r="B3582" t="s">
        <v>1676</v>
      </c>
      <c r="C3582" t="s">
        <v>2</v>
      </c>
      <c r="D3582" s="2">
        <v>2</v>
      </c>
      <c r="E3582" s="11" t="s">
        <v>1615</v>
      </c>
      <c r="F3582" t="s">
        <v>47</v>
      </c>
      <c r="G3582" s="2" t="s">
        <v>31</v>
      </c>
      <c r="H3582" s="1">
        <v>127.09400000000001</v>
      </c>
    </row>
    <row r="3583" spans="1:8" x14ac:dyDescent="0.3">
      <c r="A3583" s="2">
        <v>698</v>
      </c>
      <c r="B3583" t="s">
        <v>1616</v>
      </c>
      <c r="C3583" t="s">
        <v>2</v>
      </c>
      <c r="D3583" s="2">
        <v>1</v>
      </c>
      <c r="E3583" s="11" t="s">
        <v>1615</v>
      </c>
      <c r="F3583" t="s">
        <v>47</v>
      </c>
      <c r="G3583" s="2" t="s">
        <v>23</v>
      </c>
      <c r="H3583" s="1">
        <v>127.09400000000001</v>
      </c>
    </row>
    <row r="3584" spans="1:8" x14ac:dyDescent="0.3">
      <c r="A3584" s="2">
        <v>698</v>
      </c>
      <c r="B3584" t="s">
        <v>1427</v>
      </c>
      <c r="C3584" t="s">
        <v>3224</v>
      </c>
      <c r="D3584" s="2">
        <v>1</v>
      </c>
      <c r="E3584" s="11" t="s">
        <v>1426</v>
      </c>
      <c r="F3584" t="s">
        <v>47</v>
      </c>
      <c r="G3584" s="2" t="s">
        <v>23</v>
      </c>
      <c r="H3584" s="1">
        <v>63.494000000000007</v>
      </c>
    </row>
    <row r="3585" spans="1:8" x14ac:dyDescent="0.3">
      <c r="A3585" s="2">
        <v>698</v>
      </c>
      <c r="B3585" t="s">
        <v>1030</v>
      </c>
      <c r="C3585" t="s">
        <v>2</v>
      </c>
      <c r="D3585" s="2">
        <v>1</v>
      </c>
      <c r="E3585" s="11" t="s">
        <v>43</v>
      </c>
      <c r="F3585" t="s">
        <v>47</v>
      </c>
      <c r="G3585" s="2" t="s">
        <v>4</v>
      </c>
      <c r="H3585" s="1">
        <v>74.094000000000008</v>
      </c>
    </row>
    <row r="3586" spans="1:8" x14ac:dyDescent="0.3">
      <c r="A3586" s="2">
        <v>698</v>
      </c>
      <c r="B3586" t="s">
        <v>1699</v>
      </c>
      <c r="C3586" t="s">
        <v>3224</v>
      </c>
      <c r="D3586" s="2">
        <v>1</v>
      </c>
      <c r="E3586" s="11" t="s">
        <v>1399</v>
      </c>
      <c r="F3586" t="s">
        <v>47</v>
      </c>
      <c r="G3586" s="2" t="s">
        <v>31</v>
      </c>
      <c r="H3586" s="1">
        <v>63.494000000000007</v>
      </c>
    </row>
    <row r="3587" spans="1:8" x14ac:dyDescent="0.3">
      <c r="A3587" s="2">
        <v>698</v>
      </c>
      <c r="B3587" t="s">
        <v>1808</v>
      </c>
      <c r="C3587" t="s">
        <v>3219</v>
      </c>
      <c r="D3587" s="2">
        <v>1</v>
      </c>
      <c r="E3587" s="11" t="s">
        <v>1175</v>
      </c>
      <c r="F3587" t="s">
        <v>47</v>
      </c>
      <c r="G3587" s="2" t="s">
        <v>31</v>
      </c>
      <c r="H3587" s="1">
        <v>158.89400000000001</v>
      </c>
    </row>
    <row r="3588" spans="1:8" x14ac:dyDescent="0.3">
      <c r="A3588" s="2">
        <v>698</v>
      </c>
      <c r="B3588" t="s">
        <v>982</v>
      </c>
      <c r="C3588" t="s">
        <v>3219</v>
      </c>
      <c r="D3588" s="2">
        <v>1</v>
      </c>
      <c r="E3588" s="11" t="s">
        <v>892</v>
      </c>
      <c r="F3588" t="s">
        <v>39</v>
      </c>
      <c r="G3588" s="2" t="s">
        <v>4</v>
      </c>
      <c r="H3588" s="1">
        <v>158.89400000000001</v>
      </c>
    </row>
    <row r="3589" spans="1:8" x14ac:dyDescent="0.3">
      <c r="A3589" s="2">
        <v>698</v>
      </c>
      <c r="B3589" t="s">
        <v>44</v>
      </c>
      <c r="C3589" t="s">
        <v>2</v>
      </c>
      <c r="D3589" s="2">
        <v>1</v>
      </c>
      <c r="E3589" s="11" t="s">
        <v>43</v>
      </c>
      <c r="F3589" t="s">
        <v>39</v>
      </c>
      <c r="G3589" s="2" t="s">
        <v>4</v>
      </c>
      <c r="H3589" s="1">
        <v>74.094000000000008</v>
      </c>
    </row>
    <row r="3590" spans="1:8" x14ac:dyDescent="0.3">
      <c r="A3590" s="2">
        <v>699</v>
      </c>
      <c r="B3590" t="s">
        <v>1794</v>
      </c>
      <c r="C3590" t="s">
        <v>3221</v>
      </c>
      <c r="D3590" s="2">
        <v>1</v>
      </c>
      <c r="E3590" s="11" t="s">
        <v>1180</v>
      </c>
      <c r="F3590" t="s">
        <v>114</v>
      </c>
      <c r="G3590" s="2" t="s">
        <v>23</v>
      </c>
      <c r="H3590" s="1">
        <v>169.49400000000003</v>
      </c>
    </row>
    <row r="3591" spans="1:8" x14ac:dyDescent="0.3">
      <c r="A3591" s="2">
        <v>699</v>
      </c>
      <c r="B3591" t="s">
        <v>863</v>
      </c>
      <c r="C3591" t="s">
        <v>3233</v>
      </c>
      <c r="D3591" s="2">
        <v>1</v>
      </c>
      <c r="E3591" s="11" t="s">
        <v>862</v>
      </c>
      <c r="F3591" t="s">
        <v>114</v>
      </c>
      <c r="G3591" s="2" t="s">
        <v>23</v>
      </c>
      <c r="H3591" s="1">
        <v>68.794000000000011</v>
      </c>
    </row>
    <row r="3592" spans="1:8" x14ac:dyDescent="0.3">
      <c r="A3592" s="2">
        <v>699</v>
      </c>
      <c r="B3592" t="s">
        <v>1807</v>
      </c>
      <c r="C3592" t="s">
        <v>3233</v>
      </c>
      <c r="D3592" s="2">
        <v>1</v>
      </c>
      <c r="E3592" s="11" t="s">
        <v>802</v>
      </c>
      <c r="F3592" t="s">
        <v>36</v>
      </c>
      <c r="G3592" s="2" t="s">
        <v>23</v>
      </c>
      <c r="H3592" s="1">
        <v>68.794000000000011</v>
      </c>
    </row>
    <row r="3593" spans="1:8" x14ac:dyDescent="0.3">
      <c r="A3593" s="2">
        <v>699</v>
      </c>
      <c r="B3593" t="s">
        <v>1700</v>
      </c>
      <c r="C3593" t="s">
        <v>3221</v>
      </c>
      <c r="D3593" s="2">
        <v>1</v>
      </c>
      <c r="E3593" s="11" t="s">
        <v>1180</v>
      </c>
      <c r="F3593" t="s">
        <v>47</v>
      </c>
      <c r="G3593" s="2" t="s">
        <v>23</v>
      </c>
      <c r="H3593" s="1">
        <v>169.49400000000003</v>
      </c>
    </row>
    <row r="3594" spans="1:8" x14ac:dyDescent="0.3">
      <c r="A3594" s="2">
        <v>699</v>
      </c>
      <c r="B3594" t="s">
        <v>1494</v>
      </c>
      <c r="C3594" t="s">
        <v>2</v>
      </c>
      <c r="D3594" s="2">
        <v>1</v>
      </c>
      <c r="E3594" s="11" t="s">
        <v>43</v>
      </c>
      <c r="F3594" t="s">
        <v>47</v>
      </c>
      <c r="G3594" s="2" t="s">
        <v>23</v>
      </c>
      <c r="H3594" s="1">
        <v>74.094000000000008</v>
      </c>
    </row>
    <row r="3595" spans="1:8" x14ac:dyDescent="0.3">
      <c r="A3595" s="2">
        <v>699</v>
      </c>
      <c r="B3595" t="s">
        <v>1717</v>
      </c>
      <c r="C3595" t="s">
        <v>3219</v>
      </c>
      <c r="D3595" s="2">
        <v>1</v>
      </c>
      <c r="E3595" s="11" t="s">
        <v>1175</v>
      </c>
      <c r="F3595" t="s">
        <v>47</v>
      </c>
      <c r="G3595" s="2" t="s">
        <v>23</v>
      </c>
      <c r="H3595" s="1">
        <v>158.89400000000001</v>
      </c>
    </row>
    <row r="3596" spans="1:8" x14ac:dyDescent="0.3">
      <c r="A3596" s="2">
        <v>699</v>
      </c>
      <c r="B3596" t="s">
        <v>1392</v>
      </c>
      <c r="C3596" t="s">
        <v>3</v>
      </c>
      <c r="D3596" s="2">
        <v>1</v>
      </c>
      <c r="E3596" s="11" t="s">
        <v>1356</v>
      </c>
      <c r="F3596" t="s">
        <v>39</v>
      </c>
      <c r="G3596" s="2" t="s">
        <v>23</v>
      </c>
      <c r="H3596" s="1">
        <v>111.19400000000002</v>
      </c>
    </row>
    <row r="3597" spans="1:8" x14ac:dyDescent="0.3">
      <c r="A3597" s="2">
        <v>699</v>
      </c>
      <c r="B3597" t="s">
        <v>1425</v>
      </c>
      <c r="C3597" t="s">
        <v>3221</v>
      </c>
      <c r="D3597" s="2">
        <v>1</v>
      </c>
      <c r="E3597" s="11" t="s">
        <v>1180</v>
      </c>
      <c r="F3597" t="s">
        <v>39</v>
      </c>
      <c r="G3597" s="2" t="s">
        <v>23</v>
      </c>
      <c r="H3597" s="1">
        <v>169.49400000000003</v>
      </c>
    </row>
    <row r="3598" spans="1:8" x14ac:dyDescent="0.3">
      <c r="A3598" s="2">
        <v>699</v>
      </c>
      <c r="B3598" t="s">
        <v>1723</v>
      </c>
      <c r="C3598" t="s">
        <v>2</v>
      </c>
      <c r="D3598" s="2">
        <v>1</v>
      </c>
      <c r="E3598" s="11" t="s">
        <v>43</v>
      </c>
      <c r="F3598" t="s">
        <v>39</v>
      </c>
      <c r="G3598" s="2" t="s">
        <v>23</v>
      </c>
      <c r="H3598" s="1">
        <v>74.094000000000008</v>
      </c>
    </row>
    <row r="3599" spans="1:8" x14ac:dyDescent="0.3">
      <c r="A3599" s="2">
        <v>699</v>
      </c>
      <c r="B3599" t="s">
        <v>1745</v>
      </c>
      <c r="C3599" t="s">
        <v>3224</v>
      </c>
      <c r="D3599" s="2">
        <v>1</v>
      </c>
      <c r="E3599" s="11" t="s">
        <v>1399</v>
      </c>
      <c r="F3599" t="s">
        <v>36</v>
      </c>
      <c r="G3599" s="2" t="s">
        <v>23</v>
      </c>
      <c r="H3599" s="1">
        <v>63.494000000000007</v>
      </c>
    </row>
    <row r="3600" spans="1:8" x14ac:dyDescent="0.3">
      <c r="A3600" s="2">
        <v>699</v>
      </c>
      <c r="B3600" t="s">
        <v>1806</v>
      </c>
      <c r="C3600" t="s">
        <v>3219</v>
      </c>
      <c r="D3600" s="2">
        <v>1</v>
      </c>
      <c r="E3600" s="11" t="s">
        <v>1175</v>
      </c>
      <c r="F3600" t="s">
        <v>36</v>
      </c>
      <c r="G3600" s="2" t="s">
        <v>23</v>
      </c>
      <c r="H3600" s="1">
        <v>158.89400000000001</v>
      </c>
    </row>
    <row r="3601" spans="1:8" x14ac:dyDescent="0.3">
      <c r="A3601" s="2">
        <v>699</v>
      </c>
      <c r="B3601" t="s">
        <v>969</v>
      </c>
      <c r="C3601" t="s">
        <v>2</v>
      </c>
      <c r="D3601" s="2">
        <v>1</v>
      </c>
      <c r="E3601" s="11" t="s">
        <v>968</v>
      </c>
      <c r="F3601" t="s">
        <v>28</v>
      </c>
      <c r="G3601" s="2" t="s">
        <v>23</v>
      </c>
      <c r="H3601" s="1">
        <v>137.69400000000002</v>
      </c>
    </row>
    <row r="3602" spans="1:8" x14ac:dyDescent="0.3">
      <c r="A3602" s="2">
        <v>700</v>
      </c>
      <c r="B3602" t="s">
        <v>1130</v>
      </c>
      <c r="C3602" t="s">
        <v>3219</v>
      </c>
      <c r="D3602" s="2">
        <v>1</v>
      </c>
      <c r="E3602" s="11" t="s">
        <v>673</v>
      </c>
      <c r="F3602" t="s">
        <v>55</v>
      </c>
      <c r="G3602" s="2" t="s">
        <v>31</v>
      </c>
      <c r="H3602" s="1">
        <v>89.994000000000014</v>
      </c>
    </row>
    <row r="3603" spans="1:8" x14ac:dyDescent="0.3">
      <c r="A3603" s="2">
        <v>700</v>
      </c>
      <c r="B3603" t="s">
        <v>1805</v>
      </c>
      <c r="C3603" t="s">
        <v>3219</v>
      </c>
      <c r="D3603" s="2">
        <v>1</v>
      </c>
      <c r="E3603" s="11" t="s">
        <v>534</v>
      </c>
      <c r="F3603" t="s">
        <v>65</v>
      </c>
      <c r="G3603" s="2" t="s">
        <v>31</v>
      </c>
      <c r="H3603" s="1">
        <v>89.994000000000014</v>
      </c>
    </row>
    <row r="3604" spans="1:8" x14ac:dyDescent="0.3">
      <c r="A3604" s="2">
        <v>700</v>
      </c>
      <c r="B3604" t="s">
        <v>1634</v>
      </c>
      <c r="C3604" t="s">
        <v>3219</v>
      </c>
      <c r="D3604" s="2">
        <v>1</v>
      </c>
      <c r="E3604" s="11" t="s">
        <v>1173</v>
      </c>
      <c r="F3604" t="s">
        <v>81</v>
      </c>
      <c r="G3604" s="2" t="s">
        <v>23</v>
      </c>
      <c r="H3604" s="1">
        <v>116.49400000000001</v>
      </c>
    </row>
    <row r="3605" spans="1:8" x14ac:dyDescent="0.3">
      <c r="A3605" s="2">
        <v>700</v>
      </c>
      <c r="B3605" t="s">
        <v>1804</v>
      </c>
      <c r="C3605" t="s">
        <v>3221</v>
      </c>
      <c r="D3605" s="2">
        <v>1</v>
      </c>
      <c r="E3605" s="11" t="s">
        <v>642</v>
      </c>
      <c r="F3605" t="s">
        <v>62</v>
      </c>
      <c r="G3605" s="2" t="s">
        <v>4</v>
      </c>
      <c r="H3605" s="1">
        <v>95.294000000000011</v>
      </c>
    </row>
    <row r="3606" spans="1:8" x14ac:dyDescent="0.3">
      <c r="A3606" s="2">
        <v>700</v>
      </c>
      <c r="B3606" t="s">
        <v>1269</v>
      </c>
      <c r="C3606" t="s">
        <v>3219</v>
      </c>
      <c r="D3606" s="2">
        <v>1</v>
      </c>
      <c r="E3606" s="11" t="s">
        <v>534</v>
      </c>
      <c r="F3606" t="s">
        <v>55</v>
      </c>
      <c r="G3606" s="2" t="s">
        <v>31</v>
      </c>
      <c r="H3606" s="1">
        <v>89.994000000000014</v>
      </c>
    </row>
    <row r="3607" spans="1:8" x14ac:dyDescent="0.3">
      <c r="A3607" s="2">
        <v>700</v>
      </c>
      <c r="B3607" t="s">
        <v>1803</v>
      </c>
      <c r="C3607" t="s">
        <v>3221</v>
      </c>
      <c r="D3607" s="2">
        <v>1</v>
      </c>
      <c r="E3607" s="11" t="s">
        <v>642</v>
      </c>
      <c r="F3607" t="s">
        <v>55</v>
      </c>
      <c r="G3607" s="2" t="s">
        <v>4</v>
      </c>
      <c r="H3607" s="1">
        <v>95.294000000000011</v>
      </c>
    </row>
    <row r="3608" spans="1:8" x14ac:dyDescent="0.3">
      <c r="A3608" s="2">
        <v>700</v>
      </c>
      <c r="B3608" t="s">
        <v>1570</v>
      </c>
      <c r="C3608" t="s">
        <v>3219</v>
      </c>
      <c r="D3608" s="2">
        <v>1</v>
      </c>
      <c r="E3608" s="11" t="s">
        <v>1214</v>
      </c>
      <c r="F3608" t="s">
        <v>114</v>
      </c>
      <c r="G3608" s="2" t="s">
        <v>31</v>
      </c>
      <c r="H3608" s="1">
        <v>127.09400000000001</v>
      </c>
    </row>
    <row r="3609" spans="1:8" x14ac:dyDescent="0.3">
      <c r="A3609" s="2">
        <v>700</v>
      </c>
      <c r="B3609" t="s">
        <v>1065</v>
      </c>
      <c r="C3609" t="s">
        <v>3219</v>
      </c>
      <c r="D3609" s="2">
        <v>1</v>
      </c>
      <c r="E3609" s="11" t="s">
        <v>892</v>
      </c>
      <c r="F3609" t="s">
        <v>114</v>
      </c>
      <c r="G3609" s="2" t="s">
        <v>23</v>
      </c>
      <c r="H3609" s="1">
        <v>158.89400000000001</v>
      </c>
    </row>
    <row r="3610" spans="1:8" x14ac:dyDescent="0.3">
      <c r="A3610" s="2">
        <v>700</v>
      </c>
      <c r="B3610" t="s">
        <v>1802</v>
      </c>
      <c r="C3610" t="s">
        <v>3233</v>
      </c>
      <c r="D3610" s="2">
        <v>1</v>
      </c>
      <c r="E3610" s="11" t="s">
        <v>1278</v>
      </c>
      <c r="F3610" t="s">
        <v>114</v>
      </c>
      <c r="G3610" s="2" t="s">
        <v>23</v>
      </c>
      <c r="H3610" s="1">
        <v>100.59400000000001</v>
      </c>
    </row>
    <row r="3611" spans="1:8" x14ac:dyDescent="0.3">
      <c r="A3611" s="2">
        <v>700</v>
      </c>
      <c r="B3611" t="s">
        <v>1801</v>
      </c>
      <c r="C3611" t="s">
        <v>3221</v>
      </c>
      <c r="D3611" s="2">
        <v>1</v>
      </c>
      <c r="E3611" s="11" t="s">
        <v>642</v>
      </c>
      <c r="F3611" t="s">
        <v>114</v>
      </c>
      <c r="G3611" s="2" t="s">
        <v>23</v>
      </c>
      <c r="H3611" s="1">
        <v>95.294000000000011</v>
      </c>
    </row>
    <row r="3612" spans="1:8" x14ac:dyDescent="0.3">
      <c r="A3612" s="2">
        <v>700</v>
      </c>
      <c r="B3612" t="s">
        <v>1265</v>
      </c>
      <c r="C3612" t="s">
        <v>3219</v>
      </c>
      <c r="D3612" s="2">
        <v>1</v>
      </c>
      <c r="E3612" s="11" t="s">
        <v>534</v>
      </c>
      <c r="F3612" t="s">
        <v>47</v>
      </c>
      <c r="G3612" s="2" t="s">
        <v>31</v>
      </c>
      <c r="H3612" s="1">
        <v>89.994000000000014</v>
      </c>
    </row>
    <row r="3613" spans="1:8" x14ac:dyDescent="0.3">
      <c r="A3613" s="2">
        <v>700</v>
      </c>
      <c r="B3613" t="s">
        <v>1555</v>
      </c>
      <c r="C3613" t="s">
        <v>3</v>
      </c>
      <c r="D3613" s="2">
        <v>1</v>
      </c>
      <c r="E3613" s="11" t="s">
        <v>1356</v>
      </c>
      <c r="F3613" t="s">
        <v>47</v>
      </c>
      <c r="G3613" s="2" t="s">
        <v>31</v>
      </c>
      <c r="H3613" s="1">
        <v>111.19400000000002</v>
      </c>
    </row>
    <row r="3614" spans="1:8" x14ac:dyDescent="0.3">
      <c r="A3614" s="2">
        <v>700</v>
      </c>
      <c r="B3614" t="s">
        <v>1554</v>
      </c>
      <c r="C3614" t="s">
        <v>3221</v>
      </c>
      <c r="D3614" s="2">
        <v>1</v>
      </c>
      <c r="E3614" s="11" t="s">
        <v>1180</v>
      </c>
      <c r="F3614" t="s">
        <v>47</v>
      </c>
      <c r="G3614" s="2" t="s">
        <v>4</v>
      </c>
      <c r="H3614" s="1">
        <v>169.49400000000003</v>
      </c>
    </row>
    <row r="3615" spans="1:8" x14ac:dyDescent="0.3">
      <c r="A3615" s="2">
        <v>700</v>
      </c>
      <c r="B3615" t="s">
        <v>1717</v>
      </c>
      <c r="C3615" t="s">
        <v>3219</v>
      </c>
      <c r="D3615" s="2">
        <v>1</v>
      </c>
      <c r="E3615" s="11" t="s">
        <v>1175</v>
      </c>
      <c r="F3615" t="s">
        <v>47</v>
      </c>
      <c r="G3615" s="2" t="s">
        <v>23</v>
      </c>
      <c r="H3615" s="1">
        <v>158.89400000000001</v>
      </c>
    </row>
    <row r="3616" spans="1:8" x14ac:dyDescent="0.3">
      <c r="A3616" s="2">
        <v>700</v>
      </c>
      <c r="B3616" t="s">
        <v>1800</v>
      </c>
      <c r="C3616" t="s">
        <v>3221</v>
      </c>
      <c r="D3616" s="2">
        <v>1</v>
      </c>
      <c r="E3616" s="11" t="s">
        <v>642</v>
      </c>
      <c r="F3616" t="s">
        <v>47</v>
      </c>
      <c r="G3616" s="2" t="s">
        <v>23</v>
      </c>
      <c r="H3616" s="1">
        <v>95.294000000000011</v>
      </c>
    </row>
    <row r="3617" spans="1:8" x14ac:dyDescent="0.3">
      <c r="A3617" s="2">
        <v>700</v>
      </c>
      <c r="B3617" t="s">
        <v>879</v>
      </c>
      <c r="C3617" t="s">
        <v>1</v>
      </c>
      <c r="D3617" s="2">
        <v>1</v>
      </c>
      <c r="E3617" s="11" t="s">
        <v>189</v>
      </c>
      <c r="F3617" t="s">
        <v>39</v>
      </c>
      <c r="G3617" s="2" t="s">
        <v>23</v>
      </c>
      <c r="H3617" s="1">
        <v>63.494000000000007</v>
      </c>
    </row>
    <row r="3618" spans="1:8" x14ac:dyDescent="0.3">
      <c r="A3618" s="2">
        <v>700</v>
      </c>
      <c r="B3618" t="s">
        <v>876</v>
      </c>
      <c r="C3618" t="s">
        <v>1</v>
      </c>
      <c r="D3618" s="2">
        <v>1</v>
      </c>
      <c r="E3618" s="11" t="s">
        <v>189</v>
      </c>
      <c r="F3618" t="s">
        <v>28</v>
      </c>
      <c r="G3618" s="2" t="s">
        <v>31</v>
      </c>
      <c r="H3618" s="1">
        <v>63.494000000000007</v>
      </c>
    </row>
    <row r="3619" spans="1:8" x14ac:dyDescent="0.3">
      <c r="A3619" s="2">
        <v>700</v>
      </c>
      <c r="B3619" t="s">
        <v>1441</v>
      </c>
      <c r="C3619" t="s">
        <v>3224</v>
      </c>
      <c r="D3619" s="2">
        <v>1</v>
      </c>
      <c r="E3619" s="11" t="s">
        <v>1223</v>
      </c>
      <c r="F3619" t="s">
        <v>28</v>
      </c>
      <c r="G3619" s="2" t="s">
        <v>31</v>
      </c>
      <c r="H3619" s="1">
        <v>52.893999999999998</v>
      </c>
    </row>
    <row r="3620" spans="1:8" x14ac:dyDescent="0.3">
      <c r="A3620" s="2">
        <v>700</v>
      </c>
      <c r="B3620" t="s">
        <v>1799</v>
      </c>
      <c r="C3620" t="s">
        <v>0</v>
      </c>
      <c r="D3620" s="2">
        <v>1</v>
      </c>
      <c r="E3620" s="11" t="s">
        <v>267</v>
      </c>
      <c r="F3620" t="s">
        <v>28</v>
      </c>
      <c r="G3620" s="2" t="s">
        <v>23</v>
      </c>
      <c r="H3620" s="1">
        <v>158.89400000000001</v>
      </c>
    </row>
    <row r="3621" spans="1:8" x14ac:dyDescent="0.3">
      <c r="A3621" s="2">
        <v>700</v>
      </c>
      <c r="B3621" t="s">
        <v>1798</v>
      </c>
      <c r="C3621" t="s">
        <v>3</v>
      </c>
      <c r="D3621" s="2">
        <v>2</v>
      </c>
      <c r="E3621" s="11" t="s">
        <v>1356</v>
      </c>
      <c r="F3621" t="s">
        <v>28</v>
      </c>
      <c r="G3621" s="2" t="s">
        <v>31</v>
      </c>
      <c r="H3621" s="1">
        <v>111.19400000000002</v>
      </c>
    </row>
    <row r="3622" spans="1:8" x14ac:dyDescent="0.3">
      <c r="A3622" s="2">
        <v>701</v>
      </c>
      <c r="B3622" t="s">
        <v>1251</v>
      </c>
      <c r="C3622" t="s">
        <v>3224</v>
      </c>
      <c r="D3622" s="2">
        <v>1</v>
      </c>
      <c r="E3622" s="11" t="s">
        <v>1248</v>
      </c>
      <c r="F3622" t="s">
        <v>114</v>
      </c>
      <c r="G3622" s="2" t="s">
        <v>4</v>
      </c>
      <c r="H3622" s="1">
        <v>95.294000000000011</v>
      </c>
    </row>
    <row r="3623" spans="1:8" x14ac:dyDescent="0.3">
      <c r="A3623" s="2">
        <v>701</v>
      </c>
      <c r="B3623" t="s">
        <v>1420</v>
      </c>
      <c r="C3623" t="s">
        <v>3224</v>
      </c>
      <c r="D3623" s="2">
        <v>1</v>
      </c>
      <c r="E3623" s="11" t="s">
        <v>1248</v>
      </c>
      <c r="F3623" t="s">
        <v>114</v>
      </c>
      <c r="G3623" s="2" t="s">
        <v>31</v>
      </c>
      <c r="H3623" s="1">
        <v>95.294000000000011</v>
      </c>
    </row>
    <row r="3624" spans="1:8" x14ac:dyDescent="0.3">
      <c r="A3624" s="2">
        <v>701</v>
      </c>
      <c r="B3624" t="s">
        <v>1416</v>
      </c>
      <c r="C3624" t="s">
        <v>3224</v>
      </c>
      <c r="D3624" s="2">
        <v>1</v>
      </c>
      <c r="E3624" s="11" t="s">
        <v>1248</v>
      </c>
      <c r="F3624" t="s">
        <v>114</v>
      </c>
      <c r="G3624" s="2" t="s">
        <v>23</v>
      </c>
      <c r="H3624" s="1">
        <v>95.294000000000011</v>
      </c>
    </row>
    <row r="3625" spans="1:8" x14ac:dyDescent="0.3">
      <c r="A3625" s="2">
        <v>701</v>
      </c>
      <c r="B3625" t="s">
        <v>1701</v>
      </c>
      <c r="C3625" t="s">
        <v>0</v>
      </c>
      <c r="D3625" s="2">
        <v>1</v>
      </c>
      <c r="E3625" s="11" t="s">
        <v>549</v>
      </c>
      <c r="F3625" t="s">
        <v>114</v>
      </c>
      <c r="G3625" s="2" t="s">
        <v>31</v>
      </c>
      <c r="H3625" s="1">
        <v>164.19400000000002</v>
      </c>
    </row>
    <row r="3626" spans="1:8" x14ac:dyDescent="0.3">
      <c r="A3626" s="2">
        <v>701</v>
      </c>
      <c r="B3626" t="s">
        <v>558</v>
      </c>
      <c r="C3626" t="s">
        <v>0</v>
      </c>
      <c r="D3626" s="2">
        <v>1</v>
      </c>
      <c r="E3626" s="11" t="s">
        <v>549</v>
      </c>
      <c r="F3626" t="s">
        <v>114</v>
      </c>
      <c r="G3626" s="2" t="s">
        <v>23</v>
      </c>
      <c r="H3626" s="1">
        <v>164.19400000000002</v>
      </c>
    </row>
    <row r="3627" spans="1:8" x14ac:dyDescent="0.3">
      <c r="A3627" s="2">
        <v>701</v>
      </c>
      <c r="B3627" t="s">
        <v>1495</v>
      </c>
      <c r="C3627" t="s">
        <v>0</v>
      </c>
      <c r="D3627" s="2">
        <v>1</v>
      </c>
      <c r="E3627" s="11" t="s">
        <v>1106</v>
      </c>
      <c r="F3627" t="s">
        <v>47</v>
      </c>
      <c r="G3627" s="2" t="s">
        <v>4</v>
      </c>
      <c r="H3627" s="1">
        <v>185.39400000000001</v>
      </c>
    </row>
    <row r="3628" spans="1:8" x14ac:dyDescent="0.3">
      <c r="A3628" s="2">
        <v>701</v>
      </c>
      <c r="B3628" t="s">
        <v>1530</v>
      </c>
      <c r="C3628" t="s">
        <v>0</v>
      </c>
      <c r="D3628" s="2">
        <v>1</v>
      </c>
      <c r="E3628" s="11" t="s">
        <v>1106</v>
      </c>
      <c r="F3628" t="s">
        <v>47</v>
      </c>
      <c r="G3628" s="2" t="s">
        <v>23</v>
      </c>
      <c r="H3628" s="1">
        <v>185.39400000000001</v>
      </c>
    </row>
    <row r="3629" spans="1:8" x14ac:dyDescent="0.3">
      <c r="A3629" s="2">
        <v>701</v>
      </c>
      <c r="B3629" t="s">
        <v>1699</v>
      </c>
      <c r="C3629" t="s">
        <v>3224</v>
      </c>
      <c r="D3629" s="2">
        <v>1</v>
      </c>
      <c r="E3629" s="11" t="s">
        <v>1399</v>
      </c>
      <c r="F3629" t="s">
        <v>47</v>
      </c>
      <c r="G3629" s="2" t="s">
        <v>31</v>
      </c>
      <c r="H3629" s="1">
        <v>63.494000000000007</v>
      </c>
    </row>
    <row r="3630" spans="1:8" x14ac:dyDescent="0.3">
      <c r="A3630" s="2">
        <v>701</v>
      </c>
      <c r="B3630" t="s">
        <v>1632</v>
      </c>
      <c r="C3630" t="s">
        <v>3224</v>
      </c>
      <c r="D3630" s="2">
        <v>1</v>
      </c>
      <c r="E3630" s="11" t="s">
        <v>1399</v>
      </c>
      <c r="F3630" t="s">
        <v>47</v>
      </c>
      <c r="G3630" s="2" t="s">
        <v>23</v>
      </c>
      <c r="H3630" s="1">
        <v>63.494000000000007</v>
      </c>
    </row>
    <row r="3631" spans="1:8" x14ac:dyDescent="0.3">
      <c r="A3631" s="2">
        <v>701</v>
      </c>
      <c r="B3631" t="s">
        <v>1137</v>
      </c>
      <c r="C3631" t="s">
        <v>3217</v>
      </c>
      <c r="D3631" s="2">
        <v>1</v>
      </c>
      <c r="E3631" s="11" t="s">
        <v>425</v>
      </c>
      <c r="F3631" t="s">
        <v>39</v>
      </c>
      <c r="G3631" s="2" t="s">
        <v>31</v>
      </c>
      <c r="H3631" s="1">
        <v>84.694000000000017</v>
      </c>
    </row>
    <row r="3632" spans="1:8" x14ac:dyDescent="0.3">
      <c r="A3632" s="2">
        <v>701</v>
      </c>
      <c r="B3632" t="s">
        <v>426</v>
      </c>
      <c r="C3632" t="s">
        <v>3217</v>
      </c>
      <c r="D3632" s="2">
        <v>1</v>
      </c>
      <c r="E3632" s="11" t="s">
        <v>425</v>
      </c>
      <c r="F3632" t="s">
        <v>39</v>
      </c>
      <c r="G3632" s="2" t="s">
        <v>23</v>
      </c>
      <c r="H3632" s="1">
        <v>84.694000000000017</v>
      </c>
    </row>
    <row r="3633" spans="1:8" x14ac:dyDescent="0.3">
      <c r="A3633" s="2">
        <v>701</v>
      </c>
      <c r="B3633" t="s">
        <v>1698</v>
      </c>
      <c r="C3633" t="s">
        <v>3224</v>
      </c>
      <c r="D3633" s="2">
        <v>1</v>
      </c>
      <c r="E3633" s="11" t="s">
        <v>1399</v>
      </c>
      <c r="F3633" t="s">
        <v>36</v>
      </c>
      <c r="G3633" s="2" t="s">
        <v>4</v>
      </c>
      <c r="H3633" s="1">
        <v>63.494000000000007</v>
      </c>
    </row>
    <row r="3634" spans="1:8" x14ac:dyDescent="0.3">
      <c r="A3634" s="2">
        <v>701</v>
      </c>
      <c r="B3634" t="s">
        <v>1745</v>
      </c>
      <c r="C3634" t="s">
        <v>3224</v>
      </c>
      <c r="D3634" s="2">
        <v>1</v>
      </c>
      <c r="E3634" s="11" t="s">
        <v>1399</v>
      </c>
      <c r="F3634" t="s">
        <v>36</v>
      </c>
      <c r="G3634" s="2" t="s">
        <v>23</v>
      </c>
      <c r="H3634" s="1">
        <v>63.494000000000007</v>
      </c>
    </row>
    <row r="3635" spans="1:8" x14ac:dyDescent="0.3">
      <c r="A3635" s="2">
        <v>702</v>
      </c>
      <c r="B3635" t="s">
        <v>1026</v>
      </c>
      <c r="C3635" t="s">
        <v>3220</v>
      </c>
      <c r="D3635" s="2">
        <v>1</v>
      </c>
      <c r="E3635" s="11" t="s">
        <v>204</v>
      </c>
      <c r="F3635" t="s">
        <v>55</v>
      </c>
      <c r="G3635" s="2" t="s">
        <v>203</v>
      </c>
      <c r="H3635" s="1">
        <v>42.294000000000004</v>
      </c>
    </row>
    <row r="3636" spans="1:8" x14ac:dyDescent="0.3">
      <c r="A3636" s="2">
        <v>702</v>
      </c>
      <c r="B3636" t="s">
        <v>278</v>
      </c>
      <c r="C3636" t="s">
        <v>3220</v>
      </c>
      <c r="D3636" s="2">
        <v>1</v>
      </c>
      <c r="E3636" s="11" t="s">
        <v>204</v>
      </c>
      <c r="F3636" t="s">
        <v>55</v>
      </c>
      <c r="G3636" s="2" t="s">
        <v>31</v>
      </c>
      <c r="H3636" s="1">
        <v>42.294000000000004</v>
      </c>
    </row>
    <row r="3637" spans="1:8" x14ac:dyDescent="0.3">
      <c r="A3637" s="2">
        <v>702</v>
      </c>
      <c r="B3637" t="s">
        <v>693</v>
      </c>
      <c r="C3637" t="s">
        <v>3220</v>
      </c>
      <c r="D3637" s="2">
        <v>1</v>
      </c>
      <c r="E3637" s="11" t="s">
        <v>204</v>
      </c>
      <c r="F3637" t="s">
        <v>55</v>
      </c>
      <c r="G3637" s="2" t="s">
        <v>23</v>
      </c>
      <c r="H3637" s="1">
        <v>42.294000000000004</v>
      </c>
    </row>
    <row r="3638" spans="1:8" x14ac:dyDescent="0.3">
      <c r="A3638" s="2">
        <v>702</v>
      </c>
      <c r="B3638" t="s">
        <v>1383</v>
      </c>
      <c r="C3638" t="s">
        <v>3220</v>
      </c>
      <c r="D3638" s="2">
        <v>1</v>
      </c>
      <c r="E3638" s="11" t="s">
        <v>204</v>
      </c>
      <c r="F3638" t="s">
        <v>65</v>
      </c>
      <c r="G3638" s="2" t="s">
        <v>4</v>
      </c>
      <c r="H3638" s="1">
        <v>42.294000000000004</v>
      </c>
    </row>
    <row r="3639" spans="1:8" x14ac:dyDescent="0.3">
      <c r="A3639" s="2">
        <v>702</v>
      </c>
      <c r="B3639" t="s">
        <v>728</v>
      </c>
      <c r="C3639" t="s">
        <v>3220</v>
      </c>
      <c r="D3639" s="2">
        <v>1</v>
      </c>
      <c r="E3639" s="11" t="s">
        <v>204</v>
      </c>
      <c r="F3639" t="s">
        <v>65</v>
      </c>
      <c r="G3639" s="2" t="s">
        <v>31</v>
      </c>
      <c r="H3639" s="1">
        <v>42.294000000000004</v>
      </c>
    </row>
    <row r="3640" spans="1:8" x14ac:dyDescent="0.3">
      <c r="A3640" s="2">
        <v>702</v>
      </c>
      <c r="B3640" t="s">
        <v>727</v>
      </c>
      <c r="C3640" t="s">
        <v>3220</v>
      </c>
      <c r="D3640" s="2">
        <v>1</v>
      </c>
      <c r="E3640" s="11" t="s">
        <v>204</v>
      </c>
      <c r="F3640" t="s">
        <v>65</v>
      </c>
      <c r="G3640" s="2" t="s">
        <v>23</v>
      </c>
      <c r="H3640" s="1">
        <v>42.294000000000004</v>
      </c>
    </row>
    <row r="3641" spans="1:8" x14ac:dyDescent="0.3">
      <c r="A3641" s="2">
        <v>702</v>
      </c>
      <c r="B3641" t="s">
        <v>729</v>
      </c>
      <c r="C3641" t="s">
        <v>1</v>
      </c>
      <c r="D3641" s="2">
        <v>1</v>
      </c>
      <c r="E3641" s="11" t="s">
        <v>281</v>
      </c>
      <c r="F3641" t="s">
        <v>65</v>
      </c>
      <c r="G3641" s="2" t="s">
        <v>31</v>
      </c>
      <c r="H3641" s="1">
        <v>58.194000000000003</v>
      </c>
    </row>
    <row r="3642" spans="1:8" x14ac:dyDescent="0.3">
      <c r="A3642" s="2">
        <v>702</v>
      </c>
      <c r="B3642" t="s">
        <v>1125</v>
      </c>
      <c r="C3642" t="s">
        <v>1</v>
      </c>
      <c r="D3642" s="2">
        <v>1</v>
      </c>
      <c r="E3642" s="11" t="s">
        <v>281</v>
      </c>
      <c r="F3642" t="s">
        <v>65</v>
      </c>
      <c r="G3642" s="2" t="s">
        <v>23</v>
      </c>
      <c r="H3642" s="1">
        <v>58.194000000000003</v>
      </c>
    </row>
    <row r="3643" spans="1:8" x14ac:dyDescent="0.3">
      <c r="A3643" s="2">
        <v>702</v>
      </c>
      <c r="B3643" t="s">
        <v>729</v>
      </c>
      <c r="C3643" t="s">
        <v>1</v>
      </c>
      <c r="D3643" s="2">
        <v>2</v>
      </c>
      <c r="E3643" s="11" t="s">
        <v>281</v>
      </c>
      <c r="F3643" t="s">
        <v>65</v>
      </c>
      <c r="G3643" s="2" t="s">
        <v>31</v>
      </c>
      <c r="H3643" s="1">
        <v>58.194000000000003</v>
      </c>
    </row>
    <row r="3644" spans="1:8" x14ac:dyDescent="0.3">
      <c r="A3644" s="2">
        <v>702</v>
      </c>
      <c r="B3644" t="s">
        <v>1472</v>
      </c>
      <c r="C3644" t="s">
        <v>3220</v>
      </c>
      <c r="D3644" s="2">
        <v>1</v>
      </c>
      <c r="E3644" s="11" t="s">
        <v>204</v>
      </c>
      <c r="F3644" t="s">
        <v>126</v>
      </c>
      <c r="G3644" s="2" t="s">
        <v>31</v>
      </c>
      <c r="H3644" s="1">
        <v>42.294000000000004</v>
      </c>
    </row>
    <row r="3645" spans="1:8" x14ac:dyDescent="0.3">
      <c r="A3645" s="2">
        <v>702</v>
      </c>
      <c r="B3645" t="s">
        <v>725</v>
      </c>
      <c r="C3645" t="s">
        <v>3220</v>
      </c>
      <c r="D3645" s="2">
        <v>1</v>
      </c>
      <c r="E3645" s="11" t="s">
        <v>204</v>
      </c>
      <c r="F3645" t="s">
        <v>126</v>
      </c>
      <c r="G3645" s="2" t="s">
        <v>23</v>
      </c>
      <c r="H3645" s="1">
        <v>42.294000000000004</v>
      </c>
    </row>
    <row r="3646" spans="1:8" x14ac:dyDescent="0.3">
      <c r="A3646" s="2">
        <v>702</v>
      </c>
      <c r="B3646" t="s">
        <v>277</v>
      </c>
      <c r="C3646" t="s">
        <v>3220</v>
      </c>
      <c r="D3646" s="2">
        <v>1</v>
      </c>
      <c r="E3646" s="11" t="s">
        <v>204</v>
      </c>
      <c r="F3646" t="s">
        <v>276</v>
      </c>
      <c r="G3646" s="2" t="s">
        <v>4</v>
      </c>
      <c r="H3646" s="1">
        <v>42.294000000000004</v>
      </c>
    </row>
    <row r="3647" spans="1:8" x14ac:dyDescent="0.3">
      <c r="A3647" s="2">
        <v>702</v>
      </c>
      <c r="B3647" t="s">
        <v>1024</v>
      </c>
      <c r="C3647" t="s">
        <v>3220</v>
      </c>
      <c r="D3647" s="2">
        <v>1</v>
      </c>
      <c r="E3647" s="11" t="s">
        <v>204</v>
      </c>
      <c r="F3647" t="s">
        <v>81</v>
      </c>
      <c r="G3647" s="2" t="s">
        <v>31</v>
      </c>
      <c r="H3647" s="1">
        <v>42.294000000000004</v>
      </c>
    </row>
    <row r="3648" spans="1:8" x14ac:dyDescent="0.3">
      <c r="A3648" s="2">
        <v>702</v>
      </c>
      <c r="B3648" t="s">
        <v>1023</v>
      </c>
      <c r="C3648" t="s">
        <v>3220</v>
      </c>
      <c r="D3648" s="2">
        <v>1</v>
      </c>
      <c r="E3648" s="11" t="s">
        <v>204</v>
      </c>
      <c r="F3648" t="s">
        <v>81</v>
      </c>
      <c r="G3648" s="2" t="s">
        <v>23</v>
      </c>
      <c r="H3648" s="1">
        <v>42.294000000000004</v>
      </c>
    </row>
    <row r="3649" spans="1:8" x14ac:dyDescent="0.3">
      <c r="A3649" s="2">
        <v>702</v>
      </c>
      <c r="B3649" t="s">
        <v>1024</v>
      </c>
      <c r="C3649" t="s">
        <v>3220</v>
      </c>
      <c r="D3649" s="2">
        <v>1</v>
      </c>
      <c r="E3649" s="11" t="s">
        <v>204</v>
      </c>
      <c r="F3649" t="s">
        <v>81</v>
      </c>
      <c r="G3649" s="2" t="s">
        <v>31</v>
      </c>
      <c r="H3649" s="1">
        <v>42.294000000000004</v>
      </c>
    </row>
    <row r="3650" spans="1:8" x14ac:dyDescent="0.3">
      <c r="A3650" s="2">
        <v>702</v>
      </c>
      <c r="B3650" t="s">
        <v>1023</v>
      </c>
      <c r="C3650" t="s">
        <v>3220</v>
      </c>
      <c r="D3650" s="2">
        <v>1</v>
      </c>
      <c r="E3650" s="11" t="s">
        <v>204</v>
      </c>
      <c r="F3650" t="s">
        <v>81</v>
      </c>
      <c r="G3650" s="2" t="s">
        <v>23</v>
      </c>
      <c r="H3650" s="1">
        <v>42.294000000000004</v>
      </c>
    </row>
    <row r="3651" spans="1:8" x14ac:dyDescent="0.3">
      <c r="A3651" s="2">
        <v>702</v>
      </c>
      <c r="B3651" t="s">
        <v>1421</v>
      </c>
      <c r="C3651" t="s">
        <v>1</v>
      </c>
      <c r="D3651" s="2">
        <v>1</v>
      </c>
      <c r="E3651" s="11" t="s">
        <v>76</v>
      </c>
      <c r="F3651" t="s">
        <v>62</v>
      </c>
      <c r="G3651" s="2" t="s">
        <v>23</v>
      </c>
      <c r="H3651" s="1">
        <v>63.494</v>
      </c>
    </row>
    <row r="3652" spans="1:8" x14ac:dyDescent="0.3">
      <c r="A3652" s="2">
        <v>702</v>
      </c>
      <c r="B3652" t="s">
        <v>1797</v>
      </c>
      <c r="C3652" t="s">
        <v>1</v>
      </c>
      <c r="D3652" s="2">
        <v>1</v>
      </c>
      <c r="E3652" s="11" t="s">
        <v>281</v>
      </c>
      <c r="F3652" t="s">
        <v>62</v>
      </c>
      <c r="G3652" s="2" t="s">
        <v>23</v>
      </c>
      <c r="H3652" s="1">
        <v>58.194000000000003</v>
      </c>
    </row>
    <row r="3653" spans="1:8" x14ac:dyDescent="0.3">
      <c r="A3653" s="2">
        <v>702</v>
      </c>
      <c r="B3653" t="s">
        <v>1467</v>
      </c>
      <c r="C3653" t="s">
        <v>1</v>
      </c>
      <c r="D3653" s="2">
        <v>1</v>
      </c>
      <c r="E3653" s="11" t="s">
        <v>281</v>
      </c>
      <c r="F3653" t="s">
        <v>241</v>
      </c>
      <c r="G3653" s="2" t="s">
        <v>23</v>
      </c>
      <c r="H3653" s="1">
        <v>58.194000000000003</v>
      </c>
    </row>
    <row r="3654" spans="1:8" x14ac:dyDescent="0.3">
      <c r="A3654" s="2">
        <v>702</v>
      </c>
      <c r="B3654" t="s">
        <v>719</v>
      </c>
      <c r="C3654" t="s">
        <v>3220</v>
      </c>
      <c r="D3654" s="2">
        <v>1</v>
      </c>
      <c r="E3654" s="11" t="s">
        <v>204</v>
      </c>
      <c r="F3654" t="s">
        <v>241</v>
      </c>
      <c r="G3654" s="2" t="s">
        <v>23</v>
      </c>
      <c r="H3654" s="1">
        <v>42.294000000000004</v>
      </c>
    </row>
    <row r="3655" spans="1:8" x14ac:dyDescent="0.3">
      <c r="A3655" s="2">
        <v>702</v>
      </c>
      <c r="B3655" t="s">
        <v>688</v>
      </c>
      <c r="C3655" t="s">
        <v>3220</v>
      </c>
      <c r="D3655" s="2">
        <v>1</v>
      </c>
      <c r="E3655" s="11" t="s">
        <v>204</v>
      </c>
      <c r="F3655" t="s">
        <v>28</v>
      </c>
      <c r="G3655" s="2" t="s">
        <v>4</v>
      </c>
      <c r="H3655" s="1">
        <v>42.294000000000004</v>
      </c>
    </row>
    <row r="3656" spans="1:8" x14ac:dyDescent="0.3">
      <c r="A3656" s="2">
        <v>702</v>
      </c>
      <c r="B3656" t="s">
        <v>717</v>
      </c>
      <c r="C3656" t="s">
        <v>3220</v>
      </c>
      <c r="D3656" s="2">
        <v>1</v>
      </c>
      <c r="E3656" s="11" t="s">
        <v>204</v>
      </c>
      <c r="F3656" t="s">
        <v>28</v>
      </c>
      <c r="G3656" s="2" t="s">
        <v>31</v>
      </c>
      <c r="H3656" s="1">
        <v>42.294000000000004</v>
      </c>
    </row>
    <row r="3657" spans="1:8" x14ac:dyDescent="0.3">
      <c r="A3657" s="2">
        <v>702</v>
      </c>
      <c r="B3657" t="s">
        <v>289</v>
      </c>
      <c r="C3657" t="s">
        <v>3220</v>
      </c>
      <c r="D3657" s="2">
        <v>1</v>
      </c>
      <c r="E3657" s="11" t="s">
        <v>204</v>
      </c>
      <c r="F3657" t="s">
        <v>28</v>
      </c>
      <c r="G3657" s="2" t="s">
        <v>23</v>
      </c>
      <c r="H3657" s="1">
        <v>42.294000000000004</v>
      </c>
    </row>
    <row r="3658" spans="1:8" x14ac:dyDescent="0.3">
      <c r="A3658" s="2">
        <v>702</v>
      </c>
      <c r="B3658" t="s">
        <v>1499</v>
      </c>
      <c r="C3658" t="s">
        <v>3220</v>
      </c>
      <c r="D3658" s="2">
        <v>1</v>
      </c>
      <c r="E3658" s="11" t="s">
        <v>204</v>
      </c>
      <c r="F3658" t="s">
        <v>959</v>
      </c>
      <c r="G3658" s="2" t="s">
        <v>31</v>
      </c>
      <c r="H3658" s="1">
        <v>42.294000000000004</v>
      </c>
    </row>
    <row r="3659" spans="1:8" x14ac:dyDescent="0.3">
      <c r="A3659" s="2">
        <v>702</v>
      </c>
      <c r="B3659" t="s">
        <v>1021</v>
      </c>
      <c r="C3659" t="s">
        <v>3220</v>
      </c>
      <c r="D3659" s="2">
        <v>1</v>
      </c>
      <c r="E3659" s="11" t="s">
        <v>204</v>
      </c>
      <c r="F3659" t="s">
        <v>959</v>
      </c>
      <c r="G3659" s="2" t="s">
        <v>23</v>
      </c>
      <c r="H3659" s="1">
        <v>42.294000000000004</v>
      </c>
    </row>
    <row r="3660" spans="1:8" x14ac:dyDescent="0.3">
      <c r="A3660" s="2">
        <v>702</v>
      </c>
      <c r="B3660" t="s">
        <v>1499</v>
      </c>
      <c r="C3660" t="s">
        <v>3220</v>
      </c>
      <c r="D3660" s="2">
        <v>1</v>
      </c>
      <c r="E3660" s="11" t="s">
        <v>204</v>
      </c>
      <c r="F3660" t="s">
        <v>959</v>
      </c>
      <c r="G3660" s="2" t="s">
        <v>31</v>
      </c>
      <c r="H3660" s="1">
        <v>42.294000000000004</v>
      </c>
    </row>
    <row r="3661" spans="1:8" x14ac:dyDescent="0.3">
      <c r="A3661" s="2">
        <v>702</v>
      </c>
      <c r="B3661" t="s">
        <v>1021</v>
      </c>
      <c r="C3661" t="s">
        <v>3220</v>
      </c>
      <c r="D3661" s="2">
        <v>1</v>
      </c>
      <c r="E3661" s="11" t="s">
        <v>204</v>
      </c>
      <c r="F3661" t="s">
        <v>959</v>
      </c>
      <c r="G3661" s="2" t="s">
        <v>23</v>
      </c>
      <c r="H3661" s="1">
        <v>42.294000000000004</v>
      </c>
    </row>
    <row r="3662" spans="1:8" x14ac:dyDescent="0.3">
      <c r="A3662" s="2">
        <v>702</v>
      </c>
      <c r="B3662" t="s">
        <v>1239</v>
      </c>
      <c r="C3662" t="s">
        <v>1</v>
      </c>
      <c r="D3662" s="2">
        <v>1</v>
      </c>
      <c r="E3662" s="11" t="s">
        <v>281</v>
      </c>
      <c r="F3662" t="s">
        <v>78</v>
      </c>
      <c r="G3662" s="2" t="s">
        <v>31</v>
      </c>
      <c r="H3662" s="1">
        <v>58.194000000000003</v>
      </c>
    </row>
    <row r="3663" spans="1:8" x14ac:dyDescent="0.3">
      <c r="A3663" s="2">
        <v>702</v>
      </c>
      <c r="B3663" t="s">
        <v>1796</v>
      </c>
      <c r="C3663" t="s">
        <v>1</v>
      </c>
      <c r="D3663" s="2">
        <v>1</v>
      </c>
      <c r="E3663" s="11" t="s">
        <v>281</v>
      </c>
      <c r="F3663" t="s">
        <v>78</v>
      </c>
      <c r="G3663" s="2" t="s">
        <v>23</v>
      </c>
      <c r="H3663" s="1">
        <v>58.194000000000003</v>
      </c>
    </row>
    <row r="3664" spans="1:8" x14ac:dyDescent="0.3">
      <c r="A3664" s="2">
        <v>702</v>
      </c>
      <c r="B3664" t="s">
        <v>206</v>
      </c>
      <c r="C3664" t="s">
        <v>3220</v>
      </c>
      <c r="D3664" s="2">
        <v>1</v>
      </c>
      <c r="E3664" s="11" t="s">
        <v>204</v>
      </c>
      <c r="F3664" t="s">
        <v>47</v>
      </c>
      <c r="G3664" s="2" t="s">
        <v>4</v>
      </c>
      <c r="H3664" s="1">
        <v>42.294000000000004</v>
      </c>
    </row>
    <row r="3665" spans="1:8" x14ac:dyDescent="0.3">
      <c r="A3665" s="2">
        <v>702</v>
      </c>
      <c r="B3665" t="s">
        <v>859</v>
      </c>
      <c r="C3665" t="s">
        <v>1</v>
      </c>
      <c r="D3665" s="2">
        <v>1</v>
      </c>
      <c r="E3665" s="11" t="s">
        <v>285</v>
      </c>
      <c r="F3665" t="s">
        <v>39</v>
      </c>
      <c r="G3665" s="2" t="s">
        <v>31</v>
      </c>
      <c r="H3665" s="1">
        <v>68.794000000000011</v>
      </c>
    </row>
    <row r="3666" spans="1:8" x14ac:dyDescent="0.3">
      <c r="A3666" s="2">
        <v>702</v>
      </c>
      <c r="B3666" t="s">
        <v>709</v>
      </c>
      <c r="C3666" t="s">
        <v>1</v>
      </c>
      <c r="D3666" s="2">
        <v>1</v>
      </c>
      <c r="E3666" s="11" t="s">
        <v>285</v>
      </c>
      <c r="F3666" t="s">
        <v>39</v>
      </c>
      <c r="G3666" s="2" t="s">
        <v>23</v>
      </c>
      <c r="H3666" s="1">
        <v>68.794000000000011</v>
      </c>
    </row>
    <row r="3667" spans="1:8" x14ac:dyDescent="0.3">
      <c r="A3667" s="2">
        <v>702</v>
      </c>
      <c r="B3667" t="s">
        <v>1457</v>
      </c>
      <c r="C3667" t="s">
        <v>1</v>
      </c>
      <c r="D3667" s="2">
        <v>2</v>
      </c>
      <c r="E3667" s="11" t="s">
        <v>281</v>
      </c>
      <c r="F3667" t="s">
        <v>39</v>
      </c>
      <c r="G3667" s="2" t="s">
        <v>4</v>
      </c>
      <c r="H3667" s="1">
        <v>58.194000000000003</v>
      </c>
    </row>
    <row r="3668" spans="1:8" x14ac:dyDescent="0.3">
      <c r="A3668" s="2">
        <v>702</v>
      </c>
      <c r="B3668" t="s">
        <v>1308</v>
      </c>
      <c r="C3668" t="s">
        <v>1</v>
      </c>
      <c r="D3668" s="2">
        <v>1</v>
      </c>
      <c r="E3668" s="11" t="s">
        <v>281</v>
      </c>
      <c r="F3668" t="s">
        <v>39</v>
      </c>
      <c r="G3668" s="2" t="s">
        <v>31</v>
      </c>
      <c r="H3668" s="1">
        <v>58.194000000000003</v>
      </c>
    </row>
    <row r="3669" spans="1:8" x14ac:dyDescent="0.3">
      <c r="A3669" s="2">
        <v>702</v>
      </c>
      <c r="B3669" t="s">
        <v>1235</v>
      </c>
      <c r="C3669" t="s">
        <v>1</v>
      </c>
      <c r="D3669" s="2">
        <v>1</v>
      </c>
      <c r="E3669" s="11" t="s">
        <v>281</v>
      </c>
      <c r="F3669" t="s">
        <v>39</v>
      </c>
      <c r="G3669" s="2" t="s">
        <v>23</v>
      </c>
      <c r="H3669" s="1">
        <v>58.194000000000003</v>
      </c>
    </row>
    <row r="3670" spans="1:8" x14ac:dyDescent="0.3">
      <c r="A3670" s="2">
        <v>702</v>
      </c>
      <c r="B3670" t="s">
        <v>1457</v>
      </c>
      <c r="C3670" t="s">
        <v>1</v>
      </c>
      <c r="D3670" s="2">
        <v>1</v>
      </c>
      <c r="E3670" s="11" t="s">
        <v>281</v>
      </c>
      <c r="F3670" t="s">
        <v>39</v>
      </c>
      <c r="G3670" s="2" t="s">
        <v>4</v>
      </c>
      <c r="H3670" s="1">
        <v>58.194000000000003</v>
      </c>
    </row>
    <row r="3671" spans="1:8" x14ac:dyDescent="0.3">
      <c r="A3671" s="2">
        <v>702</v>
      </c>
      <c r="B3671" t="s">
        <v>1308</v>
      </c>
      <c r="C3671" t="s">
        <v>1</v>
      </c>
      <c r="D3671" s="2">
        <v>1</v>
      </c>
      <c r="E3671" s="11" t="s">
        <v>281</v>
      </c>
      <c r="F3671" t="s">
        <v>39</v>
      </c>
      <c r="G3671" s="2" t="s">
        <v>31</v>
      </c>
      <c r="H3671" s="1">
        <v>58.194000000000003</v>
      </c>
    </row>
    <row r="3672" spans="1:8" x14ac:dyDescent="0.3">
      <c r="A3672" s="2">
        <v>702</v>
      </c>
      <c r="B3672" t="s">
        <v>1121</v>
      </c>
      <c r="C3672" t="s">
        <v>3220</v>
      </c>
      <c r="D3672" s="2">
        <v>1</v>
      </c>
      <c r="E3672" s="11" t="s">
        <v>204</v>
      </c>
      <c r="F3672" t="s">
        <v>39</v>
      </c>
      <c r="G3672" s="2" t="s">
        <v>31</v>
      </c>
      <c r="H3672" s="1">
        <v>42.294000000000004</v>
      </c>
    </row>
    <row r="3673" spans="1:8" x14ac:dyDescent="0.3">
      <c r="A3673" s="2">
        <v>702</v>
      </c>
      <c r="B3673" t="s">
        <v>708</v>
      </c>
      <c r="C3673" t="s">
        <v>3220</v>
      </c>
      <c r="D3673" s="2">
        <v>1</v>
      </c>
      <c r="E3673" s="11" t="s">
        <v>204</v>
      </c>
      <c r="F3673" t="s">
        <v>39</v>
      </c>
      <c r="G3673" s="2" t="s">
        <v>23</v>
      </c>
      <c r="H3673" s="1">
        <v>42.294000000000004</v>
      </c>
    </row>
    <row r="3674" spans="1:8" x14ac:dyDescent="0.3">
      <c r="A3674" s="2">
        <v>702</v>
      </c>
      <c r="B3674" t="s">
        <v>1264</v>
      </c>
      <c r="C3674" t="s">
        <v>3220</v>
      </c>
      <c r="D3674" s="2">
        <v>1</v>
      </c>
      <c r="E3674" s="11" t="s">
        <v>204</v>
      </c>
      <c r="F3674" t="s">
        <v>39</v>
      </c>
      <c r="G3674" s="2" t="s">
        <v>4</v>
      </c>
      <c r="H3674" s="1">
        <v>42.294000000000004</v>
      </c>
    </row>
    <row r="3675" spans="1:8" x14ac:dyDescent="0.3">
      <c r="A3675" s="2">
        <v>702</v>
      </c>
      <c r="B3675" t="s">
        <v>714</v>
      </c>
      <c r="C3675" t="s">
        <v>3220</v>
      </c>
      <c r="D3675" s="2">
        <v>1</v>
      </c>
      <c r="E3675" s="11" t="s">
        <v>204</v>
      </c>
      <c r="F3675" t="s">
        <v>276</v>
      </c>
      <c r="G3675" s="2" t="s">
        <v>31</v>
      </c>
      <c r="H3675" s="1">
        <v>42.294000000000004</v>
      </c>
    </row>
    <row r="3676" spans="1:8" x14ac:dyDescent="0.3">
      <c r="A3676" s="2">
        <v>702</v>
      </c>
      <c r="B3676" t="s">
        <v>1471</v>
      </c>
      <c r="C3676" t="s">
        <v>3220</v>
      </c>
      <c r="D3676" s="2">
        <v>1</v>
      </c>
      <c r="E3676" s="11" t="s">
        <v>204</v>
      </c>
      <c r="F3676" t="s">
        <v>1116</v>
      </c>
      <c r="G3676" s="2" t="s">
        <v>203</v>
      </c>
      <c r="H3676" s="1">
        <v>42.294000000000004</v>
      </c>
    </row>
    <row r="3677" spans="1:8" x14ac:dyDescent="0.3">
      <c r="A3677" s="2">
        <v>702</v>
      </c>
      <c r="B3677" t="s">
        <v>718</v>
      </c>
      <c r="C3677" t="s">
        <v>1</v>
      </c>
      <c r="D3677" s="2">
        <v>1</v>
      </c>
      <c r="E3677" s="11" t="s">
        <v>281</v>
      </c>
      <c r="F3677" t="s">
        <v>28</v>
      </c>
      <c r="G3677" s="2" t="s">
        <v>4</v>
      </c>
      <c r="H3677" s="1">
        <v>58.194000000000003</v>
      </c>
    </row>
    <row r="3678" spans="1:8" x14ac:dyDescent="0.3">
      <c r="A3678" s="2">
        <v>702</v>
      </c>
      <c r="B3678" t="s">
        <v>1114</v>
      </c>
      <c r="C3678" t="s">
        <v>1</v>
      </c>
      <c r="D3678" s="2">
        <v>1</v>
      </c>
      <c r="E3678" s="11" t="s">
        <v>281</v>
      </c>
      <c r="F3678" t="s">
        <v>28</v>
      </c>
      <c r="G3678" s="2" t="s">
        <v>23</v>
      </c>
      <c r="H3678" s="1">
        <v>58.194000000000003</v>
      </c>
    </row>
    <row r="3679" spans="1:8" x14ac:dyDescent="0.3">
      <c r="A3679" s="2">
        <v>702</v>
      </c>
      <c r="B3679" t="s">
        <v>717</v>
      </c>
      <c r="C3679" t="s">
        <v>3220</v>
      </c>
      <c r="D3679" s="2">
        <v>1</v>
      </c>
      <c r="E3679" s="11" t="s">
        <v>204</v>
      </c>
      <c r="F3679" t="s">
        <v>28</v>
      </c>
      <c r="G3679" s="2" t="s">
        <v>31</v>
      </c>
      <c r="H3679" s="1">
        <v>42.294000000000004</v>
      </c>
    </row>
    <row r="3680" spans="1:8" x14ac:dyDescent="0.3">
      <c r="A3680" s="2">
        <v>702</v>
      </c>
      <c r="B3680" t="s">
        <v>289</v>
      </c>
      <c r="C3680" t="s">
        <v>3220</v>
      </c>
      <c r="D3680" s="2">
        <v>1</v>
      </c>
      <c r="E3680" s="11" t="s">
        <v>204</v>
      </c>
      <c r="F3680" t="s">
        <v>28</v>
      </c>
      <c r="G3680" s="2" t="s">
        <v>23</v>
      </c>
      <c r="H3680" s="1">
        <v>42.294000000000004</v>
      </c>
    </row>
    <row r="3681" spans="1:8" x14ac:dyDescent="0.3">
      <c r="A3681" s="2">
        <v>703</v>
      </c>
      <c r="B3681" t="s">
        <v>1269</v>
      </c>
      <c r="C3681" t="s">
        <v>3219</v>
      </c>
      <c r="D3681" s="2">
        <v>1</v>
      </c>
      <c r="E3681" s="11" t="s">
        <v>534</v>
      </c>
      <c r="F3681" t="s">
        <v>55</v>
      </c>
      <c r="G3681" s="2" t="s">
        <v>31</v>
      </c>
      <c r="H3681" s="1">
        <v>89.994000000000014</v>
      </c>
    </row>
    <row r="3682" spans="1:8" x14ac:dyDescent="0.3">
      <c r="A3682" s="2">
        <v>703</v>
      </c>
      <c r="B3682" t="s">
        <v>1795</v>
      </c>
      <c r="C3682" t="s">
        <v>3221</v>
      </c>
      <c r="D3682" s="2">
        <v>5</v>
      </c>
      <c r="E3682" s="11" t="s">
        <v>199</v>
      </c>
      <c r="F3682" t="s">
        <v>39</v>
      </c>
      <c r="G3682" s="2" t="s">
        <v>4</v>
      </c>
      <c r="H3682" s="1">
        <v>137.69400000000002</v>
      </c>
    </row>
    <row r="3683" spans="1:8" x14ac:dyDescent="0.3">
      <c r="A3683" s="2">
        <v>703</v>
      </c>
      <c r="B3683" t="s">
        <v>200</v>
      </c>
      <c r="C3683" t="s">
        <v>3221</v>
      </c>
      <c r="D3683" s="2">
        <v>3</v>
      </c>
      <c r="E3683" s="11" t="s">
        <v>199</v>
      </c>
      <c r="F3683" t="s">
        <v>39</v>
      </c>
      <c r="G3683" s="2" t="s">
        <v>31</v>
      </c>
      <c r="H3683" s="1">
        <v>137.69400000000002</v>
      </c>
    </row>
    <row r="3684" spans="1:8" x14ac:dyDescent="0.3">
      <c r="A3684" s="2">
        <v>703</v>
      </c>
      <c r="B3684" t="s">
        <v>1378</v>
      </c>
      <c r="C3684" t="s">
        <v>3221</v>
      </c>
      <c r="D3684" s="2">
        <v>4</v>
      </c>
      <c r="E3684" s="11" t="s">
        <v>1180</v>
      </c>
      <c r="F3684" t="s">
        <v>39</v>
      </c>
      <c r="G3684" s="2" t="s">
        <v>4</v>
      </c>
      <c r="H3684" s="1">
        <v>169.49400000000003</v>
      </c>
    </row>
    <row r="3685" spans="1:8" x14ac:dyDescent="0.3">
      <c r="A3685" s="2">
        <v>703</v>
      </c>
      <c r="B3685" t="s">
        <v>1515</v>
      </c>
      <c r="C3685" t="s">
        <v>3221</v>
      </c>
      <c r="D3685" s="2">
        <v>2</v>
      </c>
      <c r="E3685" s="11" t="s">
        <v>1180</v>
      </c>
      <c r="F3685" t="s">
        <v>39</v>
      </c>
      <c r="G3685" s="2" t="s">
        <v>31</v>
      </c>
      <c r="H3685" s="1">
        <v>169.49400000000003</v>
      </c>
    </row>
    <row r="3686" spans="1:8" x14ac:dyDescent="0.3">
      <c r="A3686" s="2">
        <v>703</v>
      </c>
      <c r="B3686" t="s">
        <v>1425</v>
      </c>
      <c r="C3686" t="s">
        <v>3221</v>
      </c>
      <c r="D3686" s="2">
        <v>2</v>
      </c>
      <c r="E3686" s="11" t="s">
        <v>1180</v>
      </c>
      <c r="F3686" t="s">
        <v>39</v>
      </c>
      <c r="G3686" s="2" t="s">
        <v>23</v>
      </c>
      <c r="H3686" s="1">
        <v>169.49400000000003</v>
      </c>
    </row>
    <row r="3687" spans="1:8" x14ac:dyDescent="0.3">
      <c r="A3687" s="2">
        <v>704</v>
      </c>
      <c r="B3687" t="s">
        <v>1554</v>
      </c>
      <c r="C3687" t="s">
        <v>3221</v>
      </c>
      <c r="D3687" s="2">
        <v>3</v>
      </c>
      <c r="E3687" s="11" t="s">
        <v>1180</v>
      </c>
      <c r="F3687" t="s">
        <v>47</v>
      </c>
      <c r="G3687" s="2" t="s">
        <v>4</v>
      </c>
      <c r="H3687" s="1">
        <v>169.49400000000003</v>
      </c>
    </row>
    <row r="3688" spans="1:8" x14ac:dyDescent="0.3">
      <c r="A3688" s="2">
        <v>704</v>
      </c>
      <c r="B3688" t="s">
        <v>1181</v>
      </c>
      <c r="C3688" t="s">
        <v>3221</v>
      </c>
      <c r="D3688" s="2">
        <v>3</v>
      </c>
      <c r="E3688" s="11" t="s">
        <v>1180</v>
      </c>
      <c r="F3688" t="s">
        <v>47</v>
      </c>
      <c r="G3688" s="2" t="s">
        <v>31</v>
      </c>
      <c r="H3688" s="1">
        <v>169.49400000000003</v>
      </c>
    </row>
    <row r="3689" spans="1:8" x14ac:dyDescent="0.3">
      <c r="A3689" s="2">
        <v>704</v>
      </c>
      <c r="B3689" t="s">
        <v>1700</v>
      </c>
      <c r="C3689" t="s">
        <v>3221</v>
      </c>
      <c r="D3689" s="2">
        <v>2</v>
      </c>
      <c r="E3689" s="11" t="s">
        <v>1180</v>
      </c>
      <c r="F3689" t="s">
        <v>47</v>
      </c>
      <c r="G3689" s="2" t="s">
        <v>23</v>
      </c>
      <c r="H3689" s="1">
        <v>169.49400000000003</v>
      </c>
    </row>
    <row r="3690" spans="1:8" x14ac:dyDescent="0.3">
      <c r="A3690" s="2">
        <v>704</v>
      </c>
      <c r="B3690" t="s">
        <v>1378</v>
      </c>
      <c r="C3690" t="s">
        <v>3221</v>
      </c>
      <c r="D3690" s="2">
        <v>4</v>
      </c>
      <c r="E3690" s="11" t="s">
        <v>1180</v>
      </c>
      <c r="F3690" t="s">
        <v>39</v>
      </c>
      <c r="G3690" s="2" t="s">
        <v>4</v>
      </c>
      <c r="H3690" s="1">
        <v>169.49400000000003</v>
      </c>
    </row>
    <row r="3691" spans="1:8" x14ac:dyDescent="0.3">
      <c r="A3691" s="2">
        <v>704</v>
      </c>
      <c r="B3691" t="s">
        <v>1515</v>
      </c>
      <c r="C3691" t="s">
        <v>3221</v>
      </c>
      <c r="D3691" s="2">
        <v>2</v>
      </c>
      <c r="E3691" s="11" t="s">
        <v>1180</v>
      </c>
      <c r="F3691" t="s">
        <v>39</v>
      </c>
      <c r="G3691" s="2" t="s">
        <v>31</v>
      </c>
      <c r="H3691" s="1">
        <v>169.49400000000003</v>
      </c>
    </row>
    <row r="3692" spans="1:8" x14ac:dyDescent="0.3">
      <c r="A3692" s="2">
        <v>704</v>
      </c>
      <c r="B3692" t="s">
        <v>1425</v>
      </c>
      <c r="C3692" t="s">
        <v>3221</v>
      </c>
      <c r="D3692" s="2">
        <v>2</v>
      </c>
      <c r="E3692" s="11" t="s">
        <v>1180</v>
      </c>
      <c r="F3692" t="s">
        <v>39</v>
      </c>
      <c r="G3692" s="2" t="s">
        <v>23</v>
      </c>
      <c r="H3692" s="1">
        <v>169.49400000000003</v>
      </c>
    </row>
    <row r="3693" spans="1:8" x14ac:dyDescent="0.3">
      <c r="A3693" s="2">
        <v>705</v>
      </c>
      <c r="B3693" t="s">
        <v>784</v>
      </c>
      <c r="C3693" t="s">
        <v>2</v>
      </c>
      <c r="D3693" s="2">
        <v>2</v>
      </c>
      <c r="E3693" s="11" t="s">
        <v>783</v>
      </c>
      <c r="F3693" t="s">
        <v>114</v>
      </c>
      <c r="G3693" s="2" t="s">
        <v>31</v>
      </c>
      <c r="H3693" s="1">
        <v>169.49400000000003</v>
      </c>
    </row>
    <row r="3694" spans="1:8" x14ac:dyDescent="0.3">
      <c r="A3694" s="2">
        <v>705</v>
      </c>
      <c r="B3694" t="s">
        <v>1794</v>
      </c>
      <c r="C3694" t="s">
        <v>3221</v>
      </c>
      <c r="D3694" s="2">
        <v>1</v>
      </c>
      <c r="E3694" s="11" t="s">
        <v>1180</v>
      </c>
      <c r="F3694" t="s">
        <v>114</v>
      </c>
      <c r="G3694" s="2" t="s">
        <v>23</v>
      </c>
      <c r="H3694" s="1">
        <v>169.49400000000003</v>
      </c>
    </row>
    <row r="3695" spans="1:8" x14ac:dyDescent="0.3">
      <c r="A3695" s="2">
        <v>705</v>
      </c>
      <c r="B3695" t="s">
        <v>1671</v>
      </c>
      <c r="C3695" t="s">
        <v>3219</v>
      </c>
      <c r="D3695" s="2">
        <v>1</v>
      </c>
      <c r="E3695" s="11" t="s">
        <v>1460</v>
      </c>
      <c r="F3695" t="s">
        <v>114</v>
      </c>
      <c r="G3695" s="2" t="s">
        <v>31</v>
      </c>
      <c r="H3695" s="1">
        <v>142.994</v>
      </c>
    </row>
    <row r="3696" spans="1:8" x14ac:dyDescent="0.3">
      <c r="A3696" s="2">
        <v>705</v>
      </c>
      <c r="B3696" t="s">
        <v>558</v>
      </c>
      <c r="C3696" t="s">
        <v>0</v>
      </c>
      <c r="D3696" s="2">
        <v>1</v>
      </c>
      <c r="E3696" s="11" t="s">
        <v>549</v>
      </c>
      <c r="F3696" t="s">
        <v>114</v>
      </c>
      <c r="G3696" s="2" t="s">
        <v>23</v>
      </c>
      <c r="H3696" s="1">
        <v>164.19400000000002</v>
      </c>
    </row>
    <row r="3697" spans="1:8" x14ac:dyDescent="0.3">
      <c r="A3697" s="2">
        <v>705</v>
      </c>
      <c r="B3697" t="s">
        <v>1555</v>
      </c>
      <c r="C3697" t="s">
        <v>3</v>
      </c>
      <c r="D3697" s="2">
        <v>1</v>
      </c>
      <c r="E3697" s="11" t="s">
        <v>1356</v>
      </c>
      <c r="F3697" t="s">
        <v>47</v>
      </c>
      <c r="G3697" s="2" t="s">
        <v>31</v>
      </c>
      <c r="H3697" s="1">
        <v>111.19400000000002</v>
      </c>
    </row>
    <row r="3698" spans="1:8" x14ac:dyDescent="0.3">
      <c r="A3698" s="2">
        <v>705</v>
      </c>
      <c r="B3698" t="s">
        <v>1181</v>
      </c>
      <c r="C3698" t="s">
        <v>3221</v>
      </c>
      <c r="D3698" s="2">
        <v>1</v>
      </c>
      <c r="E3698" s="11" t="s">
        <v>1180</v>
      </c>
      <c r="F3698" t="s">
        <v>47</v>
      </c>
      <c r="G3698" s="2" t="s">
        <v>31</v>
      </c>
      <c r="H3698" s="1">
        <v>169.49400000000003</v>
      </c>
    </row>
    <row r="3699" spans="1:8" x14ac:dyDescent="0.3">
      <c r="A3699" s="2">
        <v>705</v>
      </c>
      <c r="B3699" t="s">
        <v>1107</v>
      </c>
      <c r="C3699" t="s">
        <v>0</v>
      </c>
      <c r="D3699" s="2">
        <v>1</v>
      </c>
      <c r="E3699" s="11" t="s">
        <v>1106</v>
      </c>
      <c r="F3699" t="s">
        <v>47</v>
      </c>
      <c r="G3699" s="2" t="s">
        <v>31</v>
      </c>
      <c r="H3699" s="1">
        <v>185.39400000000001</v>
      </c>
    </row>
    <row r="3700" spans="1:8" x14ac:dyDescent="0.3">
      <c r="A3700" s="2">
        <v>705</v>
      </c>
      <c r="B3700" t="s">
        <v>1676</v>
      </c>
      <c r="C3700" t="s">
        <v>2</v>
      </c>
      <c r="D3700" s="2">
        <v>1</v>
      </c>
      <c r="E3700" s="11" t="s">
        <v>1615</v>
      </c>
      <c r="F3700" t="s">
        <v>47</v>
      </c>
      <c r="G3700" s="2" t="s">
        <v>31</v>
      </c>
      <c r="H3700" s="1">
        <v>127.09400000000001</v>
      </c>
    </row>
    <row r="3701" spans="1:8" x14ac:dyDescent="0.3">
      <c r="A3701" s="2">
        <v>705</v>
      </c>
      <c r="B3701" t="s">
        <v>1529</v>
      </c>
      <c r="C3701" t="s">
        <v>3220</v>
      </c>
      <c r="D3701" s="2">
        <v>1</v>
      </c>
      <c r="E3701" s="11" t="s">
        <v>185</v>
      </c>
      <c r="F3701" t="s">
        <v>47</v>
      </c>
      <c r="G3701" s="2" t="s">
        <v>23</v>
      </c>
      <c r="H3701" s="1">
        <v>84.694000000000017</v>
      </c>
    </row>
    <row r="3702" spans="1:8" x14ac:dyDescent="0.3">
      <c r="A3702" s="2">
        <v>705</v>
      </c>
      <c r="B3702" t="s">
        <v>1717</v>
      </c>
      <c r="C3702" t="s">
        <v>3219</v>
      </c>
      <c r="D3702" s="2">
        <v>1</v>
      </c>
      <c r="E3702" s="11" t="s">
        <v>1175</v>
      </c>
      <c r="F3702" t="s">
        <v>47</v>
      </c>
      <c r="G3702" s="2" t="s">
        <v>23</v>
      </c>
      <c r="H3702" s="1">
        <v>158.89400000000001</v>
      </c>
    </row>
    <row r="3703" spans="1:8" x14ac:dyDescent="0.3">
      <c r="A3703" s="2">
        <v>705</v>
      </c>
      <c r="B3703" t="s">
        <v>1514</v>
      </c>
      <c r="C3703" t="s">
        <v>3</v>
      </c>
      <c r="D3703" s="2">
        <v>1</v>
      </c>
      <c r="E3703" s="11" t="s">
        <v>215</v>
      </c>
      <c r="F3703" t="s">
        <v>39</v>
      </c>
      <c r="G3703" s="2" t="s">
        <v>31</v>
      </c>
      <c r="H3703" s="1">
        <v>111.19400000000002</v>
      </c>
    </row>
    <row r="3704" spans="1:8" x14ac:dyDescent="0.3">
      <c r="A3704" s="2">
        <v>705</v>
      </c>
      <c r="B3704" t="s">
        <v>1660</v>
      </c>
      <c r="C3704" t="s">
        <v>3233</v>
      </c>
      <c r="D3704" s="2">
        <v>1</v>
      </c>
      <c r="E3704" s="11" t="s">
        <v>1278</v>
      </c>
      <c r="F3704" t="s">
        <v>39</v>
      </c>
      <c r="G3704" s="2" t="s">
        <v>31</v>
      </c>
      <c r="H3704" s="1">
        <v>100.59400000000001</v>
      </c>
    </row>
    <row r="3705" spans="1:8" x14ac:dyDescent="0.3">
      <c r="A3705" s="2">
        <v>705</v>
      </c>
      <c r="B3705" t="s">
        <v>1744</v>
      </c>
      <c r="C3705" t="s">
        <v>3217</v>
      </c>
      <c r="D3705" s="2">
        <v>1</v>
      </c>
      <c r="E3705" s="11" t="s">
        <v>425</v>
      </c>
      <c r="F3705" t="s">
        <v>36</v>
      </c>
      <c r="G3705" s="2" t="s">
        <v>31</v>
      </c>
      <c r="H3705" s="1">
        <v>84.694000000000017</v>
      </c>
    </row>
    <row r="3706" spans="1:8" x14ac:dyDescent="0.3">
      <c r="A3706" s="2">
        <v>705</v>
      </c>
      <c r="B3706" t="s">
        <v>1131</v>
      </c>
      <c r="C3706" t="s">
        <v>1</v>
      </c>
      <c r="D3706" s="2">
        <v>1</v>
      </c>
      <c r="E3706" s="11" t="s">
        <v>740</v>
      </c>
      <c r="F3706" t="s">
        <v>28</v>
      </c>
      <c r="G3706" s="2" t="s">
        <v>31</v>
      </c>
      <c r="H3706" s="1">
        <v>52.893999999999998</v>
      </c>
    </row>
    <row r="3707" spans="1:8" x14ac:dyDescent="0.3">
      <c r="A3707" s="2">
        <v>706</v>
      </c>
      <c r="B3707" t="s">
        <v>1735</v>
      </c>
      <c r="C3707" t="s">
        <v>2</v>
      </c>
      <c r="D3707" s="2">
        <v>1</v>
      </c>
      <c r="E3707" s="11" t="s">
        <v>1678</v>
      </c>
      <c r="F3707" t="s">
        <v>55</v>
      </c>
      <c r="G3707" s="2" t="s">
        <v>23</v>
      </c>
      <c r="H3707" s="1">
        <v>73.093999999999994</v>
      </c>
    </row>
    <row r="3708" spans="1:8" x14ac:dyDescent="0.3">
      <c r="A3708" s="2">
        <v>706</v>
      </c>
      <c r="B3708" t="s">
        <v>1793</v>
      </c>
      <c r="C3708" t="s">
        <v>3233</v>
      </c>
      <c r="D3708" s="2">
        <v>1</v>
      </c>
      <c r="E3708" s="11" t="s">
        <v>258</v>
      </c>
      <c r="F3708" t="s">
        <v>254</v>
      </c>
      <c r="G3708" s="2" t="s">
        <v>23</v>
      </c>
      <c r="H3708" s="1">
        <v>79.394000000000005</v>
      </c>
    </row>
    <row r="3709" spans="1:8" x14ac:dyDescent="0.3">
      <c r="A3709" s="2">
        <v>706</v>
      </c>
      <c r="B3709" t="s">
        <v>762</v>
      </c>
      <c r="C3709" t="s">
        <v>1</v>
      </c>
      <c r="D3709" s="2">
        <v>1</v>
      </c>
      <c r="E3709" s="11" t="s">
        <v>53</v>
      </c>
      <c r="F3709" t="s">
        <v>55</v>
      </c>
      <c r="G3709" s="2" t="s">
        <v>203</v>
      </c>
      <c r="H3709" s="1">
        <v>36.994</v>
      </c>
    </row>
    <row r="3710" spans="1:8" x14ac:dyDescent="0.3">
      <c r="A3710" s="2">
        <v>706</v>
      </c>
      <c r="B3710" t="s">
        <v>1720</v>
      </c>
      <c r="C3710" t="s">
        <v>3224</v>
      </c>
      <c r="D3710" s="2">
        <v>1</v>
      </c>
      <c r="E3710" s="11" t="s">
        <v>1719</v>
      </c>
      <c r="F3710" t="s">
        <v>114</v>
      </c>
      <c r="G3710" s="2" t="s">
        <v>23</v>
      </c>
      <c r="H3710" s="1">
        <v>105.89400000000001</v>
      </c>
    </row>
    <row r="3711" spans="1:8" x14ac:dyDescent="0.3">
      <c r="A3711" s="2">
        <v>706</v>
      </c>
      <c r="B3711" t="s">
        <v>1690</v>
      </c>
      <c r="C3711" t="s">
        <v>0</v>
      </c>
      <c r="D3711" s="2">
        <v>1</v>
      </c>
      <c r="E3711" s="11" t="s">
        <v>1077</v>
      </c>
      <c r="F3711" t="s">
        <v>114</v>
      </c>
      <c r="G3711" s="2" t="s">
        <v>31</v>
      </c>
      <c r="H3711" s="1">
        <v>180.09400000000002</v>
      </c>
    </row>
    <row r="3712" spans="1:8" x14ac:dyDescent="0.3">
      <c r="A3712" s="2">
        <v>706</v>
      </c>
      <c r="B3712" t="s">
        <v>1400</v>
      </c>
      <c r="C3712" t="s">
        <v>3224</v>
      </c>
      <c r="D3712" s="2">
        <v>1</v>
      </c>
      <c r="E3712" s="11" t="s">
        <v>1399</v>
      </c>
      <c r="F3712" t="s">
        <v>114</v>
      </c>
      <c r="G3712" s="2" t="s">
        <v>23</v>
      </c>
      <c r="H3712" s="1">
        <v>63.494000000000007</v>
      </c>
    </row>
    <row r="3713" spans="1:8" x14ac:dyDescent="0.3">
      <c r="A3713" s="2">
        <v>706</v>
      </c>
      <c r="B3713" t="s">
        <v>1566</v>
      </c>
      <c r="C3713" t="s">
        <v>3225</v>
      </c>
      <c r="D3713" s="2">
        <v>1</v>
      </c>
      <c r="E3713" s="11" t="s">
        <v>239</v>
      </c>
      <c r="F3713" t="s">
        <v>47</v>
      </c>
      <c r="G3713" s="2" t="s">
        <v>4</v>
      </c>
      <c r="H3713" s="1">
        <v>148.29400000000001</v>
      </c>
    </row>
    <row r="3714" spans="1:8" x14ac:dyDescent="0.3">
      <c r="A3714" s="2">
        <v>706</v>
      </c>
      <c r="B3714" t="s">
        <v>1792</v>
      </c>
      <c r="C3714" t="s">
        <v>0</v>
      </c>
      <c r="D3714" s="2">
        <v>1</v>
      </c>
      <c r="E3714" s="11" t="s">
        <v>549</v>
      </c>
      <c r="F3714" t="s">
        <v>47</v>
      </c>
      <c r="G3714" s="2" t="s">
        <v>23</v>
      </c>
      <c r="H3714" s="1">
        <v>164.19400000000002</v>
      </c>
    </row>
    <row r="3715" spans="1:8" x14ac:dyDescent="0.3">
      <c r="A3715" s="2">
        <v>706</v>
      </c>
      <c r="B3715" t="s">
        <v>982</v>
      </c>
      <c r="C3715" t="s">
        <v>3219</v>
      </c>
      <c r="D3715" s="2">
        <v>2</v>
      </c>
      <c r="E3715" s="11" t="s">
        <v>892</v>
      </c>
      <c r="F3715" t="s">
        <v>39</v>
      </c>
      <c r="G3715" s="2" t="s">
        <v>4</v>
      </c>
      <c r="H3715" s="1">
        <v>158.89400000000001</v>
      </c>
    </row>
    <row r="3716" spans="1:8" x14ac:dyDescent="0.3">
      <c r="A3716" s="2">
        <v>706</v>
      </c>
      <c r="B3716" t="s">
        <v>1236</v>
      </c>
      <c r="C3716" t="s">
        <v>0</v>
      </c>
      <c r="D3716" s="2">
        <v>1</v>
      </c>
      <c r="E3716" s="11" t="s">
        <v>549</v>
      </c>
      <c r="F3716" t="s">
        <v>39</v>
      </c>
      <c r="G3716" s="2" t="s">
        <v>31</v>
      </c>
      <c r="H3716" s="1">
        <v>164.19400000000002</v>
      </c>
    </row>
    <row r="3717" spans="1:8" x14ac:dyDescent="0.3">
      <c r="A3717" s="2">
        <v>706</v>
      </c>
      <c r="B3717" t="s">
        <v>1791</v>
      </c>
      <c r="C3717" t="s">
        <v>3220</v>
      </c>
      <c r="D3717" s="2">
        <v>1</v>
      </c>
      <c r="E3717" s="11" t="s">
        <v>1790</v>
      </c>
      <c r="F3717" t="s">
        <v>28</v>
      </c>
      <c r="G3717" s="2" t="s">
        <v>31</v>
      </c>
      <c r="H3717" s="1">
        <v>84.694000000000017</v>
      </c>
    </row>
    <row r="3718" spans="1:8" x14ac:dyDescent="0.3">
      <c r="A3718" s="2">
        <v>707</v>
      </c>
      <c r="B3718" t="s">
        <v>1789</v>
      </c>
      <c r="C3718" t="s">
        <v>0</v>
      </c>
      <c r="D3718" s="2">
        <v>1</v>
      </c>
      <c r="E3718" s="11" t="s">
        <v>1304</v>
      </c>
      <c r="F3718" t="s">
        <v>114</v>
      </c>
      <c r="G3718" s="2" t="s">
        <v>31</v>
      </c>
      <c r="H3718" s="1">
        <v>212.89400000000001</v>
      </c>
    </row>
    <row r="3719" spans="1:8" x14ac:dyDescent="0.3">
      <c r="A3719" s="2">
        <v>707</v>
      </c>
      <c r="B3719" t="s">
        <v>1331</v>
      </c>
      <c r="C3719" t="s">
        <v>2</v>
      </c>
      <c r="D3719" s="2">
        <v>1</v>
      </c>
      <c r="E3719" s="11" t="s">
        <v>783</v>
      </c>
      <c r="F3719" t="s">
        <v>114</v>
      </c>
      <c r="G3719" s="2" t="s">
        <v>23</v>
      </c>
      <c r="H3719" s="1">
        <v>169.49400000000003</v>
      </c>
    </row>
    <row r="3720" spans="1:8" x14ac:dyDescent="0.3">
      <c r="A3720" s="2">
        <v>707</v>
      </c>
      <c r="B3720" t="s">
        <v>1788</v>
      </c>
      <c r="C3720" t="s">
        <v>3224</v>
      </c>
      <c r="D3720" s="2">
        <v>1</v>
      </c>
      <c r="E3720" s="11" t="s">
        <v>1231</v>
      </c>
      <c r="F3720" t="s">
        <v>114</v>
      </c>
      <c r="G3720" s="2" t="s">
        <v>23</v>
      </c>
      <c r="H3720" s="1">
        <v>105.89400000000001</v>
      </c>
    </row>
    <row r="3721" spans="1:8" x14ac:dyDescent="0.3">
      <c r="A3721" s="2">
        <v>707</v>
      </c>
      <c r="B3721" t="s">
        <v>1787</v>
      </c>
      <c r="C3721" t="s">
        <v>0</v>
      </c>
      <c r="D3721" s="2">
        <v>1</v>
      </c>
      <c r="E3721" s="11" t="s">
        <v>1786</v>
      </c>
      <c r="F3721" t="s">
        <v>28</v>
      </c>
      <c r="G3721" s="2" t="s">
        <v>23</v>
      </c>
      <c r="H3721" s="1">
        <v>169.49400000000003</v>
      </c>
    </row>
    <row r="3722" spans="1:8" x14ac:dyDescent="0.3">
      <c r="A3722" s="2">
        <v>707</v>
      </c>
      <c r="B3722" t="s">
        <v>1646</v>
      </c>
      <c r="C3722" t="s">
        <v>1</v>
      </c>
      <c r="D3722" s="2">
        <v>1</v>
      </c>
      <c r="E3722" s="11" t="s">
        <v>1645</v>
      </c>
      <c r="F3722" t="s">
        <v>114</v>
      </c>
      <c r="G3722" s="2" t="s">
        <v>31</v>
      </c>
      <c r="H3722" s="1">
        <v>63.494000000000007</v>
      </c>
    </row>
    <row r="3723" spans="1:8" x14ac:dyDescent="0.3">
      <c r="A3723" s="2">
        <v>707</v>
      </c>
      <c r="B3723" t="s">
        <v>1536</v>
      </c>
      <c r="C3723" t="s">
        <v>3</v>
      </c>
      <c r="D3723" s="2">
        <v>1</v>
      </c>
      <c r="E3723" s="11" t="s">
        <v>1535</v>
      </c>
      <c r="F3723" t="s">
        <v>114</v>
      </c>
      <c r="G3723" s="2" t="s">
        <v>31</v>
      </c>
      <c r="H3723" s="1">
        <v>95.294000000000011</v>
      </c>
    </row>
    <row r="3724" spans="1:8" x14ac:dyDescent="0.3">
      <c r="A3724" s="2">
        <v>707</v>
      </c>
      <c r="B3724" t="s">
        <v>1785</v>
      </c>
      <c r="C3724" t="s">
        <v>0</v>
      </c>
      <c r="D3724" s="2">
        <v>1</v>
      </c>
      <c r="E3724" s="11" t="s">
        <v>1784</v>
      </c>
      <c r="F3724" t="s">
        <v>114</v>
      </c>
      <c r="G3724" s="2" t="s">
        <v>31</v>
      </c>
      <c r="H3724" s="1">
        <v>158.89400000000001</v>
      </c>
    </row>
    <row r="3725" spans="1:8" x14ac:dyDescent="0.3">
      <c r="A3725" s="2">
        <v>707</v>
      </c>
      <c r="B3725" t="s">
        <v>1084</v>
      </c>
      <c r="C3725" t="s">
        <v>0</v>
      </c>
      <c r="D3725" s="2">
        <v>1</v>
      </c>
      <c r="E3725" s="11" t="s">
        <v>1083</v>
      </c>
      <c r="F3725" t="s">
        <v>39</v>
      </c>
      <c r="G3725" s="2" t="s">
        <v>31</v>
      </c>
      <c r="H3725" s="1">
        <v>169.49400000000003</v>
      </c>
    </row>
    <row r="3726" spans="1:8" x14ac:dyDescent="0.3">
      <c r="A3726" s="2">
        <v>707</v>
      </c>
      <c r="B3726" t="s">
        <v>1576</v>
      </c>
      <c r="C3726" t="s">
        <v>3224</v>
      </c>
      <c r="D3726" s="2">
        <v>1</v>
      </c>
      <c r="E3726" s="11" t="s">
        <v>1575</v>
      </c>
      <c r="F3726" t="s">
        <v>39</v>
      </c>
      <c r="G3726" s="2" t="s">
        <v>23</v>
      </c>
      <c r="H3726" s="1">
        <v>89.994000000000014</v>
      </c>
    </row>
    <row r="3727" spans="1:8" x14ac:dyDescent="0.3">
      <c r="A3727" s="2">
        <v>707</v>
      </c>
      <c r="B3727" t="s">
        <v>1749</v>
      </c>
      <c r="C3727" t="s">
        <v>2</v>
      </c>
      <c r="D3727" s="2">
        <v>1</v>
      </c>
      <c r="E3727" s="11" t="s">
        <v>1742</v>
      </c>
      <c r="F3727" t="s">
        <v>39</v>
      </c>
      <c r="G3727" s="2" t="s">
        <v>23</v>
      </c>
      <c r="H3727" s="1">
        <v>137.69400000000002</v>
      </c>
    </row>
    <row r="3728" spans="1:8" x14ac:dyDescent="0.3">
      <c r="A3728" s="2">
        <v>707</v>
      </c>
      <c r="B3728" t="s">
        <v>1783</v>
      </c>
      <c r="C3728" t="s">
        <v>3220</v>
      </c>
      <c r="D3728" s="2">
        <v>1</v>
      </c>
      <c r="E3728" s="11" t="s">
        <v>847</v>
      </c>
      <c r="F3728" t="s">
        <v>24</v>
      </c>
      <c r="G3728" s="2" t="s">
        <v>31</v>
      </c>
      <c r="H3728" s="1">
        <v>21.094000000000001</v>
      </c>
    </row>
    <row r="3729" spans="1:8" x14ac:dyDescent="0.3">
      <c r="A3729" s="2">
        <v>707</v>
      </c>
      <c r="B3729" t="s">
        <v>1782</v>
      </c>
      <c r="C3729" t="s">
        <v>2</v>
      </c>
      <c r="D3729" s="2">
        <v>1</v>
      </c>
      <c r="E3729" s="11" t="s">
        <v>1619</v>
      </c>
      <c r="F3729" t="s">
        <v>24</v>
      </c>
      <c r="G3729" s="2" t="s">
        <v>31</v>
      </c>
      <c r="H3729" s="1">
        <v>137.69400000000002</v>
      </c>
    </row>
    <row r="3730" spans="1:8" x14ac:dyDescent="0.3">
      <c r="A3730" s="2">
        <v>708</v>
      </c>
      <c r="B3730" t="s">
        <v>1781</v>
      </c>
      <c r="C3730" t="s">
        <v>1</v>
      </c>
      <c r="D3730" s="2">
        <v>1</v>
      </c>
      <c r="E3730" s="11" t="s">
        <v>281</v>
      </c>
      <c r="F3730" t="s">
        <v>55</v>
      </c>
      <c r="G3730" s="2" t="s">
        <v>4</v>
      </c>
      <c r="H3730" s="1">
        <v>58.194000000000003</v>
      </c>
    </row>
    <row r="3731" spans="1:8" x14ac:dyDescent="0.3">
      <c r="A3731" s="2">
        <v>708</v>
      </c>
      <c r="B3731" t="s">
        <v>1780</v>
      </c>
      <c r="C3731" t="s">
        <v>3219</v>
      </c>
      <c r="D3731" s="2">
        <v>1</v>
      </c>
      <c r="E3731" s="11" t="s">
        <v>102</v>
      </c>
      <c r="F3731" t="s">
        <v>126</v>
      </c>
      <c r="G3731" s="2" t="s">
        <v>4</v>
      </c>
      <c r="H3731" s="1">
        <v>121.79400000000001</v>
      </c>
    </row>
    <row r="3732" spans="1:8" x14ac:dyDescent="0.3">
      <c r="A3732" s="2">
        <v>708</v>
      </c>
      <c r="B3732" t="s">
        <v>1692</v>
      </c>
      <c r="C3732" t="s">
        <v>0</v>
      </c>
      <c r="D3732" s="2">
        <v>1</v>
      </c>
      <c r="E3732" s="11" t="s">
        <v>1584</v>
      </c>
      <c r="F3732" t="s">
        <v>126</v>
      </c>
      <c r="G3732" s="2" t="s">
        <v>4</v>
      </c>
      <c r="H3732" s="1">
        <v>169.49400000000003</v>
      </c>
    </row>
    <row r="3733" spans="1:8" x14ac:dyDescent="0.3">
      <c r="A3733" s="2">
        <v>708</v>
      </c>
      <c r="B3733" t="s">
        <v>1341</v>
      </c>
      <c r="C3733" t="s">
        <v>3219</v>
      </c>
      <c r="D3733" s="2">
        <v>1</v>
      </c>
      <c r="E3733" s="11" t="s">
        <v>673</v>
      </c>
      <c r="F3733" t="s">
        <v>81</v>
      </c>
      <c r="G3733" s="2" t="s">
        <v>4</v>
      </c>
      <c r="H3733" s="1">
        <v>89.994000000000014</v>
      </c>
    </row>
    <row r="3734" spans="1:8" x14ac:dyDescent="0.3">
      <c r="A3734" s="2">
        <v>708</v>
      </c>
      <c r="B3734" t="s">
        <v>1779</v>
      </c>
      <c r="C3734" t="s">
        <v>3217</v>
      </c>
      <c r="D3734" s="2">
        <v>1</v>
      </c>
      <c r="E3734" s="11" t="s">
        <v>1648</v>
      </c>
      <c r="F3734" t="s">
        <v>55</v>
      </c>
      <c r="G3734" s="2" t="s">
        <v>31</v>
      </c>
      <c r="H3734" s="1">
        <v>79.394000000000005</v>
      </c>
    </row>
    <row r="3735" spans="1:8" x14ac:dyDescent="0.3">
      <c r="A3735" s="2">
        <v>708</v>
      </c>
      <c r="B3735" t="s">
        <v>1778</v>
      </c>
      <c r="C3735" t="s">
        <v>1</v>
      </c>
      <c r="D3735" s="2">
        <v>1</v>
      </c>
      <c r="E3735" s="11" t="s">
        <v>1774</v>
      </c>
      <c r="F3735" t="s">
        <v>114</v>
      </c>
      <c r="G3735" s="2" t="s">
        <v>4</v>
      </c>
      <c r="H3735" s="1">
        <v>89.994000000000014</v>
      </c>
    </row>
    <row r="3736" spans="1:8" x14ac:dyDescent="0.3">
      <c r="A3736" s="2">
        <v>708</v>
      </c>
      <c r="B3736" t="s">
        <v>1777</v>
      </c>
      <c r="C3736" t="s">
        <v>3220</v>
      </c>
      <c r="D3736" s="2">
        <v>1</v>
      </c>
      <c r="E3736" s="11" t="s">
        <v>1138</v>
      </c>
      <c r="F3736" t="s">
        <v>114</v>
      </c>
      <c r="G3736" s="2" t="s">
        <v>31</v>
      </c>
      <c r="H3736" s="1">
        <v>68.794000000000011</v>
      </c>
    </row>
    <row r="3737" spans="1:8" x14ac:dyDescent="0.3">
      <c r="A3737" s="2">
        <v>708</v>
      </c>
      <c r="B3737" t="s">
        <v>1669</v>
      </c>
      <c r="C3737" t="s">
        <v>3217</v>
      </c>
      <c r="D3737" s="2">
        <v>1</v>
      </c>
      <c r="E3737" s="11" t="s">
        <v>1285</v>
      </c>
      <c r="F3737" t="s">
        <v>36</v>
      </c>
      <c r="G3737" s="2" t="s">
        <v>31</v>
      </c>
      <c r="H3737" s="1">
        <v>42.294000000000004</v>
      </c>
    </row>
    <row r="3738" spans="1:8" x14ac:dyDescent="0.3">
      <c r="A3738" s="2">
        <v>708</v>
      </c>
      <c r="B3738" t="s">
        <v>1776</v>
      </c>
      <c r="C3738" t="s">
        <v>1</v>
      </c>
      <c r="D3738" s="2">
        <v>1</v>
      </c>
      <c r="E3738" s="11" t="s">
        <v>281</v>
      </c>
      <c r="F3738" t="s">
        <v>78</v>
      </c>
      <c r="G3738" s="2" t="s">
        <v>4</v>
      </c>
      <c r="H3738" s="1">
        <v>58.194000000000003</v>
      </c>
    </row>
    <row r="3739" spans="1:8" x14ac:dyDescent="0.3">
      <c r="A3739" s="2">
        <v>708</v>
      </c>
      <c r="B3739" t="s">
        <v>1553</v>
      </c>
      <c r="C3739" t="s">
        <v>3233</v>
      </c>
      <c r="D3739" s="2">
        <v>1</v>
      </c>
      <c r="E3739" s="11" t="s">
        <v>802</v>
      </c>
      <c r="F3739" t="s">
        <v>47</v>
      </c>
      <c r="G3739" s="2" t="s">
        <v>31</v>
      </c>
      <c r="H3739" s="1">
        <v>68.794000000000011</v>
      </c>
    </row>
    <row r="3740" spans="1:8" x14ac:dyDescent="0.3">
      <c r="A3740" s="2">
        <v>708</v>
      </c>
      <c r="B3740" t="s">
        <v>1457</v>
      </c>
      <c r="C3740" t="s">
        <v>1</v>
      </c>
      <c r="D3740" s="2">
        <v>1</v>
      </c>
      <c r="E3740" s="11" t="s">
        <v>281</v>
      </c>
      <c r="F3740" t="s">
        <v>39</v>
      </c>
      <c r="G3740" s="2" t="s">
        <v>4</v>
      </c>
      <c r="H3740" s="1">
        <v>58.194000000000003</v>
      </c>
    </row>
    <row r="3741" spans="1:8" x14ac:dyDescent="0.3">
      <c r="A3741" s="2">
        <v>708</v>
      </c>
      <c r="B3741" t="s">
        <v>1775</v>
      </c>
      <c r="C3741" t="s">
        <v>1</v>
      </c>
      <c r="D3741" s="2">
        <v>1</v>
      </c>
      <c r="E3741" s="11" t="s">
        <v>1774</v>
      </c>
      <c r="F3741" t="s">
        <v>36</v>
      </c>
      <c r="G3741" s="2" t="s">
        <v>4</v>
      </c>
      <c r="H3741" s="1">
        <v>89.994000000000014</v>
      </c>
    </row>
    <row r="3742" spans="1:8" x14ac:dyDescent="0.3">
      <c r="A3742" s="2">
        <v>708</v>
      </c>
      <c r="B3742" t="s">
        <v>1773</v>
      </c>
      <c r="C3742" t="s">
        <v>1</v>
      </c>
      <c r="D3742" s="2">
        <v>1</v>
      </c>
      <c r="E3742" s="11" t="s">
        <v>1454</v>
      </c>
      <c r="F3742" t="s">
        <v>28</v>
      </c>
      <c r="G3742" s="2" t="s">
        <v>4</v>
      </c>
      <c r="H3742" s="1">
        <v>79.394000000000005</v>
      </c>
    </row>
    <row r="3743" spans="1:8" x14ac:dyDescent="0.3">
      <c r="A3743" s="2">
        <v>708</v>
      </c>
      <c r="B3743" t="s">
        <v>1772</v>
      </c>
      <c r="C3743" t="s">
        <v>3219</v>
      </c>
      <c r="D3743" s="2">
        <v>1</v>
      </c>
      <c r="E3743" s="11" t="s">
        <v>1624</v>
      </c>
      <c r="F3743" t="s">
        <v>28</v>
      </c>
      <c r="G3743" s="2" t="s">
        <v>4</v>
      </c>
      <c r="H3743" s="1">
        <v>164.19400000000002</v>
      </c>
    </row>
    <row r="3744" spans="1:8" x14ac:dyDescent="0.3">
      <c r="A3744" s="2">
        <v>708</v>
      </c>
      <c r="B3744" t="s">
        <v>878</v>
      </c>
      <c r="C3744" t="s">
        <v>1</v>
      </c>
      <c r="D3744" s="2">
        <v>1</v>
      </c>
      <c r="E3744" s="11" t="s">
        <v>189</v>
      </c>
      <c r="F3744" t="s">
        <v>28</v>
      </c>
      <c r="G3744" s="2" t="s">
        <v>4</v>
      </c>
      <c r="H3744" s="1">
        <v>63.494000000000007</v>
      </c>
    </row>
    <row r="3745" spans="1:8" x14ac:dyDescent="0.3">
      <c r="A3745" s="2">
        <v>708</v>
      </c>
      <c r="B3745" t="s">
        <v>1771</v>
      </c>
      <c r="C3745" t="s">
        <v>0</v>
      </c>
      <c r="D3745" s="2">
        <v>1</v>
      </c>
      <c r="E3745" s="11" t="s">
        <v>1770</v>
      </c>
      <c r="F3745" t="s">
        <v>28</v>
      </c>
      <c r="G3745" s="2" t="s">
        <v>4</v>
      </c>
      <c r="H3745" s="1">
        <v>185.39400000000001</v>
      </c>
    </row>
    <row r="3746" spans="1:8" x14ac:dyDescent="0.3">
      <c r="A3746" s="2">
        <v>709</v>
      </c>
      <c r="B3746" t="s">
        <v>1769</v>
      </c>
      <c r="C3746" t="s">
        <v>3</v>
      </c>
      <c r="D3746" s="2">
        <v>1</v>
      </c>
      <c r="E3746" s="11" t="s">
        <v>215</v>
      </c>
      <c r="F3746" t="s">
        <v>55</v>
      </c>
      <c r="G3746" s="2" t="s">
        <v>4</v>
      </c>
      <c r="H3746" s="1">
        <v>111.19400000000002</v>
      </c>
    </row>
    <row r="3747" spans="1:8" x14ac:dyDescent="0.3">
      <c r="A3747" s="2">
        <v>709</v>
      </c>
      <c r="B3747" t="s">
        <v>682</v>
      </c>
      <c r="C3747" t="s">
        <v>3</v>
      </c>
      <c r="D3747" s="2">
        <v>1</v>
      </c>
      <c r="E3747" s="11" t="s">
        <v>215</v>
      </c>
      <c r="F3747" t="s">
        <v>55</v>
      </c>
      <c r="G3747" s="2" t="s">
        <v>31</v>
      </c>
      <c r="H3747" s="1">
        <v>111.19400000000002</v>
      </c>
    </row>
    <row r="3748" spans="1:8" x14ac:dyDescent="0.3">
      <c r="A3748" s="2">
        <v>709</v>
      </c>
      <c r="B3748" t="s">
        <v>1768</v>
      </c>
      <c r="C3748" t="s">
        <v>3</v>
      </c>
      <c r="D3748" s="2">
        <v>1</v>
      </c>
      <c r="E3748" s="11" t="s">
        <v>1767</v>
      </c>
      <c r="F3748" t="s">
        <v>65</v>
      </c>
      <c r="G3748" s="2" t="s">
        <v>4</v>
      </c>
      <c r="H3748" s="1">
        <v>95.294000000000011</v>
      </c>
    </row>
    <row r="3749" spans="1:8" x14ac:dyDescent="0.3">
      <c r="A3749" s="2">
        <v>709</v>
      </c>
      <c r="B3749" t="s">
        <v>1766</v>
      </c>
      <c r="C3749" t="s">
        <v>3</v>
      </c>
      <c r="D3749" s="2">
        <v>1</v>
      </c>
      <c r="E3749" s="11" t="s">
        <v>1761</v>
      </c>
      <c r="F3749" t="s">
        <v>65</v>
      </c>
      <c r="G3749" s="2" t="s">
        <v>4</v>
      </c>
      <c r="H3749" s="1">
        <v>105.89400000000001</v>
      </c>
    </row>
    <row r="3750" spans="1:8" x14ac:dyDescent="0.3">
      <c r="A3750" s="2">
        <v>709</v>
      </c>
      <c r="B3750" t="s">
        <v>1765</v>
      </c>
      <c r="C3750" t="s">
        <v>3</v>
      </c>
      <c r="D3750" s="2">
        <v>1</v>
      </c>
      <c r="E3750" s="11" t="s">
        <v>1761</v>
      </c>
      <c r="F3750" t="s">
        <v>65</v>
      </c>
      <c r="G3750" s="2" t="s">
        <v>23</v>
      </c>
      <c r="H3750" s="1">
        <v>105.89400000000001</v>
      </c>
    </row>
    <row r="3751" spans="1:8" x14ac:dyDescent="0.3">
      <c r="A3751" s="2">
        <v>709</v>
      </c>
      <c r="B3751" t="s">
        <v>1764</v>
      </c>
      <c r="C3751" t="s">
        <v>3217</v>
      </c>
      <c r="D3751" s="2">
        <v>1</v>
      </c>
      <c r="E3751" s="11" t="s">
        <v>425</v>
      </c>
      <c r="F3751" t="s">
        <v>65</v>
      </c>
      <c r="G3751" s="2" t="s">
        <v>31</v>
      </c>
      <c r="H3751" s="1">
        <v>84.694000000000017</v>
      </c>
    </row>
    <row r="3752" spans="1:8" x14ac:dyDescent="0.3">
      <c r="A3752" s="2">
        <v>709</v>
      </c>
      <c r="B3752" t="s">
        <v>1763</v>
      </c>
      <c r="C3752" t="s">
        <v>2</v>
      </c>
      <c r="D3752" s="2">
        <v>1</v>
      </c>
      <c r="E3752" s="11" t="s">
        <v>1288</v>
      </c>
      <c r="F3752" t="s">
        <v>254</v>
      </c>
      <c r="G3752" s="2" t="s">
        <v>31</v>
      </c>
      <c r="H3752" s="1">
        <v>89.994000000000014</v>
      </c>
    </row>
    <row r="3753" spans="1:8" x14ac:dyDescent="0.3">
      <c r="A3753" s="2">
        <v>709</v>
      </c>
      <c r="B3753" t="s">
        <v>1762</v>
      </c>
      <c r="C3753" t="s">
        <v>3</v>
      </c>
      <c r="D3753" s="2">
        <v>1</v>
      </c>
      <c r="E3753" s="11" t="s">
        <v>1761</v>
      </c>
      <c r="F3753" t="s">
        <v>114</v>
      </c>
      <c r="G3753" s="2" t="s">
        <v>31</v>
      </c>
      <c r="H3753" s="1">
        <v>105.89400000000001</v>
      </c>
    </row>
    <row r="3754" spans="1:8" x14ac:dyDescent="0.3">
      <c r="A3754" s="2">
        <v>709</v>
      </c>
      <c r="B3754" t="s">
        <v>1502</v>
      </c>
      <c r="C3754" t="s">
        <v>2</v>
      </c>
      <c r="D3754" s="2">
        <v>2</v>
      </c>
      <c r="E3754" s="11" t="s">
        <v>60</v>
      </c>
      <c r="F3754" t="s">
        <v>114</v>
      </c>
      <c r="G3754" s="2" t="s">
        <v>4</v>
      </c>
      <c r="H3754" s="1">
        <v>68.794000000000011</v>
      </c>
    </row>
    <row r="3755" spans="1:8" x14ac:dyDescent="0.3">
      <c r="A3755" s="2">
        <v>709</v>
      </c>
      <c r="B3755" t="s">
        <v>1760</v>
      </c>
      <c r="C3755" t="s">
        <v>3</v>
      </c>
      <c r="D3755" s="2">
        <v>1</v>
      </c>
      <c r="E3755" s="11" t="s">
        <v>1356</v>
      </c>
      <c r="F3755" t="s">
        <v>114</v>
      </c>
      <c r="G3755" s="2" t="s">
        <v>23</v>
      </c>
      <c r="H3755" s="1">
        <v>111.19400000000002</v>
      </c>
    </row>
    <row r="3756" spans="1:8" x14ac:dyDescent="0.3">
      <c r="A3756" s="2">
        <v>709</v>
      </c>
      <c r="B3756" t="s">
        <v>1759</v>
      </c>
      <c r="C3756" t="s">
        <v>2</v>
      </c>
      <c r="D3756" s="2">
        <v>1</v>
      </c>
      <c r="E3756" s="11" t="s">
        <v>1619</v>
      </c>
      <c r="F3756" t="s">
        <v>114</v>
      </c>
      <c r="G3756" s="2" t="s">
        <v>4</v>
      </c>
      <c r="H3756" s="1">
        <v>137.69400000000002</v>
      </c>
    </row>
    <row r="3757" spans="1:8" x14ac:dyDescent="0.3">
      <c r="A3757" s="2">
        <v>709</v>
      </c>
      <c r="B3757" t="s">
        <v>1758</v>
      </c>
      <c r="C3757" t="s">
        <v>3217</v>
      </c>
      <c r="D3757" s="2">
        <v>1</v>
      </c>
      <c r="E3757" s="11" t="s">
        <v>1603</v>
      </c>
      <c r="F3757" t="s">
        <v>114</v>
      </c>
      <c r="G3757" s="2" t="s">
        <v>23</v>
      </c>
      <c r="H3757" s="1">
        <v>63.494</v>
      </c>
    </row>
    <row r="3758" spans="1:8" x14ac:dyDescent="0.3">
      <c r="A3758" s="2">
        <v>709</v>
      </c>
      <c r="B3758" t="s">
        <v>1757</v>
      </c>
      <c r="C3758" t="s">
        <v>3</v>
      </c>
      <c r="D3758" s="2">
        <v>1</v>
      </c>
      <c r="E3758" s="11" t="s">
        <v>215</v>
      </c>
      <c r="F3758" t="s">
        <v>114</v>
      </c>
      <c r="G3758" s="2" t="s">
        <v>31</v>
      </c>
      <c r="H3758" s="1">
        <v>111.19400000000002</v>
      </c>
    </row>
    <row r="3759" spans="1:8" x14ac:dyDescent="0.3">
      <c r="A3759" s="2">
        <v>709</v>
      </c>
      <c r="B3759" t="s">
        <v>999</v>
      </c>
      <c r="C3759" t="s">
        <v>2</v>
      </c>
      <c r="D3759" s="2">
        <v>1</v>
      </c>
      <c r="E3759" s="11" t="s">
        <v>43</v>
      </c>
      <c r="F3759" t="s">
        <v>114</v>
      </c>
      <c r="G3759" s="2" t="s">
        <v>23</v>
      </c>
      <c r="H3759" s="1">
        <v>74.094000000000008</v>
      </c>
    </row>
    <row r="3760" spans="1:8" x14ac:dyDescent="0.3">
      <c r="A3760" s="2">
        <v>709</v>
      </c>
      <c r="B3760" t="s">
        <v>1400</v>
      </c>
      <c r="C3760" t="s">
        <v>3224</v>
      </c>
      <c r="D3760" s="2">
        <v>1</v>
      </c>
      <c r="E3760" s="11" t="s">
        <v>1399</v>
      </c>
      <c r="F3760" t="s">
        <v>114</v>
      </c>
      <c r="G3760" s="2" t="s">
        <v>23</v>
      </c>
      <c r="H3760" s="1">
        <v>63.494000000000007</v>
      </c>
    </row>
    <row r="3761" spans="1:8" x14ac:dyDescent="0.3">
      <c r="A3761" s="2">
        <v>709</v>
      </c>
      <c r="B3761" t="s">
        <v>1756</v>
      </c>
      <c r="C3761" t="s">
        <v>2</v>
      </c>
      <c r="D3761" s="2">
        <v>1</v>
      </c>
      <c r="E3761" s="11" t="s">
        <v>1428</v>
      </c>
      <c r="F3761" t="s">
        <v>36</v>
      </c>
      <c r="G3761" s="2" t="s">
        <v>23</v>
      </c>
      <c r="H3761" s="1">
        <v>100.59400000000001</v>
      </c>
    </row>
    <row r="3762" spans="1:8" x14ac:dyDescent="0.3">
      <c r="A3762" s="2">
        <v>709</v>
      </c>
      <c r="B3762" t="s">
        <v>1566</v>
      </c>
      <c r="C3762" t="s">
        <v>3225</v>
      </c>
      <c r="D3762" s="2">
        <v>1</v>
      </c>
      <c r="E3762" s="11" t="s">
        <v>239</v>
      </c>
      <c r="F3762" t="s">
        <v>47</v>
      </c>
      <c r="G3762" s="2" t="s">
        <v>4</v>
      </c>
      <c r="H3762" s="1">
        <v>148.29400000000001</v>
      </c>
    </row>
    <row r="3763" spans="1:8" x14ac:dyDescent="0.3">
      <c r="A3763" s="2">
        <v>709</v>
      </c>
      <c r="B3763" t="s">
        <v>162</v>
      </c>
      <c r="C3763" t="s">
        <v>2</v>
      </c>
      <c r="D3763" s="2">
        <v>2</v>
      </c>
      <c r="E3763" s="11" t="s">
        <v>60</v>
      </c>
      <c r="F3763" t="s">
        <v>47</v>
      </c>
      <c r="G3763" s="2" t="s">
        <v>23</v>
      </c>
      <c r="H3763" s="1">
        <v>68.794000000000011</v>
      </c>
    </row>
    <row r="3764" spans="1:8" x14ac:dyDescent="0.3">
      <c r="A3764" s="2">
        <v>709</v>
      </c>
      <c r="B3764" t="s">
        <v>1755</v>
      </c>
      <c r="C3764" t="s">
        <v>3</v>
      </c>
      <c r="D3764" s="2">
        <v>1</v>
      </c>
      <c r="E3764" s="11" t="s">
        <v>1356</v>
      </c>
      <c r="F3764" t="s">
        <v>47</v>
      </c>
      <c r="G3764" s="2" t="s">
        <v>4</v>
      </c>
      <c r="H3764" s="1">
        <v>111.19400000000002</v>
      </c>
    </row>
    <row r="3765" spans="1:8" x14ac:dyDescent="0.3">
      <c r="A3765" s="2">
        <v>709</v>
      </c>
      <c r="B3765" t="s">
        <v>1754</v>
      </c>
      <c r="C3765" t="s">
        <v>3217</v>
      </c>
      <c r="D3765" s="2">
        <v>1</v>
      </c>
      <c r="E3765" s="11" t="s">
        <v>1603</v>
      </c>
      <c r="F3765" t="s">
        <v>47</v>
      </c>
      <c r="G3765" s="2" t="s">
        <v>4</v>
      </c>
      <c r="H3765" s="1">
        <v>63.494</v>
      </c>
    </row>
    <row r="3766" spans="1:8" x14ac:dyDescent="0.3">
      <c r="A3766" s="2">
        <v>709</v>
      </c>
      <c r="B3766" t="s">
        <v>1753</v>
      </c>
      <c r="C3766" t="s">
        <v>3</v>
      </c>
      <c r="D3766" s="2">
        <v>1</v>
      </c>
      <c r="E3766" s="11" t="s">
        <v>215</v>
      </c>
      <c r="F3766" t="s">
        <v>47</v>
      </c>
      <c r="G3766" s="2" t="s">
        <v>4</v>
      </c>
      <c r="H3766" s="1">
        <v>111.19400000000002</v>
      </c>
    </row>
    <row r="3767" spans="1:8" x14ac:dyDescent="0.3">
      <c r="A3767" s="2">
        <v>709</v>
      </c>
      <c r="B3767" t="s">
        <v>216</v>
      </c>
      <c r="C3767" t="s">
        <v>3</v>
      </c>
      <c r="D3767" s="2">
        <v>1</v>
      </c>
      <c r="E3767" s="11" t="s">
        <v>215</v>
      </c>
      <c r="F3767" t="s">
        <v>47</v>
      </c>
      <c r="G3767" s="2" t="s">
        <v>31</v>
      </c>
      <c r="H3767" s="1">
        <v>111.19400000000002</v>
      </c>
    </row>
    <row r="3768" spans="1:8" x14ac:dyDescent="0.3">
      <c r="A3768" s="2">
        <v>709</v>
      </c>
      <c r="B3768" t="s">
        <v>1696</v>
      </c>
      <c r="C3768" t="s">
        <v>2</v>
      </c>
      <c r="D3768" s="2">
        <v>1</v>
      </c>
      <c r="E3768" s="11" t="s">
        <v>1428</v>
      </c>
      <c r="F3768" t="s">
        <v>47</v>
      </c>
      <c r="G3768" s="2" t="s">
        <v>4</v>
      </c>
      <c r="H3768" s="1">
        <v>100.59400000000001</v>
      </c>
    </row>
    <row r="3769" spans="1:8" x14ac:dyDescent="0.3">
      <c r="A3769" s="2">
        <v>709</v>
      </c>
      <c r="B3769" t="s">
        <v>1429</v>
      </c>
      <c r="C3769" t="s">
        <v>2</v>
      </c>
      <c r="D3769" s="2">
        <v>1</v>
      </c>
      <c r="E3769" s="11" t="s">
        <v>1428</v>
      </c>
      <c r="F3769" t="s">
        <v>47</v>
      </c>
      <c r="G3769" s="2" t="s">
        <v>23</v>
      </c>
      <c r="H3769" s="1">
        <v>100.59400000000001</v>
      </c>
    </row>
    <row r="3770" spans="1:8" x14ac:dyDescent="0.3">
      <c r="A3770" s="2">
        <v>709</v>
      </c>
      <c r="B3770" t="s">
        <v>1752</v>
      </c>
      <c r="C3770" t="s">
        <v>2</v>
      </c>
      <c r="D3770" s="2">
        <v>1</v>
      </c>
      <c r="E3770" s="11" t="s">
        <v>1615</v>
      </c>
      <c r="F3770" t="s">
        <v>47</v>
      </c>
      <c r="G3770" s="2" t="s">
        <v>4</v>
      </c>
      <c r="H3770" s="1">
        <v>127.09400000000001</v>
      </c>
    </row>
    <row r="3771" spans="1:8" x14ac:dyDescent="0.3">
      <c r="A3771" s="2">
        <v>709</v>
      </c>
      <c r="B3771" t="s">
        <v>958</v>
      </c>
      <c r="C3771" t="s">
        <v>2</v>
      </c>
      <c r="D3771" s="2">
        <v>1</v>
      </c>
      <c r="E3771" s="11" t="s">
        <v>43</v>
      </c>
      <c r="F3771" t="s">
        <v>47</v>
      </c>
      <c r="G3771" s="2" t="s">
        <v>31</v>
      </c>
      <c r="H3771" s="1">
        <v>74.094000000000008</v>
      </c>
    </row>
    <row r="3772" spans="1:8" x14ac:dyDescent="0.3">
      <c r="A3772" s="2">
        <v>709</v>
      </c>
      <c r="B3772" t="s">
        <v>1751</v>
      </c>
      <c r="C3772" t="s">
        <v>2</v>
      </c>
      <c r="D3772" s="2">
        <v>1</v>
      </c>
      <c r="E3772" s="11" t="s">
        <v>968</v>
      </c>
      <c r="F3772" t="s">
        <v>47</v>
      </c>
      <c r="G3772" s="2" t="s">
        <v>23</v>
      </c>
      <c r="H3772" s="1">
        <v>137.69400000000002</v>
      </c>
    </row>
    <row r="3773" spans="1:8" x14ac:dyDescent="0.3">
      <c r="A3773" s="2">
        <v>709</v>
      </c>
      <c r="B3773" t="s">
        <v>1699</v>
      </c>
      <c r="C3773" t="s">
        <v>3224</v>
      </c>
      <c r="D3773" s="2">
        <v>1</v>
      </c>
      <c r="E3773" s="11" t="s">
        <v>1399</v>
      </c>
      <c r="F3773" t="s">
        <v>47</v>
      </c>
      <c r="G3773" s="2" t="s">
        <v>31</v>
      </c>
      <c r="H3773" s="1">
        <v>63.494000000000007</v>
      </c>
    </row>
    <row r="3774" spans="1:8" x14ac:dyDescent="0.3">
      <c r="A3774" s="2">
        <v>709</v>
      </c>
      <c r="B3774" t="s">
        <v>1750</v>
      </c>
      <c r="C3774" t="s">
        <v>2</v>
      </c>
      <c r="D3774" s="2">
        <v>1</v>
      </c>
      <c r="E3774" s="11" t="s">
        <v>1742</v>
      </c>
      <c r="F3774" t="s">
        <v>39</v>
      </c>
      <c r="G3774" s="2" t="s">
        <v>4</v>
      </c>
      <c r="H3774" s="1">
        <v>137.69400000000002</v>
      </c>
    </row>
    <row r="3775" spans="1:8" x14ac:dyDescent="0.3">
      <c r="A3775" s="2">
        <v>709</v>
      </c>
      <c r="B3775" t="s">
        <v>1749</v>
      </c>
      <c r="C3775" t="s">
        <v>2</v>
      </c>
      <c r="D3775" s="2">
        <v>1</v>
      </c>
      <c r="E3775" s="11" t="s">
        <v>1742</v>
      </c>
      <c r="F3775" t="s">
        <v>39</v>
      </c>
      <c r="G3775" s="2" t="s">
        <v>23</v>
      </c>
      <c r="H3775" s="1">
        <v>137.69400000000002</v>
      </c>
    </row>
    <row r="3776" spans="1:8" x14ac:dyDescent="0.3">
      <c r="A3776" s="2">
        <v>709</v>
      </c>
      <c r="B3776" t="s">
        <v>1516</v>
      </c>
      <c r="C3776" t="s">
        <v>3</v>
      </c>
      <c r="D3776" s="2">
        <v>1</v>
      </c>
      <c r="E3776" s="11" t="s">
        <v>1356</v>
      </c>
      <c r="F3776" t="s">
        <v>39</v>
      </c>
      <c r="G3776" s="2" t="s">
        <v>31</v>
      </c>
      <c r="H3776" s="1">
        <v>111.19400000000002</v>
      </c>
    </row>
    <row r="3777" spans="1:8" x14ac:dyDescent="0.3">
      <c r="A3777" s="2">
        <v>709</v>
      </c>
      <c r="B3777" t="s">
        <v>1748</v>
      </c>
      <c r="C3777" t="s">
        <v>2</v>
      </c>
      <c r="D3777" s="2">
        <v>1</v>
      </c>
      <c r="E3777" s="11" t="s">
        <v>1288</v>
      </c>
      <c r="F3777" t="s">
        <v>39</v>
      </c>
      <c r="G3777" s="2" t="s">
        <v>23</v>
      </c>
      <c r="H3777" s="1">
        <v>89.994000000000014</v>
      </c>
    </row>
    <row r="3778" spans="1:8" x14ac:dyDescent="0.3">
      <c r="A3778" s="2">
        <v>709</v>
      </c>
      <c r="B3778" t="s">
        <v>1635</v>
      </c>
      <c r="C3778" t="s">
        <v>3</v>
      </c>
      <c r="D3778" s="2">
        <v>1</v>
      </c>
      <c r="E3778" s="11" t="s">
        <v>215</v>
      </c>
      <c r="F3778" t="s">
        <v>39</v>
      </c>
      <c r="G3778" s="2" t="s">
        <v>23</v>
      </c>
      <c r="H3778" s="1">
        <v>111.19400000000002</v>
      </c>
    </row>
    <row r="3779" spans="1:8" x14ac:dyDescent="0.3">
      <c r="A3779" s="2">
        <v>709</v>
      </c>
      <c r="B3779" t="s">
        <v>1694</v>
      </c>
      <c r="C3779" t="s">
        <v>2</v>
      </c>
      <c r="D3779" s="2">
        <v>1</v>
      </c>
      <c r="E3779" s="11" t="s">
        <v>1428</v>
      </c>
      <c r="F3779" t="s">
        <v>39</v>
      </c>
      <c r="G3779" s="2" t="s">
        <v>4</v>
      </c>
      <c r="H3779" s="1">
        <v>100.59400000000001</v>
      </c>
    </row>
    <row r="3780" spans="1:8" x14ac:dyDescent="0.3">
      <c r="A3780" s="2">
        <v>709</v>
      </c>
      <c r="B3780" t="s">
        <v>1723</v>
      </c>
      <c r="C3780" t="s">
        <v>2</v>
      </c>
      <c r="D3780" s="2">
        <v>1</v>
      </c>
      <c r="E3780" s="11" t="s">
        <v>43</v>
      </c>
      <c r="F3780" t="s">
        <v>39</v>
      </c>
      <c r="G3780" s="2" t="s">
        <v>23</v>
      </c>
      <c r="H3780" s="1">
        <v>74.094000000000008</v>
      </c>
    </row>
    <row r="3781" spans="1:8" x14ac:dyDescent="0.3">
      <c r="A3781" s="2">
        <v>709</v>
      </c>
      <c r="B3781" t="s">
        <v>426</v>
      </c>
      <c r="C3781" t="s">
        <v>3217</v>
      </c>
      <c r="D3781" s="2">
        <v>1</v>
      </c>
      <c r="E3781" s="11" t="s">
        <v>425</v>
      </c>
      <c r="F3781" t="s">
        <v>39</v>
      </c>
      <c r="G3781" s="2" t="s">
        <v>23</v>
      </c>
      <c r="H3781" s="1">
        <v>84.694000000000017</v>
      </c>
    </row>
    <row r="3782" spans="1:8" x14ac:dyDescent="0.3">
      <c r="A3782" s="2">
        <v>709</v>
      </c>
      <c r="B3782" t="s">
        <v>1747</v>
      </c>
      <c r="C3782" t="s">
        <v>3217</v>
      </c>
      <c r="D3782" s="2">
        <v>1</v>
      </c>
      <c r="E3782" s="11" t="s">
        <v>1603</v>
      </c>
      <c r="F3782" t="s">
        <v>36</v>
      </c>
      <c r="G3782" s="2" t="s">
        <v>31</v>
      </c>
      <c r="H3782" s="1">
        <v>63.494</v>
      </c>
    </row>
    <row r="3783" spans="1:8" x14ac:dyDescent="0.3">
      <c r="A3783" s="2">
        <v>709</v>
      </c>
      <c r="B3783" t="s">
        <v>1746</v>
      </c>
      <c r="C3783" t="s">
        <v>2</v>
      </c>
      <c r="D3783" s="2">
        <v>1</v>
      </c>
      <c r="E3783" s="11" t="s">
        <v>86</v>
      </c>
      <c r="F3783" t="s">
        <v>36</v>
      </c>
      <c r="G3783" s="2" t="s">
        <v>31</v>
      </c>
      <c r="H3783" s="1">
        <v>95.294000000000011</v>
      </c>
    </row>
    <row r="3784" spans="1:8" x14ac:dyDescent="0.3">
      <c r="A3784" s="2">
        <v>709</v>
      </c>
      <c r="B3784" t="s">
        <v>1745</v>
      </c>
      <c r="C3784" t="s">
        <v>3224</v>
      </c>
      <c r="D3784" s="2">
        <v>1</v>
      </c>
      <c r="E3784" s="11" t="s">
        <v>1399</v>
      </c>
      <c r="F3784" t="s">
        <v>36</v>
      </c>
      <c r="G3784" s="2" t="s">
        <v>23</v>
      </c>
      <c r="H3784" s="1">
        <v>63.494000000000007</v>
      </c>
    </row>
    <row r="3785" spans="1:8" x14ac:dyDescent="0.3">
      <c r="A3785" s="2">
        <v>709</v>
      </c>
      <c r="B3785" t="s">
        <v>1744</v>
      </c>
      <c r="C3785" t="s">
        <v>3217</v>
      </c>
      <c r="D3785" s="2">
        <v>1</v>
      </c>
      <c r="E3785" s="11" t="s">
        <v>425</v>
      </c>
      <c r="F3785" t="s">
        <v>36</v>
      </c>
      <c r="G3785" s="2" t="s">
        <v>31</v>
      </c>
      <c r="H3785" s="1">
        <v>84.694000000000017</v>
      </c>
    </row>
    <row r="3786" spans="1:8" x14ac:dyDescent="0.3">
      <c r="A3786" s="2">
        <v>709</v>
      </c>
      <c r="B3786" t="s">
        <v>1743</v>
      </c>
      <c r="C3786" t="s">
        <v>2</v>
      </c>
      <c r="D3786" s="2">
        <v>1</v>
      </c>
      <c r="E3786" s="11" t="s">
        <v>1742</v>
      </c>
      <c r="F3786" t="s">
        <v>28</v>
      </c>
      <c r="G3786" s="2" t="s">
        <v>31</v>
      </c>
      <c r="H3786" s="1">
        <v>137.69400000000002</v>
      </c>
    </row>
    <row r="3787" spans="1:8" x14ac:dyDescent="0.3">
      <c r="A3787" s="2">
        <v>709</v>
      </c>
      <c r="B3787" t="s">
        <v>1741</v>
      </c>
      <c r="C3787" t="s">
        <v>3</v>
      </c>
      <c r="D3787" s="2">
        <v>1</v>
      </c>
      <c r="E3787" s="11" t="s">
        <v>1356</v>
      </c>
      <c r="F3787" t="s">
        <v>28</v>
      </c>
      <c r="G3787" s="2" t="s">
        <v>23</v>
      </c>
      <c r="H3787" s="1">
        <v>111.19400000000002</v>
      </c>
    </row>
    <row r="3788" spans="1:8" x14ac:dyDescent="0.3">
      <c r="A3788" s="2">
        <v>709</v>
      </c>
      <c r="B3788" t="s">
        <v>1651</v>
      </c>
      <c r="C3788" t="s">
        <v>3217</v>
      </c>
      <c r="D3788" s="2">
        <v>1</v>
      </c>
      <c r="E3788" s="11" t="s">
        <v>1603</v>
      </c>
      <c r="F3788" t="s">
        <v>28</v>
      </c>
      <c r="G3788" s="2" t="s">
        <v>23</v>
      </c>
      <c r="H3788" s="1">
        <v>63.494</v>
      </c>
    </row>
    <row r="3789" spans="1:8" x14ac:dyDescent="0.3">
      <c r="A3789" s="2">
        <v>709</v>
      </c>
      <c r="B3789" t="s">
        <v>1290</v>
      </c>
      <c r="C3789" t="s">
        <v>2</v>
      </c>
      <c r="D3789" s="2">
        <v>1</v>
      </c>
      <c r="E3789" s="11" t="s">
        <v>1288</v>
      </c>
      <c r="F3789" t="s">
        <v>28</v>
      </c>
      <c r="G3789" s="2" t="s">
        <v>4</v>
      </c>
      <c r="H3789" s="1">
        <v>89.994000000000014</v>
      </c>
    </row>
    <row r="3790" spans="1:8" x14ac:dyDescent="0.3">
      <c r="A3790" s="2">
        <v>709</v>
      </c>
      <c r="B3790" t="s">
        <v>1740</v>
      </c>
      <c r="C3790" t="s">
        <v>2</v>
      </c>
      <c r="D3790" s="2">
        <v>1</v>
      </c>
      <c r="E3790" s="11" t="s">
        <v>1428</v>
      </c>
      <c r="F3790" t="s">
        <v>28</v>
      </c>
      <c r="G3790" s="2" t="s">
        <v>31</v>
      </c>
      <c r="H3790" s="1">
        <v>100.59400000000001</v>
      </c>
    </row>
    <row r="3791" spans="1:8" x14ac:dyDescent="0.3">
      <c r="A3791" s="2">
        <v>709</v>
      </c>
      <c r="B3791" t="s">
        <v>1739</v>
      </c>
      <c r="C3791" t="s">
        <v>2</v>
      </c>
      <c r="D3791" s="2">
        <v>1</v>
      </c>
      <c r="E3791" s="11" t="s">
        <v>1615</v>
      </c>
      <c r="F3791" t="s">
        <v>28</v>
      </c>
      <c r="G3791" s="2" t="s">
        <v>31</v>
      </c>
      <c r="H3791" s="1">
        <v>127.09400000000001</v>
      </c>
    </row>
    <row r="3792" spans="1:8" x14ac:dyDescent="0.3">
      <c r="A3792" s="2">
        <v>709</v>
      </c>
      <c r="B3792" t="s">
        <v>1738</v>
      </c>
      <c r="C3792" t="s">
        <v>2</v>
      </c>
      <c r="D3792" s="2">
        <v>1</v>
      </c>
      <c r="E3792" s="11" t="s">
        <v>968</v>
      </c>
      <c r="F3792" t="s">
        <v>28</v>
      </c>
      <c r="G3792" s="2" t="s">
        <v>4</v>
      </c>
      <c r="H3792" s="1">
        <v>137.69400000000002</v>
      </c>
    </row>
    <row r="3793" spans="1:8" x14ac:dyDescent="0.3">
      <c r="A3793" s="2">
        <v>709</v>
      </c>
      <c r="B3793" t="s">
        <v>1737</v>
      </c>
      <c r="C3793" t="s">
        <v>3217</v>
      </c>
      <c r="D3793" s="2">
        <v>1</v>
      </c>
      <c r="E3793" s="11" t="s">
        <v>425</v>
      </c>
      <c r="F3793" t="s">
        <v>28</v>
      </c>
      <c r="G3793" s="2" t="s">
        <v>23</v>
      </c>
      <c r="H3793" s="1">
        <v>84.694000000000017</v>
      </c>
    </row>
    <row r="3794" spans="1:8" x14ac:dyDescent="0.3">
      <c r="A3794" s="2">
        <v>709</v>
      </c>
      <c r="B3794" t="s">
        <v>1736</v>
      </c>
      <c r="C3794" t="s">
        <v>2</v>
      </c>
      <c r="D3794" s="2">
        <v>1</v>
      </c>
      <c r="E3794" s="11" t="s">
        <v>1619</v>
      </c>
      <c r="F3794" t="s">
        <v>24</v>
      </c>
      <c r="G3794" s="2" t="s">
        <v>4</v>
      </c>
      <c r="H3794" s="1">
        <v>137.69400000000002</v>
      </c>
    </row>
    <row r="3795" spans="1:8" x14ac:dyDescent="0.3">
      <c r="A3795" s="2">
        <v>710</v>
      </c>
      <c r="B3795" t="s">
        <v>1735</v>
      </c>
      <c r="C3795" t="s">
        <v>2</v>
      </c>
      <c r="D3795" s="2">
        <v>1</v>
      </c>
      <c r="E3795" s="11" t="s">
        <v>1678</v>
      </c>
      <c r="F3795" t="s">
        <v>55</v>
      </c>
      <c r="G3795" s="2" t="s">
        <v>23</v>
      </c>
      <c r="H3795" s="1">
        <v>73.093999999999994</v>
      </c>
    </row>
    <row r="3796" spans="1:8" x14ac:dyDescent="0.3">
      <c r="A3796" s="2">
        <v>710</v>
      </c>
      <c r="B3796" t="s">
        <v>1734</v>
      </c>
      <c r="C3796" t="s">
        <v>3219</v>
      </c>
      <c r="D3796" s="2">
        <v>1</v>
      </c>
      <c r="E3796" s="11" t="s">
        <v>91</v>
      </c>
      <c r="F3796" t="s">
        <v>65</v>
      </c>
      <c r="G3796" s="2" t="s">
        <v>4</v>
      </c>
      <c r="H3796" s="1">
        <v>111.19400000000002</v>
      </c>
    </row>
    <row r="3797" spans="1:8" x14ac:dyDescent="0.3">
      <c r="A3797" s="2">
        <v>710</v>
      </c>
      <c r="B3797" t="s">
        <v>1733</v>
      </c>
      <c r="C3797" t="s">
        <v>3219</v>
      </c>
      <c r="D3797" s="2">
        <v>1</v>
      </c>
      <c r="E3797" s="11" t="s">
        <v>585</v>
      </c>
      <c r="F3797" t="s">
        <v>65</v>
      </c>
      <c r="G3797" s="2" t="s">
        <v>23</v>
      </c>
      <c r="H3797" s="1">
        <v>116.49400000000001</v>
      </c>
    </row>
    <row r="3798" spans="1:8" x14ac:dyDescent="0.3">
      <c r="A3798" s="2">
        <v>710</v>
      </c>
      <c r="B3798" t="s">
        <v>1732</v>
      </c>
      <c r="C3798" t="s">
        <v>3219</v>
      </c>
      <c r="D3798" s="2">
        <v>1</v>
      </c>
      <c r="E3798" s="11" t="s">
        <v>1460</v>
      </c>
      <c r="F3798" t="s">
        <v>65</v>
      </c>
      <c r="G3798" s="2" t="s">
        <v>31</v>
      </c>
      <c r="H3798" s="1">
        <v>142.994</v>
      </c>
    </row>
    <row r="3799" spans="1:8" x14ac:dyDescent="0.3">
      <c r="A3799" s="2">
        <v>710</v>
      </c>
      <c r="B3799" t="s">
        <v>1716</v>
      </c>
      <c r="C3799" t="s">
        <v>3219</v>
      </c>
      <c r="D3799" s="2">
        <v>1</v>
      </c>
      <c r="E3799" s="11" t="s">
        <v>1460</v>
      </c>
      <c r="F3799" t="s">
        <v>65</v>
      </c>
      <c r="G3799" s="2" t="s">
        <v>23</v>
      </c>
      <c r="H3799" s="1">
        <v>142.994</v>
      </c>
    </row>
    <row r="3800" spans="1:8" x14ac:dyDescent="0.3">
      <c r="A3800" s="2">
        <v>710</v>
      </c>
      <c r="B3800" t="s">
        <v>1634</v>
      </c>
      <c r="C3800" t="s">
        <v>3219</v>
      </c>
      <c r="D3800" s="2">
        <v>1</v>
      </c>
      <c r="E3800" s="11" t="s">
        <v>1173</v>
      </c>
      <c r="F3800" t="s">
        <v>81</v>
      </c>
      <c r="G3800" s="2" t="s">
        <v>23</v>
      </c>
      <c r="H3800" s="1">
        <v>116.49400000000001</v>
      </c>
    </row>
    <row r="3801" spans="1:8" x14ac:dyDescent="0.3">
      <c r="A3801" s="2">
        <v>710</v>
      </c>
      <c r="B3801" t="s">
        <v>1731</v>
      </c>
      <c r="C3801" t="s">
        <v>3365</v>
      </c>
      <c r="D3801" s="2">
        <v>2</v>
      </c>
      <c r="E3801" s="11" t="s">
        <v>1488</v>
      </c>
      <c r="F3801" t="s">
        <v>62</v>
      </c>
      <c r="G3801" s="2" t="s">
        <v>23</v>
      </c>
      <c r="H3801" s="1">
        <v>121.79400000000001</v>
      </c>
    </row>
    <row r="3802" spans="1:8" x14ac:dyDescent="0.3">
      <c r="A3802" s="2">
        <v>710</v>
      </c>
      <c r="B3802" t="s">
        <v>125</v>
      </c>
      <c r="C3802" t="s">
        <v>3219</v>
      </c>
      <c r="D3802" s="2">
        <v>1</v>
      </c>
      <c r="E3802" s="11" t="s">
        <v>102</v>
      </c>
      <c r="F3802" t="s">
        <v>62</v>
      </c>
      <c r="G3802" s="2" t="s">
        <v>4</v>
      </c>
      <c r="H3802" s="1">
        <v>121.79400000000001</v>
      </c>
    </row>
    <row r="3803" spans="1:8" x14ac:dyDescent="0.3">
      <c r="A3803" s="2">
        <v>710</v>
      </c>
      <c r="B3803" t="s">
        <v>1730</v>
      </c>
      <c r="C3803" t="s">
        <v>3219</v>
      </c>
      <c r="D3803" s="2">
        <v>1</v>
      </c>
      <c r="E3803" s="11" t="s">
        <v>1729</v>
      </c>
      <c r="F3803" t="s">
        <v>62</v>
      </c>
      <c r="G3803" s="2" t="s">
        <v>23</v>
      </c>
      <c r="H3803" s="1">
        <v>148.29400000000001</v>
      </c>
    </row>
    <row r="3804" spans="1:8" x14ac:dyDescent="0.3">
      <c r="A3804" s="2">
        <v>710</v>
      </c>
      <c r="B3804" t="s">
        <v>586</v>
      </c>
      <c r="C3804" t="s">
        <v>3219</v>
      </c>
      <c r="D3804" s="2">
        <v>1</v>
      </c>
      <c r="E3804" s="11" t="s">
        <v>585</v>
      </c>
      <c r="F3804" t="s">
        <v>62</v>
      </c>
      <c r="G3804" s="2" t="s">
        <v>23</v>
      </c>
      <c r="H3804" s="1">
        <v>116.49400000000001</v>
      </c>
    </row>
    <row r="3805" spans="1:8" x14ac:dyDescent="0.3">
      <c r="A3805" s="2">
        <v>710</v>
      </c>
      <c r="B3805" t="s">
        <v>123</v>
      </c>
      <c r="C3805" t="s">
        <v>3219</v>
      </c>
      <c r="D3805" s="2">
        <v>1</v>
      </c>
      <c r="E3805" s="11" t="s">
        <v>102</v>
      </c>
      <c r="F3805" t="s">
        <v>55</v>
      </c>
      <c r="G3805" s="2" t="s">
        <v>23</v>
      </c>
      <c r="H3805" s="1">
        <v>121.79400000000001</v>
      </c>
    </row>
    <row r="3806" spans="1:8" x14ac:dyDescent="0.3">
      <c r="A3806" s="2">
        <v>710</v>
      </c>
      <c r="B3806" t="s">
        <v>1728</v>
      </c>
      <c r="C3806" t="s">
        <v>0</v>
      </c>
      <c r="D3806" s="2">
        <v>1</v>
      </c>
      <c r="E3806" s="11" t="s">
        <v>1481</v>
      </c>
      <c r="F3806" t="s">
        <v>28</v>
      </c>
      <c r="G3806" s="2" t="s">
        <v>23</v>
      </c>
      <c r="H3806" s="1">
        <v>195.99400000000003</v>
      </c>
    </row>
    <row r="3807" spans="1:8" x14ac:dyDescent="0.3">
      <c r="A3807" s="2">
        <v>710</v>
      </c>
      <c r="B3807" t="s">
        <v>1727</v>
      </c>
      <c r="C3807" t="s">
        <v>3219</v>
      </c>
      <c r="D3807" s="2">
        <v>1</v>
      </c>
      <c r="E3807" s="11" t="s">
        <v>1624</v>
      </c>
      <c r="F3807" t="s">
        <v>959</v>
      </c>
      <c r="G3807" s="2" t="s">
        <v>23</v>
      </c>
      <c r="H3807" s="1">
        <v>164.19400000000002</v>
      </c>
    </row>
    <row r="3808" spans="1:8" x14ac:dyDescent="0.3">
      <c r="A3808" s="2">
        <v>710</v>
      </c>
      <c r="B3808" t="s">
        <v>1679</v>
      </c>
      <c r="C3808" t="s">
        <v>2</v>
      </c>
      <c r="D3808" s="2">
        <v>1</v>
      </c>
      <c r="E3808" s="11" t="s">
        <v>1678</v>
      </c>
      <c r="F3808" t="s">
        <v>114</v>
      </c>
      <c r="G3808" s="2" t="s">
        <v>23</v>
      </c>
      <c r="H3808" s="1">
        <v>73.093999999999994</v>
      </c>
    </row>
    <row r="3809" spans="1:8" x14ac:dyDescent="0.3">
      <c r="A3809" s="2">
        <v>710</v>
      </c>
      <c r="B3809" t="s">
        <v>999</v>
      </c>
      <c r="C3809" t="s">
        <v>2</v>
      </c>
      <c r="D3809" s="2">
        <v>2</v>
      </c>
      <c r="E3809" s="11" t="s">
        <v>43</v>
      </c>
      <c r="F3809" t="s">
        <v>114</v>
      </c>
      <c r="G3809" s="2" t="s">
        <v>23</v>
      </c>
      <c r="H3809" s="1">
        <v>74.094000000000008</v>
      </c>
    </row>
    <row r="3810" spans="1:8" x14ac:dyDescent="0.3">
      <c r="A3810" s="2">
        <v>710</v>
      </c>
      <c r="B3810" t="s">
        <v>1726</v>
      </c>
      <c r="C3810" t="s">
        <v>3219</v>
      </c>
      <c r="D3810" s="2">
        <v>1</v>
      </c>
      <c r="E3810" s="11" t="s">
        <v>585</v>
      </c>
      <c r="F3810" t="s">
        <v>47</v>
      </c>
      <c r="G3810" s="2" t="s">
        <v>31</v>
      </c>
      <c r="H3810" s="1">
        <v>116.49400000000001</v>
      </c>
    </row>
    <row r="3811" spans="1:8" x14ac:dyDescent="0.3">
      <c r="A3811" s="2">
        <v>710</v>
      </c>
      <c r="B3811" t="s">
        <v>1668</v>
      </c>
      <c r="C3811" t="s">
        <v>3219</v>
      </c>
      <c r="D3811" s="2">
        <v>1</v>
      </c>
      <c r="E3811" s="11" t="s">
        <v>1460</v>
      </c>
      <c r="F3811" t="s">
        <v>47</v>
      </c>
      <c r="G3811" s="2" t="s">
        <v>4</v>
      </c>
      <c r="H3811" s="1">
        <v>142.994</v>
      </c>
    </row>
    <row r="3812" spans="1:8" x14ac:dyDescent="0.3">
      <c r="A3812" s="2">
        <v>710</v>
      </c>
      <c r="B3812" t="s">
        <v>958</v>
      </c>
      <c r="C3812" t="s">
        <v>2</v>
      </c>
      <c r="D3812" s="2">
        <v>1</v>
      </c>
      <c r="E3812" s="11" t="s">
        <v>43</v>
      </c>
      <c r="F3812" t="s">
        <v>47</v>
      </c>
      <c r="G3812" s="2" t="s">
        <v>31</v>
      </c>
      <c r="H3812" s="1">
        <v>74.094000000000008</v>
      </c>
    </row>
    <row r="3813" spans="1:8" x14ac:dyDescent="0.3">
      <c r="A3813" s="2">
        <v>710</v>
      </c>
      <c r="B3813" t="s">
        <v>1494</v>
      </c>
      <c r="C3813" t="s">
        <v>2</v>
      </c>
      <c r="D3813" s="2">
        <v>2</v>
      </c>
      <c r="E3813" s="11" t="s">
        <v>43</v>
      </c>
      <c r="F3813" t="s">
        <v>47</v>
      </c>
      <c r="G3813" s="2" t="s">
        <v>23</v>
      </c>
      <c r="H3813" s="1">
        <v>74.094000000000008</v>
      </c>
    </row>
    <row r="3814" spans="1:8" x14ac:dyDescent="0.3">
      <c r="A3814" s="2">
        <v>710</v>
      </c>
      <c r="B3814" t="s">
        <v>1404</v>
      </c>
      <c r="C3814" t="s">
        <v>3233</v>
      </c>
      <c r="D3814" s="2">
        <v>1</v>
      </c>
      <c r="E3814" s="11" t="s">
        <v>802</v>
      </c>
      <c r="F3814" t="s">
        <v>47</v>
      </c>
      <c r="G3814" s="2" t="s">
        <v>23</v>
      </c>
      <c r="H3814" s="1">
        <v>68.794000000000011</v>
      </c>
    </row>
    <row r="3815" spans="1:8" x14ac:dyDescent="0.3">
      <c r="A3815" s="2">
        <v>710</v>
      </c>
      <c r="B3815" t="s">
        <v>1725</v>
      </c>
      <c r="C3815" t="s">
        <v>0</v>
      </c>
      <c r="D3815" s="2">
        <v>1</v>
      </c>
      <c r="E3815" s="11" t="s">
        <v>1724</v>
      </c>
      <c r="F3815" t="s">
        <v>39</v>
      </c>
      <c r="G3815" s="2" t="s">
        <v>23</v>
      </c>
      <c r="H3815" s="1">
        <v>137.69400000000002</v>
      </c>
    </row>
    <row r="3816" spans="1:8" x14ac:dyDescent="0.3">
      <c r="A3816" s="2">
        <v>710</v>
      </c>
      <c r="B3816" t="s">
        <v>1582</v>
      </c>
      <c r="C3816" t="s">
        <v>0</v>
      </c>
      <c r="D3816" s="2">
        <v>1</v>
      </c>
      <c r="E3816" s="11" t="s">
        <v>1211</v>
      </c>
      <c r="F3816" t="s">
        <v>39</v>
      </c>
      <c r="G3816" s="2" t="s">
        <v>23</v>
      </c>
      <c r="H3816" s="1">
        <v>144.29</v>
      </c>
    </row>
    <row r="3817" spans="1:8" x14ac:dyDescent="0.3">
      <c r="A3817" s="2">
        <v>710</v>
      </c>
      <c r="B3817" t="s">
        <v>1723</v>
      </c>
      <c r="C3817" t="s">
        <v>2</v>
      </c>
      <c r="D3817" s="2">
        <v>1</v>
      </c>
      <c r="E3817" s="11" t="s">
        <v>43</v>
      </c>
      <c r="F3817" t="s">
        <v>39</v>
      </c>
      <c r="G3817" s="2" t="s">
        <v>23</v>
      </c>
      <c r="H3817" s="1">
        <v>74.094000000000008</v>
      </c>
    </row>
    <row r="3818" spans="1:8" x14ac:dyDescent="0.3">
      <c r="A3818" s="2">
        <v>710</v>
      </c>
      <c r="B3818" t="s">
        <v>1512</v>
      </c>
      <c r="C3818" t="s">
        <v>3219</v>
      </c>
      <c r="D3818" s="2">
        <v>1</v>
      </c>
      <c r="E3818" s="11" t="s">
        <v>91</v>
      </c>
      <c r="F3818" t="s">
        <v>39</v>
      </c>
      <c r="G3818" s="2" t="s">
        <v>31</v>
      </c>
      <c r="H3818" s="1">
        <v>111.19400000000002</v>
      </c>
    </row>
    <row r="3819" spans="1:8" x14ac:dyDescent="0.3">
      <c r="A3819" s="2">
        <v>710</v>
      </c>
      <c r="B3819" t="s">
        <v>1722</v>
      </c>
      <c r="C3819" t="s">
        <v>3365</v>
      </c>
      <c r="D3819" s="2">
        <v>1</v>
      </c>
      <c r="E3819" s="11" t="s">
        <v>1488</v>
      </c>
      <c r="F3819" t="s">
        <v>28</v>
      </c>
      <c r="G3819" s="2" t="s">
        <v>23</v>
      </c>
      <c r="H3819" s="1">
        <v>121.79400000000001</v>
      </c>
    </row>
    <row r="3820" spans="1:8" x14ac:dyDescent="0.3">
      <c r="A3820" s="2">
        <v>710</v>
      </c>
      <c r="B3820" t="s">
        <v>1625</v>
      </c>
      <c r="C3820" t="s">
        <v>3219</v>
      </c>
      <c r="D3820" s="2">
        <v>1</v>
      </c>
      <c r="E3820" s="11" t="s">
        <v>1624</v>
      </c>
      <c r="F3820" t="s">
        <v>28</v>
      </c>
      <c r="G3820" s="2" t="s">
        <v>31</v>
      </c>
      <c r="H3820" s="1">
        <v>164.19400000000002</v>
      </c>
    </row>
    <row r="3821" spans="1:8" x14ac:dyDescent="0.3">
      <c r="A3821" s="2">
        <v>710</v>
      </c>
      <c r="B3821" t="s">
        <v>1721</v>
      </c>
      <c r="C3821" t="s">
        <v>2</v>
      </c>
      <c r="D3821" s="2">
        <v>1</v>
      </c>
      <c r="E3821" s="11" t="s">
        <v>1428</v>
      </c>
      <c r="F3821" t="s">
        <v>28</v>
      </c>
      <c r="G3821" s="2" t="s">
        <v>23</v>
      </c>
      <c r="H3821" s="1">
        <v>100.59400000000001</v>
      </c>
    </row>
    <row r="3822" spans="1:8" x14ac:dyDescent="0.3">
      <c r="A3822" s="2">
        <v>711</v>
      </c>
      <c r="B3822" t="s">
        <v>1305</v>
      </c>
      <c r="C3822" t="s">
        <v>0</v>
      </c>
      <c r="D3822" s="2">
        <v>1</v>
      </c>
      <c r="E3822" s="11" t="s">
        <v>1304</v>
      </c>
      <c r="F3822" t="s">
        <v>114</v>
      </c>
      <c r="G3822" s="2" t="s">
        <v>4</v>
      </c>
      <c r="H3822" s="1">
        <v>212.89400000000001</v>
      </c>
    </row>
    <row r="3823" spans="1:8" x14ac:dyDescent="0.3">
      <c r="A3823" s="2">
        <v>711</v>
      </c>
      <c r="B3823" t="s">
        <v>1072</v>
      </c>
      <c r="C3823" t="s">
        <v>3225</v>
      </c>
      <c r="D3823" s="2">
        <v>1</v>
      </c>
      <c r="E3823" s="11" t="s">
        <v>491</v>
      </c>
      <c r="F3823" t="s">
        <v>62</v>
      </c>
      <c r="G3823" s="2" t="s">
        <v>31</v>
      </c>
      <c r="H3823" s="1">
        <v>164.19400000000002</v>
      </c>
    </row>
    <row r="3824" spans="1:8" x14ac:dyDescent="0.3">
      <c r="A3824" s="2">
        <v>711</v>
      </c>
      <c r="B3824" t="s">
        <v>1720</v>
      </c>
      <c r="C3824" t="s">
        <v>3224</v>
      </c>
      <c r="D3824" s="2">
        <v>1</v>
      </c>
      <c r="E3824" s="11" t="s">
        <v>1719</v>
      </c>
      <c r="F3824" t="s">
        <v>114</v>
      </c>
      <c r="G3824" s="2" t="s">
        <v>23</v>
      </c>
      <c r="H3824" s="1">
        <v>105.89400000000001</v>
      </c>
    </row>
    <row r="3825" spans="1:8" x14ac:dyDescent="0.3">
      <c r="A3825" s="2">
        <v>711</v>
      </c>
      <c r="B3825" t="s">
        <v>1679</v>
      </c>
      <c r="C3825" t="s">
        <v>2</v>
      </c>
      <c r="D3825" s="2">
        <v>1</v>
      </c>
      <c r="E3825" s="11" t="s">
        <v>1678</v>
      </c>
      <c r="F3825" t="s">
        <v>114</v>
      </c>
      <c r="G3825" s="2" t="s">
        <v>23</v>
      </c>
      <c r="H3825" s="1">
        <v>73.093999999999994</v>
      </c>
    </row>
    <row r="3826" spans="1:8" x14ac:dyDescent="0.3">
      <c r="A3826" s="2">
        <v>711</v>
      </c>
      <c r="B3826" t="s">
        <v>1569</v>
      </c>
      <c r="C3826" t="s">
        <v>3233</v>
      </c>
      <c r="D3826" s="2">
        <v>1</v>
      </c>
      <c r="E3826" s="11" t="s">
        <v>1278</v>
      </c>
      <c r="F3826" t="s">
        <v>114</v>
      </c>
      <c r="G3826" s="2" t="s">
        <v>31</v>
      </c>
      <c r="H3826" s="1">
        <v>100.59400000000001</v>
      </c>
    </row>
    <row r="3827" spans="1:8" x14ac:dyDescent="0.3">
      <c r="A3827" s="2">
        <v>711</v>
      </c>
      <c r="B3827" t="s">
        <v>1274</v>
      </c>
      <c r="C3827" t="s">
        <v>2</v>
      </c>
      <c r="D3827" s="2">
        <v>1</v>
      </c>
      <c r="E3827" s="11" t="s">
        <v>86</v>
      </c>
      <c r="F3827" t="s">
        <v>114</v>
      </c>
      <c r="G3827" s="2" t="s">
        <v>4</v>
      </c>
      <c r="H3827" s="1">
        <v>95.294000000000011</v>
      </c>
    </row>
    <row r="3828" spans="1:8" x14ac:dyDescent="0.3">
      <c r="A3828" s="2">
        <v>711</v>
      </c>
      <c r="B3828" t="s">
        <v>1677</v>
      </c>
      <c r="C3828" t="s">
        <v>2</v>
      </c>
      <c r="D3828" s="2">
        <v>1</v>
      </c>
      <c r="E3828" s="11" t="s">
        <v>1428</v>
      </c>
      <c r="F3828" t="s">
        <v>36</v>
      </c>
      <c r="G3828" s="2" t="s">
        <v>31</v>
      </c>
      <c r="H3828" s="1">
        <v>100.59400000000001</v>
      </c>
    </row>
    <row r="3829" spans="1:8" x14ac:dyDescent="0.3">
      <c r="A3829" s="2">
        <v>711</v>
      </c>
      <c r="B3829" t="s">
        <v>1718</v>
      </c>
      <c r="C3829" t="s">
        <v>3233</v>
      </c>
      <c r="D3829" s="2">
        <v>1</v>
      </c>
      <c r="E3829" s="11" t="s">
        <v>862</v>
      </c>
      <c r="F3829" t="s">
        <v>47</v>
      </c>
      <c r="G3829" s="2" t="s">
        <v>4</v>
      </c>
      <c r="H3829" s="1">
        <v>68.794000000000011</v>
      </c>
    </row>
    <row r="3830" spans="1:8" x14ac:dyDescent="0.3">
      <c r="A3830" s="2">
        <v>711</v>
      </c>
      <c r="B3830" t="s">
        <v>1706</v>
      </c>
      <c r="C3830" t="s">
        <v>0</v>
      </c>
      <c r="D3830" s="2">
        <v>1</v>
      </c>
      <c r="E3830" s="11" t="s">
        <v>213</v>
      </c>
      <c r="F3830" t="s">
        <v>47</v>
      </c>
      <c r="G3830" s="2" t="s">
        <v>23</v>
      </c>
      <c r="H3830" s="1">
        <v>206.59400000000002</v>
      </c>
    </row>
    <row r="3831" spans="1:8" x14ac:dyDescent="0.3">
      <c r="A3831" s="2">
        <v>711</v>
      </c>
      <c r="B3831" t="s">
        <v>1632</v>
      </c>
      <c r="C3831" t="s">
        <v>3224</v>
      </c>
      <c r="D3831" s="2">
        <v>1</v>
      </c>
      <c r="E3831" s="11" t="s">
        <v>1399</v>
      </c>
      <c r="F3831" t="s">
        <v>47</v>
      </c>
      <c r="G3831" s="2" t="s">
        <v>23</v>
      </c>
      <c r="H3831" s="1">
        <v>63.494000000000007</v>
      </c>
    </row>
    <row r="3832" spans="1:8" x14ac:dyDescent="0.3">
      <c r="A3832" s="2">
        <v>711</v>
      </c>
      <c r="B3832" t="s">
        <v>1717</v>
      </c>
      <c r="C3832" t="s">
        <v>3219</v>
      </c>
      <c r="D3832" s="2">
        <v>1</v>
      </c>
      <c r="E3832" s="11" t="s">
        <v>1175</v>
      </c>
      <c r="F3832" t="s">
        <v>47</v>
      </c>
      <c r="G3832" s="2" t="s">
        <v>23</v>
      </c>
      <c r="H3832" s="1">
        <v>158.89400000000001</v>
      </c>
    </row>
    <row r="3833" spans="1:8" x14ac:dyDescent="0.3">
      <c r="A3833" s="2">
        <v>711</v>
      </c>
      <c r="B3833" t="s">
        <v>1516</v>
      </c>
      <c r="C3833" t="s">
        <v>3</v>
      </c>
      <c r="D3833" s="2">
        <v>1</v>
      </c>
      <c r="E3833" s="11" t="s">
        <v>1356</v>
      </c>
      <c r="F3833" t="s">
        <v>39</v>
      </c>
      <c r="G3833" s="2" t="s">
        <v>31</v>
      </c>
      <c r="H3833" s="1">
        <v>111.19400000000002</v>
      </c>
    </row>
    <row r="3834" spans="1:8" x14ac:dyDescent="0.3">
      <c r="A3834" s="2">
        <v>712</v>
      </c>
      <c r="B3834" t="s">
        <v>934</v>
      </c>
      <c r="C3834" t="s">
        <v>3219</v>
      </c>
      <c r="D3834" s="2">
        <v>1</v>
      </c>
      <c r="E3834" s="11" t="s">
        <v>892</v>
      </c>
      <c r="F3834" t="s">
        <v>55</v>
      </c>
      <c r="G3834" s="2" t="s">
        <v>23</v>
      </c>
      <c r="H3834" s="1">
        <v>158.89400000000001</v>
      </c>
    </row>
    <row r="3835" spans="1:8" x14ac:dyDescent="0.3">
      <c r="A3835" s="2">
        <v>712</v>
      </c>
      <c r="B3835" t="s">
        <v>1111</v>
      </c>
      <c r="C3835" t="s">
        <v>0</v>
      </c>
      <c r="D3835" s="2">
        <v>1</v>
      </c>
      <c r="E3835" s="11" t="s">
        <v>1109</v>
      </c>
      <c r="F3835" t="s">
        <v>65</v>
      </c>
      <c r="G3835" s="2" t="s">
        <v>31</v>
      </c>
      <c r="H3835" s="1">
        <v>137.69400000000002</v>
      </c>
    </row>
    <row r="3836" spans="1:8" x14ac:dyDescent="0.3">
      <c r="A3836" s="2">
        <v>712</v>
      </c>
      <c r="B3836" t="s">
        <v>1716</v>
      </c>
      <c r="C3836" t="s">
        <v>3219</v>
      </c>
      <c r="D3836" s="2">
        <v>1</v>
      </c>
      <c r="E3836" s="11" t="s">
        <v>1460</v>
      </c>
      <c r="F3836" t="s">
        <v>65</v>
      </c>
      <c r="G3836" s="2" t="s">
        <v>23</v>
      </c>
      <c r="H3836" s="1">
        <v>142.994</v>
      </c>
    </row>
    <row r="3837" spans="1:8" x14ac:dyDescent="0.3">
      <c r="A3837" s="2">
        <v>712</v>
      </c>
      <c r="B3837" t="s">
        <v>273</v>
      </c>
      <c r="C3837" t="s">
        <v>0</v>
      </c>
      <c r="D3837" s="2">
        <v>1</v>
      </c>
      <c r="E3837" s="11" t="s">
        <v>272</v>
      </c>
      <c r="F3837" t="s">
        <v>28</v>
      </c>
      <c r="G3837" s="2" t="s">
        <v>23</v>
      </c>
      <c r="H3837" s="1">
        <v>174.79400000000001</v>
      </c>
    </row>
    <row r="3838" spans="1:8" x14ac:dyDescent="0.3">
      <c r="A3838" s="2">
        <v>712</v>
      </c>
      <c r="B3838" t="s">
        <v>1703</v>
      </c>
      <c r="C3838" t="s">
        <v>3221</v>
      </c>
      <c r="D3838" s="2">
        <v>1</v>
      </c>
      <c r="E3838" s="11" t="s">
        <v>1180</v>
      </c>
      <c r="F3838" t="s">
        <v>114</v>
      </c>
      <c r="G3838" s="2" t="s">
        <v>31</v>
      </c>
      <c r="H3838" s="1">
        <v>169.49400000000003</v>
      </c>
    </row>
    <row r="3839" spans="1:8" x14ac:dyDescent="0.3">
      <c r="A3839" s="2">
        <v>712</v>
      </c>
      <c r="B3839" t="s">
        <v>1715</v>
      </c>
      <c r="C3839" t="s">
        <v>0</v>
      </c>
      <c r="D3839" s="2">
        <v>1</v>
      </c>
      <c r="E3839" s="11" t="s">
        <v>1106</v>
      </c>
      <c r="F3839" t="s">
        <v>114</v>
      </c>
      <c r="G3839" s="2" t="s">
        <v>31</v>
      </c>
      <c r="H3839" s="1">
        <v>185.39400000000001</v>
      </c>
    </row>
    <row r="3840" spans="1:8" x14ac:dyDescent="0.3">
      <c r="A3840" s="2">
        <v>712</v>
      </c>
      <c r="B3840" t="s">
        <v>1714</v>
      </c>
      <c r="C3840" t="s">
        <v>3217</v>
      </c>
      <c r="D3840" s="2">
        <v>1</v>
      </c>
      <c r="E3840" s="11" t="s">
        <v>1603</v>
      </c>
      <c r="F3840" t="s">
        <v>114</v>
      </c>
      <c r="G3840" s="2" t="s">
        <v>4</v>
      </c>
      <c r="H3840" s="1">
        <v>63.494</v>
      </c>
    </row>
    <row r="3841" spans="1:8" x14ac:dyDescent="0.3">
      <c r="A3841" s="2">
        <v>712</v>
      </c>
      <c r="B3841" t="s">
        <v>612</v>
      </c>
      <c r="C3841" t="s">
        <v>1</v>
      </c>
      <c r="D3841" s="2">
        <v>1</v>
      </c>
      <c r="E3841" s="11" t="s">
        <v>172</v>
      </c>
      <c r="F3841" t="s">
        <v>114</v>
      </c>
      <c r="G3841" s="2" t="s">
        <v>31</v>
      </c>
      <c r="H3841" s="1">
        <v>47.594000000000001</v>
      </c>
    </row>
    <row r="3842" spans="1:8" x14ac:dyDescent="0.3">
      <c r="A3842" s="2">
        <v>712</v>
      </c>
      <c r="B3842" t="s">
        <v>1713</v>
      </c>
      <c r="C3842" t="s">
        <v>3219</v>
      </c>
      <c r="D3842" s="2">
        <v>1</v>
      </c>
      <c r="E3842" s="11" t="s">
        <v>91</v>
      </c>
      <c r="F3842" t="s">
        <v>114</v>
      </c>
      <c r="G3842" s="2" t="s">
        <v>23</v>
      </c>
      <c r="H3842" s="1">
        <v>111.19400000000002</v>
      </c>
    </row>
    <row r="3843" spans="1:8" x14ac:dyDescent="0.3">
      <c r="A3843" s="2">
        <v>712</v>
      </c>
      <c r="B3843" t="s">
        <v>1712</v>
      </c>
      <c r="C3843" t="s">
        <v>1</v>
      </c>
      <c r="D3843" s="2">
        <v>1</v>
      </c>
      <c r="E3843" s="11" t="s">
        <v>1653</v>
      </c>
      <c r="F3843" t="s">
        <v>47</v>
      </c>
      <c r="G3843" s="2" t="s">
        <v>4</v>
      </c>
      <c r="H3843" s="1">
        <v>79.394000000000005</v>
      </c>
    </row>
    <row r="3844" spans="1:8" x14ac:dyDescent="0.3">
      <c r="A3844" s="2">
        <v>712</v>
      </c>
      <c r="B3844" t="s">
        <v>1586</v>
      </c>
      <c r="C3844" t="s">
        <v>3225</v>
      </c>
      <c r="D3844" s="2">
        <v>1</v>
      </c>
      <c r="E3844" s="11" t="s">
        <v>932</v>
      </c>
      <c r="F3844" t="s">
        <v>47</v>
      </c>
      <c r="G3844" s="2" t="s">
        <v>23</v>
      </c>
      <c r="H3844" s="1">
        <v>174.79400000000001</v>
      </c>
    </row>
    <row r="3845" spans="1:8" x14ac:dyDescent="0.3">
      <c r="A3845" s="2">
        <v>712</v>
      </c>
      <c r="B3845" t="s">
        <v>1700</v>
      </c>
      <c r="C3845" t="s">
        <v>3221</v>
      </c>
      <c r="D3845" s="2">
        <v>1</v>
      </c>
      <c r="E3845" s="11" t="s">
        <v>1180</v>
      </c>
      <c r="F3845" t="s">
        <v>47</v>
      </c>
      <c r="G3845" s="2" t="s">
        <v>23</v>
      </c>
      <c r="H3845" s="1">
        <v>169.49400000000003</v>
      </c>
    </row>
    <row r="3846" spans="1:8" x14ac:dyDescent="0.3">
      <c r="A3846" s="2">
        <v>712</v>
      </c>
      <c r="B3846" t="s">
        <v>1461</v>
      </c>
      <c r="C3846" t="s">
        <v>3219</v>
      </c>
      <c r="D3846" s="2">
        <v>1</v>
      </c>
      <c r="E3846" s="11" t="s">
        <v>1460</v>
      </c>
      <c r="F3846" t="s">
        <v>47</v>
      </c>
      <c r="G3846" s="2" t="s">
        <v>31</v>
      </c>
      <c r="H3846" s="1">
        <v>142.994</v>
      </c>
    </row>
    <row r="3847" spans="1:8" x14ac:dyDescent="0.3">
      <c r="A3847" s="2">
        <v>712</v>
      </c>
      <c r="B3847" t="s">
        <v>1711</v>
      </c>
      <c r="C3847" t="s">
        <v>1</v>
      </c>
      <c r="D3847" s="2">
        <v>1</v>
      </c>
      <c r="E3847" s="11" t="s">
        <v>1653</v>
      </c>
      <c r="F3847" t="s">
        <v>39</v>
      </c>
      <c r="G3847" s="2" t="s">
        <v>31</v>
      </c>
      <c r="H3847" s="1">
        <v>79.394000000000005</v>
      </c>
    </row>
    <row r="3848" spans="1:8" x14ac:dyDescent="0.3">
      <c r="A3848" s="2">
        <v>712</v>
      </c>
      <c r="B3848" t="s">
        <v>1527</v>
      </c>
      <c r="C3848" t="s">
        <v>3225</v>
      </c>
      <c r="D3848" s="2">
        <v>1</v>
      </c>
      <c r="E3848" s="11" t="s">
        <v>1409</v>
      </c>
      <c r="F3848" t="s">
        <v>39</v>
      </c>
      <c r="G3848" s="2" t="s">
        <v>4</v>
      </c>
      <c r="H3848" s="1">
        <v>158.89400000000001</v>
      </c>
    </row>
    <row r="3849" spans="1:8" x14ac:dyDescent="0.3">
      <c r="A3849" s="2">
        <v>712</v>
      </c>
      <c r="B3849" t="s">
        <v>1458</v>
      </c>
      <c r="C3849" t="s">
        <v>3224</v>
      </c>
      <c r="D3849" s="2">
        <v>1</v>
      </c>
      <c r="E3849" s="11" t="s">
        <v>1223</v>
      </c>
      <c r="F3849" t="s">
        <v>39</v>
      </c>
      <c r="G3849" s="2" t="s">
        <v>23</v>
      </c>
      <c r="H3849" s="1">
        <v>52.893999999999998</v>
      </c>
    </row>
    <row r="3850" spans="1:8" x14ac:dyDescent="0.3">
      <c r="A3850" s="2">
        <v>712</v>
      </c>
      <c r="B3850" t="s">
        <v>1710</v>
      </c>
      <c r="C3850" t="s">
        <v>0</v>
      </c>
      <c r="D3850" s="2">
        <v>1</v>
      </c>
      <c r="E3850" s="11" t="s">
        <v>1106</v>
      </c>
      <c r="F3850" t="s">
        <v>39</v>
      </c>
      <c r="G3850" s="2" t="s">
        <v>23</v>
      </c>
      <c r="H3850" s="1">
        <v>185.39400000000001</v>
      </c>
    </row>
    <row r="3851" spans="1:8" x14ac:dyDescent="0.3">
      <c r="A3851" s="2">
        <v>712</v>
      </c>
      <c r="B3851" t="s">
        <v>1559</v>
      </c>
      <c r="C3851" t="s">
        <v>1</v>
      </c>
      <c r="D3851" s="2">
        <v>1</v>
      </c>
      <c r="E3851" s="11" t="s">
        <v>172</v>
      </c>
      <c r="F3851" t="s">
        <v>39</v>
      </c>
      <c r="G3851" s="2" t="s">
        <v>23</v>
      </c>
      <c r="H3851" s="1">
        <v>47.594000000000001</v>
      </c>
    </row>
    <row r="3852" spans="1:8" x14ac:dyDescent="0.3">
      <c r="A3852" s="2">
        <v>712</v>
      </c>
      <c r="B3852" t="s">
        <v>1709</v>
      </c>
      <c r="C3852" t="s">
        <v>0</v>
      </c>
      <c r="D3852" s="2">
        <v>1</v>
      </c>
      <c r="E3852" s="11" t="s">
        <v>1109</v>
      </c>
      <c r="F3852" t="s">
        <v>36</v>
      </c>
      <c r="G3852" s="2" t="s">
        <v>23</v>
      </c>
      <c r="H3852" s="1">
        <v>137.69400000000002</v>
      </c>
    </row>
    <row r="3853" spans="1:8" x14ac:dyDescent="0.3">
      <c r="A3853" s="2">
        <v>712</v>
      </c>
      <c r="B3853" t="s">
        <v>1708</v>
      </c>
      <c r="C3853" t="s">
        <v>3217</v>
      </c>
      <c r="D3853" s="2">
        <v>1</v>
      </c>
      <c r="E3853" s="11" t="s">
        <v>1603</v>
      </c>
      <c r="F3853" t="s">
        <v>36</v>
      </c>
      <c r="G3853" s="2" t="s">
        <v>23</v>
      </c>
      <c r="H3853" s="1">
        <v>63.494</v>
      </c>
    </row>
    <row r="3854" spans="1:8" x14ac:dyDescent="0.3">
      <c r="A3854" s="2">
        <v>712</v>
      </c>
      <c r="B3854" t="s">
        <v>1558</v>
      </c>
      <c r="C3854" t="s">
        <v>1</v>
      </c>
      <c r="D3854" s="2">
        <v>1</v>
      </c>
      <c r="E3854" s="11" t="s">
        <v>172</v>
      </c>
      <c r="F3854" t="s">
        <v>36</v>
      </c>
      <c r="G3854" s="2" t="s">
        <v>4</v>
      </c>
      <c r="H3854" s="1">
        <v>47.594000000000001</v>
      </c>
    </row>
    <row r="3855" spans="1:8" x14ac:dyDescent="0.3">
      <c r="A3855" s="2">
        <v>712</v>
      </c>
      <c r="B3855" t="s">
        <v>1707</v>
      </c>
      <c r="C3855" t="s">
        <v>1</v>
      </c>
      <c r="D3855" s="2">
        <v>1</v>
      </c>
      <c r="E3855" s="11" t="s">
        <v>1653</v>
      </c>
      <c r="F3855" t="s">
        <v>28</v>
      </c>
      <c r="G3855" s="2" t="s">
        <v>23</v>
      </c>
      <c r="H3855" s="1">
        <v>79.394000000000005</v>
      </c>
    </row>
    <row r="3856" spans="1:8" x14ac:dyDescent="0.3">
      <c r="A3856" s="2">
        <v>712</v>
      </c>
      <c r="B3856" t="s">
        <v>1441</v>
      </c>
      <c r="C3856" t="s">
        <v>3224</v>
      </c>
      <c r="D3856" s="2">
        <v>1</v>
      </c>
      <c r="E3856" s="11" t="s">
        <v>1223</v>
      </c>
      <c r="F3856" t="s">
        <v>28</v>
      </c>
      <c r="G3856" s="2" t="s">
        <v>31</v>
      </c>
      <c r="H3856" s="1">
        <v>52.893999999999998</v>
      </c>
    </row>
    <row r="3857" spans="1:8" x14ac:dyDescent="0.3">
      <c r="A3857" s="2">
        <v>712</v>
      </c>
      <c r="B3857" t="s">
        <v>1652</v>
      </c>
      <c r="C3857" t="s">
        <v>3217</v>
      </c>
      <c r="D3857" s="2">
        <v>1</v>
      </c>
      <c r="E3857" s="11" t="s">
        <v>1603</v>
      </c>
      <c r="F3857" t="s">
        <v>28</v>
      </c>
      <c r="G3857" s="2" t="s">
        <v>31</v>
      </c>
      <c r="H3857" s="1">
        <v>63.494</v>
      </c>
    </row>
    <row r="3858" spans="1:8" x14ac:dyDescent="0.3">
      <c r="A3858" s="2">
        <v>712</v>
      </c>
      <c r="B3858" t="s">
        <v>173</v>
      </c>
      <c r="C3858" t="s">
        <v>1</v>
      </c>
      <c r="D3858" s="2">
        <v>1</v>
      </c>
      <c r="E3858" s="11" t="s">
        <v>172</v>
      </c>
      <c r="F3858" t="s">
        <v>28</v>
      </c>
      <c r="G3858" s="2" t="s">
        <v>4</v>
      </c>
      <c r="H3858" s="1">
        <v>47.594000000000001</v>
      </c>
    </row>
    <row r="3859" spans="1:8" x14ac:dyDescent="0.3">
      <c r="A3859" s="2">
        <v>712</v>
      </c>
      <c r="B3859" t="s">
        <v>506</v>
      </c>
      <c r="C3859" t="s">
        <v>1</v>
      </c>
      <c r="D3859" s="2">
        <v>1</v>
      </c>
      <c r="E3859" s="11" t="s">
        <v>172</v>
      </c>
      <c r="F3859" t="s">
        <v>28</v>
      </c>
      <c r="G3859" s="2" t="s">
        <v>23</v>
      </c>
      <c r="H3859" s="1">
        <v>47.594000000000001</v>
      </c>
    </row>
    <row r="3860" spans="1:8" x14ac:dyDescent="0.3">
      <c r="A3860" s="2">
        <v>713</v>
      </c>
      <c r="B3860" t="s">
        <v>1705</v>
      </c>
      <c r="C3860" t="s">
        <v>3</v>
      </c>
      <c r="D3860" s="2">
        <v>1</v>
      </c>
      <c r="E3860" s="11" t="s">
        <v>1356</v>
      </c>
      <c r="F3860" t="s">
        <v>114</v>
      </c>
      <c r="G3860" s="2" t="s">
        <v>4</v>
      </c>
      <c r="H3860" s="1">
        <v>111.19400000000002</v>
      </c>
    </row>
    <row r="3861" spans="1:8" x14ac:dyDescent="0.3">
      <c r="A3861" s="2">
        <v>713</v>
      </c>
      <c r="B3861" t="s">
        <v>1589</v>
      </c>
      <c r="C3861" t="s">
        <v>3</v>
      </c>
      <c r="D3861" s="2">
        <v>1</v>
      </c>
      <c r="E3861" s="11" t="s">
        <v>1356</v>
      </c>
      <c r="F3861" t="s">
        <v>114</v>
      </c>
      <c r="G3861" s="2" t="s">
        <v>31</v>
      </c>
      <c r="H3861" s="1">
        <v>111.19400000000002</v>
      </c>
    </row>
    <row r="3862" spans="1:8" x14ac:dyDescent="0.3">
      <c r="A3862" s="2">
        <v>713</v>
      </c>
      <c r="B3862" t="s">
        <v>1704</v>
      </c>
      <c r="C3862" t="s">
        <v>3221</v>
      </c>
      <c r="D3862" s="2">
        <v>1</v>
      </c>
      <c r="E3862" s="11" t="s">
        <v>1180</v>
      </c>
      <c r="F3862" t="s">
        <v>114</v>
      </c>
      <c r="G3862" s="2" t="s">
        <v>4</v>
      </c>
      <c r="H3862" s="1">
        <v>169.49400000000003</v>
      </c>
    </row>
    <row r="3863" spans="1:8" x14ac:dyDescent="0.3">
      <c r="A3863" s="2">
        <v>713</v>
      </c>
      <c r="B3863" t="s">
        <v>1703</v>
      </c>
      <c r="C3863" t="s">
        <v>3221</v>
      </c>
      <c r="D3863" s="2">
        <v>1</v>
      </c>
      <c r="E3863" s="11" t="s">
        <v>1180</v>
      </c>
      <c r="F3863" t="s">
        <v>114</v>
      </c>
      <c r="G3863" s="2" t="s">
        <v>31</v>
      </c>
      <c r="H3863" s="1">
        <v>169.49400000000003</v>
      </c>
    </row>
    <row r="3864" spans="1:8" x14ac:dyDescent="0.3">
      <c r="A3864" s="2">
        <v>713</v>
      </c>
      <c r="B3864" t="s">
        <v>1701</v>
      </c>
      <c r="C3864" t="s">
        <v>0</v>
      </c>
      <c r="D3864" s="2">
        <v>1</v>
      </c>
      <c r="E3864" s="11" t="s">
        <v>549</v>
      </c>
      <c r="F3864" t="s">
        <v>114</v>
      </c>
      <c r="G3864" s="2" t="s">
        <v>31</v>
      </c>
      <c r="H3864" s="1">
        <v>164.19400000000002</v>
      </c>
    </row>
    <row r="3865" spans="1:8" x14ac:dyDescent="0.3">
      <c r="A3865" s="2">
        <v>713</v>
      </c>
      <c r="B3865" t="s">
        <v>558</v>
      </c>
      <c r="C3865" t="s">
        <v>0</v>
      </c>
      <c r="D3865" s="2">
        <v>1</v>
      </c>
      <c r="E3865" s="11" t="s">
        <v>549</v>
      </c>
      <c r="F3865" t="s">
        <v>114</v>
      </c>
      <c r="G3865" s="2" t="s">
        <v>23</v>
      </c>
      <c r="H3865" s="1">
        <v>164.19400000000002</v>
      </c>
    </row>
    <row r="3866" spans="1:8" x14ac:dyDescent="0.3">
      <c r="A3866" s="2">
        <v>713</v>
      </c>
      <c r="B3866" t="s">
        <v>1587</v>
      </c>
      <c r="C3866" t="s">
        <v>3225</v>
      </c>
      <c r="D3866" s="2">
        <v>1</v>
      </c>
      <c r="E3866" s="11" t="s">
        <v>491</v>
      </c>
      <c r="F3866" t="s">
        <v>47</v>
      </c>
      <c r="G3866" s="2" t="s">
        <v>4</v>
      </c>
      <c r="H3866" s="1">
        <v>164.19400000000002</v>
      </c>
    </row>
    <row r="3867" spans="1:8" x14ac:dyDescent="0.3">
      <c r="A3867" s="2">
        <v>713</v>
      </c>
      <c r="B3867" t="s">
        <v>1663</v>
      </c>
      <c r="C3867" t="s">
        <v>3225</v>
      </c>
      <c r="D3867" s="2">
        <v>1</v>
      </c>
      <c r="E3867" s="11" t="s">
        <v>491</v>
      </c>
      <c r="F3867" t="s">
        <v>47</v>
      </c>
      <c r="G3867" s="2" t="s">
        <v>31</v>
      </c>
      <c r="H3867" s="1">
        <v>164.19400000000002</v>
      </c>
    </row>
    <row r="3868" spans="1:8" x14ac:dyDescent="0.3">
      <c r="A3868" s="2">
        <v>713</v>
      </c>
      <c r="B3868" t="s">
        <v>801</v>
      </c>
      <c r="C3868" t="s">
        <v>3225</v>
      </c>
      <c r="D3868" s="2">
        <v>1</v>
      </c>
      <c r="E3868" s="11" t="s">
        <v>491</v>
      </c>
      <c r="F3868" t="s">
        <v>47</v>
      </c>
      <c r="G3868" s="2" t="s">
        <v>23</v>
      </c>
      <c r="H3868" s="1">
        <v>164.19400000000002</v>
      </c>
    </row>
    <row r="3869" spans="1:8" x14ac:dyDescent="0.3">
      <c r="A3869" s="2">
        <v>713</v>
      </c>
      <c r="B3869" t="s">
        <v>214</v>
      </c>
      <c r="C3869" t="s">
        <v>0</v>
      </c>
      <c r="D3869" s="2">
        <v>1</v>
      </c>
      <c r="E3869" s="11" t="s">
        <v>213</v>
      </c>
      <c r="F3869" t="s">
        <v>47</v>
      </c>
      <c r="G3869" s="2" t="s">
        <v>31</v>
      </c>
      <c r="H3869" s="1">
        <v>206.59400000000002</v>
      </c>
    </row>
    <row r="3870" spans="1:8" x14ac:dyDescent="0.3">
      <c r="A3870" s="2">
        <v>713</v>
      </c>
      <c r="B3870" t="s">
        <v>1706</v>
      </c>
      <c r="C3870" t="s">
        <v>0</v>
      </c>
      <c r="D3870" s="2">
        <v>1</v>
      </c>
      <c r="E3870" s="11" t="s">
        <v>213</v>
      </c>
      <c r="F3870" t="s">
        <v>47</v>
      </c>
      <c r="G3870" s="2" t="s">
        <v>23</v>
      </c>
      <c r="H3870" s="1">
        <v>206.59400000000002</v>
      </c>
    </row>
    <row r="3871" spans="1:8" x14ac:dyDescent="0.3">
      <c r="A3871" s="2">
        <v>713</v>
      </c>
      <c r="B3871" t="s">
        <v>708</v>
      </c>
      <c r="C3871" t="s">
        <v>3220</v>
      </c>
      <c r="D3871" s="2">
        <v>1</v>
      </c>
      <c r="E3871" s="11" t="s">
        <v>204</v>
      </c>
      <c r="F3871" t="s">
        <v>39</v>
      </c>
      <c r="G3871" s="2" t="s">
        <v>23</v>
      </c>
      <c r="H3871" s="1">
        <v>42.294000000000004</v>
      </c>
    </row>
    <row r="3872" spans="1:8" x14ac:dyDescent="0.3">
      <c r="A3872" s="2">
        <v>714</v>
      </c>
      <c r="B3872" t="s">
        <v>1705</v>
      </c>
      <c r="C3872" t="s">
        <v>3</v>
      </c>
      <c r="D3872" s="2">
        <v>1</v>
      </c>
      <c r="E3872" s="11" t="s">
        <v>1356</v>
      </c>
      <c r="F3872" t="s">
        <v>114</v>
      </c>
      <c r="G3872" s="2" t="s">
        <v>4</v>
      </c>
      <c r="H3872" s="1">
        <v>111.19400000000002</v>
      </c>
    </row>
    <row r="3873" spans="1:8" x14ac:dyDescent="0.3">
      <c r="A3873" s="2">
        <v>714</v>
      </c>
      <c r="B3873" t="s">
        <v>1704</v>
      </c>
      <c r="C3873" t="s">
        <v>3221</v>
      </c>
      <c r="D3873" s="2">
        <v>1</v>
      </c>
      <c r="E3873" s="11" t="s">
        <v>1180</v>
      </c>
      <c r="F3873" t="s">
        <v>114</v>
      </c>
      <c r="G3873" s="2" t="s">
        <v>4</v>
      </c>
      <c r="H3873" s="1">
        <v>169.49400000000003</v>
      </c>
    </row>
    <row r="3874" spans="1:8" x14ac:dyDescent="0.3">
      <c r="A3874" s="2">
        <v>714</v>
      </c>
      <c r="B3874" t="s">
        <v>1703</v>
      </c>
      <c r="C3874" t="s">
        <v>3221</v>
      </c>
      <c r="D3874" s="2">
        <v>2</v>
      </c>
      <c r="E3874" s="11" t="s">
        <v>1180</v>
      </c>
      <c r="F3874" t="s">
        <v>114</v>
      </c>
      <c r="G3874" s="2" t="s">
        <v>31</v>
      </c>
      <c r="H3874" s="1">
        <v>169.49400000000003</v>
      </c>
    </row>
    <row r="3875" spans="1:8" x14ac:dyDescent="0.3">
      <c r="A3875" s="2">
        <v>714</v>
      </c>
      <c r="B3875" t="s">
        <v>1702</v>
      </c>
      <c r="C3875" t="s">
        <v>0</v>
      </c>
      <c r="D3875" s="2">
        <v>2</v>
      </c>
      <c r="E3875" s="11" t="s">
        <v>549</v>
      </c>
      <c r="F3875" t="s">
        <v>114</v>
      </c>
      <c r="G3875" s="2" t="s">
        <v>4</v>
      </c>
      <c r="H3875" s="1">
        <v>164.19400000000002</v>
      </c>
    </row>
    <row r="3876" spans="1:8" x14ac:dyDescent="0.3">
      <c r="A3876" s="2">
        <v>714</v>
      </c>
      <c r="B3876" t="s">
        <v>1701</v>
      </c>
      <c r="C3876" t="s">
        <v>0</v>
      </c>
      <c r="D3876" s="2">
        <v>1</v>
      </c>
      <c r="E3876" s="11" t="s">
        <v>549</v>
      </c>
      <c r="F3876" t="s">
        <v>114</v>
      </c>
      <c r="G3876" s="2" t="s">
        <v>31</v>
      </c>
      <c r="H3876" s="1">
        <v>164.19400000000002</v>
      </c>
    </row>
    <row r="3877" spans="1:8" x14ac:dyDescent="0.3">
      <c r="A3877" s="2">
        <v>714</v>
      </c>
      <c r="B3877" t="s">
        <v>558</v>
      </c>
      <c r="C3877" t="s">
        <v>0</v>
      </c>
      <c r="D3877" s="2">
        <v>1</v>
      </c>
      <c r="E3877" s="11" t="s">
        <v>549</v>
      </c>
      <c r="F3877" t="s">
        <v>114</v>
      </c>
      <c r="G3877" s="2" t="s">
        <v>23</v>
      </c>
      <c r="H3877" s="1">
        <v>164.19400000000002</v>
      </c>
    </row>
    <row r="3878" spans="1:8" x14ac:dyDescent="0.3">
      <c r="A3878" s="2">
        <v>714</v>
      </c>
      <c r="B3878" t="s">
        <v>1663</v>
      </c>
      <c r="C3878" t="s">
        <v>3225</v>
      </c>
      <c r="D3878" s="2">
        <v>1</v>
      </c>
      <c r="E3878" s="11" t="s">
        <v>491</v>
      </c>
      <c r="F3878" t="s">
        <v>47</v>
      </c>
      <c r="G3878" s="2" t="s">
        <v>31</v>
      </c>
      <c r="H3878" s="1">
        <v>164.19400000000002</v>
      </c>
    </row>
    <row r="3879" spans="1:8" x14ac:dyDescent="0.3">
      <c r="A3879" s="2">
        <v>714</v>
      </c>
      <c r="B3879" t="s">
        <v>801</v>
      </c>
      <c r="C3879" t="s">
        <v>3225</v>
      </c>
      <c r="D3879" s="2">
        <v>1</v>
      </c>
      <c r="E3879" s="11" t="s">
        <v>491</v>
      </c>
      <c r="F3879" t="s">
        <v>47</v>
      </c>
      <c r="G3879" s="2" t="s">
        <v>23</v>
      </c>
      <c r="H3879" s="1">
        <v>164.19400000000002</v>
      </c>
    </row>
    <row r="3880" spans="1:8" x14ac:dyDescent="0.3">
      <c r="A3880" s="2">
        <v>714</v>
      </c>
      <c r="B3880" t="s">
        <v>1700</v>
      </c>
      <c r="C3880" t="s">
        <v>3221</v>
      </c>
      <c r="D3880" s="2">
        <v>1</v>
      </c>
      <c r="E3880" s="11" t="s">
        <v>1180</v>
      </c>
      <c r="F3880" t="s">
        <v>47</v>
      </c>
      <c r="G3880" s="2" t="s">
        <v>23</v>
      </c>
      <c r="H3880" s="1">
        <v>169.49400000000003</v>
      </c>
    </row>
    <row r="3881" spans="1:8" x14ac:dyDescent="0.3">
      <c r="A3881" s="2">
        <v>714</v>
      </c>
      <c r="B3881" t="s">
        <v>1616</v>
      </c>
      <c r="C3881" t="s">
        <v>2</v>
      </c>
      <c r="D3881" s="2">
        <v>2</v>
      </c>
      <c r="E3881" s="11" t="s">
        <v>1615</v>
      </c>
      <c r="F3881" t="s">
        <v>47</v>
      </c>
      <c r="G3881" s="2" t="s">
        <v>23</v>
      </c>
      <c r="H3881" s="1">
        <v>127.09400000000001</v>
      </c>
    </row>
    <row r="3882" spans="1:8" x14ac:dyDescent="0.3">
      <c r="A3882" s="2">
        <v>714</v>
      </c>
      <c r="B3882" t="s">
        <v>1427</v>
      </c>
      <c r="C3882" t="s">
        <v>3224</v>
      </c>
      <c r="D3882" s="2">
        <v>1</v>
      </c>
      <c r="E3882" s="11" t="s">
        <v>1426</v>
      </c>
      <c r="F3882" t="s">
        <v>47</v>
      </c>
      <c r="G3882" s="2" t="s">
        <v>23</v>
      </c>
      <c r="H3882" s="1">
        <v>63.494000000000007</v>
      </c>
    </row>
    <row r="3883" spans="1:8" x14ac:dyDescent="0.3">
      <c r="A3883" s="2">
        <v>714</v>
      </c>
      <c r="B3883" t="s">
        <v>1699</v>
      </c>
      <c r="C3883" t="s">
        <v>3224</v>
      </c>
      <c r="D3883" s="2">
        <v>1</v>
      </c>
      <c r="E3883" s="11" t="s">
        <v>1399</v>
      </c>
      <c r="F3883" t="s">
        <v>47</v>
      </c>
      <c r="G3883" s="2" t="s">
        <v>31</v>
      </c>
      <c r="H3883" s="1">
        <v>63.494000000000007</v>
      </c>
    </row>
    <row r="3884" spans="1:8" x14ac:dyDescent="0.3">
      <c r="A3884" s="2">
        <v>714</v>
      </c>
      <c r="B3884" t="s">
        <v>1576</v>
      </c>
      <c r="C3884" t="s">
        <v>3224</v>
      </c>
      <c r="D3884" s="2">
        <v>1</v>
      </c>
      <c r="E3884" s="11" t="s">
        <v>1575</v>
      </c>
      <c r="F3884" t="s">
        <v>39</v>
      </c>
      <c r="G3884" s="2" t="s">
        <v>23</v>
      </c>
      <c r="H3884" s="1">
        <v>89.994000000000014</v>
      </c>
    </row>
    <row r="3885" spans="1:8" x14ac:dyDescent="0.3">
      <c r="A3885" s="2">
        <v>714</v>
      </c>
      <c r="B3885" t="s">
        <v>1635</v>
      </c>
      <c r="C3885" t="s">
        <v>3</v>
      </c>
      <c r="D3885" s="2">
        <v>1</v>
      </c>
      <c r="E3885" s="11" t="s">
        <v>215</v>
      </c>
      <c r="F3885" t="s">
        <v>39</v>
      </c>
      <c r="G3885" s="2" t="s">
        <v>23</v>
      </c>
      <c r="H3885" s="1">
        <v>111.19400000000002</v>
      </c>
    </row>
    <row r="3886" spans="1:8" x14ac:dyDescent="0.3">
      <c r="A3886" s="2">
        <v>714</v>
      </c>
      <c r="B3886" t="s">
        <v>1698</v>
      </c>
      <c r="C3886" t="s">
        <v>3224</v>
      </c>
      <c r="D3886" s="2">
        <v>1</v>
      </c>
      <c r="E3886" s="11" t="s">
        <v>1399</v>
      </c>
      <c r="F3886" t="s">
        <v>36</v>
      </c>
      <c r="G3886" s="2" t="s">
        <v>4</v>
      </c>
      <c r="H3886" s="1">
        <v>63.494000000000007</v>
      </c>
    </row>
    <row r="3887" spans="1:8" x14ac:dyDescent="0.3">
      <c r="A3887" s="2">
        <v>715</v>
      </c>
      <c r="B3887" t="s">
        <v>118</v>
      </c>
      <c r="C3887" t="s">
        <v>2</v>
      </c>
      <c r="D3887" s="2">
        <v>1</v>
      </c>
      <c r="E3887" s="11" t="s">
        <v>86</v>
      </c>
      <c r="F3887" t="s">
        <v>114</v>
      </c>
      <c r="G3887" s="2" t="s">
        <v>23</v>
      </c>
      <c r="H3887" s="1">
        <v>95.294000000000011</v>
      </c>
    </row>
    <row r="3888" spans="1:8" x14ac:dyDescent="0.3">
      <c r="A3888" s="2">
        <v>715</v>
      </c>
      <c r="B3888" t="s">
        <v>1400</v>
      </c>
      <c r="C3888" t="s">
        <v>3224</v>
      </c>
      <c r="D3888" s="2">
        <v>1</v>
      </c>
      <c r="E3888" s="11" t="s">
        <v>1399</v>
      </c>
      <c r="F3888" t="s">
        <v>114</v>
      </c>
      <c r="G3888" s="2" t="s">
        <v>23</v>
      </c>
      <c r="H3888" s="1">
        <v>63.494000000000007</v>
      </c>
    </row>
    <row r="3889" spans="1:8" x14ac:dyDescent="0.3">
      <c r="A3889" s="2">
        <v>715</v>
      </c>
      <c r="B3889" t="s">
        <v>1697</v>
      </c>
      <c r="C3889" t="s">
        <v>3225</v>
      </c>
      <c r="D3889" s="2">
        <v>1</v>
      </c>
      <c r="E3889" s="11" t="s">
        <v>932</v>
      </c>
      <c r="F3889" t="s">
        <v>47</v>
      </c>
      <c r="G3889" s="2" t="s">
        <v>31</v>
      </c>
      <c r="H3889" s="1">
        <v>174.79400000000001</v>
      </c>
    </row>
    <row r="3890" spans="1:8" x14ac:dyDescent="0.3">
      <c r="A3890" s="2">
        <v>715</v>
      </c>
      <c r="B3890" t="s">
        <v>1586</v>
      </c>
      <c r="C3890" t="s">
        <v>3225</v>
      </c>
      <c r="D3890" s="2">
        <v>2</v>
      </c>
      <c r="E3890" s="11" t="s">
        <v>932</v>
      </c>
      <c r="F3890" t="s">
        <v>47</v>
      </c>
      <c r="G3890" s="2" t="s">
        <v>23</v>
      </c>
      <c r="H3890" s="1">
        <v>174.79400000000001</v>
      </c>
    </row>
    <row r="3891" spans="1:8" x14ac:dyDescent="0.3">
      <c r="A3891" s="2">
        <v>715</v>
      </c>
      <c r="B3891" t="s">
        <v>1495</v>
      </c>
      <c r="C3891" t="s">
        <v>0</v>
      </c>
      <c r="D3891" s="2">
        <v>1</v>
      </c>
      <c r="E3891" s="11" t="s">
        <v>1106</v>
      </c>
      <c r="F3891" t="s">
        <v>47</v>
      </c>
      <c r="G3891" s="2" t="s">
        <v>4</v>
      </c>
      <c r="H3891" s="1">
        <v>185.39400000000001</v>
      </c>
    </row>
    <row r="3892" spans="1:8" x14ac:dyDescent="0.3">
      <c r="A3892" s="2">
        <v>715</v>
      </c>
      <c r="B3892" t="s">
        <v>1696</v>
      </c>
      <c r="C3892" t="s">
        <v>2</v>
      </c>
      <c r="D3892" s="2">
        <v>1</v>
      </c>
      <c r="E3892" s="11" t="s">
        <v>1428</v>
      </c>
      <c r="F3892" t="s">
        <v>47</v>
      </c>
      <c r="G3892" s="2" t="s">
        <v>4</v>
      </c>
      <c r="H3892" s="1">
        <v>100.59400000000001</v>
      </c>
    </row>
    <row r="3893" spans="1:8" x14ac:dyDescent="0.3">
      <c r="A3893" s="2">
        <v>715</v>
      </c>
      <c r="B3893" t="s">
        <v>1430</v>
      </c>
      <c r="C3893" t="s">
        <v>2</v>
      </c>
      <c r="D3893" s="2">
        <v>1</v>
      </c>
      <c r="E3893" s="11" t="s">
        <v>1428</v>
      </c>
      <c r="F3893" t="s">
        <v>47</v>
      </c>
      <c r="G3893" s="2" t="s">
        <v>31</v>
      </c>
      <c r="H3893" s="1">
        <v>100.59400000000001</v>
      </c>
    </row>
    <row r="3894" spans="1:8" x14ac:dyDescent="0.3">
      <c r="A3894" s="2">
        <v>715</v>
      </c>
      <c r="B3894" t="s">
        <v>1695</v>
      </c>
      <c r="C3894" t="s">
        <v>3219</v>
      </c>
      <c r="D3894" s="2">
        <v>1</v>
      </c>
      <c r="E3894" s="11" t="s">
        <v>977</v>
      </c>
      <c r="F3894" t="s">
        <v>39</v>
      </c>
      <c r="G3894" s="2" t="s">
        <v>4</v>
      </c>
      <c r="H3894" s="1">
        <v>116.49400000000001</v>
      </c>
    </row>
    <row r="3895" spans="1:8" x14ac:dyDescent="0.3">
      <c r="A3895" s="2">
        <v>715</v>
      </c>
      <c r="B3895" t="s">
        <v>1562</v>
      </c>
      <c r="C3895" t="s">
        <v>3219</v>
      </c>
      <c r="D3895" s="2">
        <v>1</v>
      </c>
      <c r="E3895" s="11" t="s">
        <v>1561</v>
      </c>
      <c r="F3895" t="s">
        <v>39</v>
      </c>
      <c r="G3895" s="2" t="s">
        <v>4</v>
      </c>
      <c r="H3895" s="1">
        <v>148.29400000000001</v>
      </c>
    </row>
    <row r="3896" spans="1:8" x14ac:dyDescent="0.3">
      <c r="A3896" s="2">
        <v>715</v>
      </c>
      <c r="B3896" t="s">
        <v>1694</v>
      </c>
      <c r="C3896" t="s">
        <v>2</v>
      </c>
      <c r="D3896" s="2">
        <v>1</v>
      </c>
      <c r="E3896" s="11" t="s">
        <v>1428</v>
      </c>
      <c r="F3896" t="s">
        <v>39</v>
      </c>
      <c r="G3896" s="2" t="s">
        <v>4</v>
      </c>
      <c r="H3896" s="1">
        <v>100.59400000000001</v>
      </c>
    </row>
    <row r="3897" spans="1:8" x14ac:dyDescent="0.3">
      <c r="A3897" s="2">
        <v>715</v>
      </c>
      <c r="B3897" t="s">
        <v>1693</v>
      </c>
      <c r="C3897" t="s">
        <v>2</v>
      </c>
      <c r="D3897" s="2">
        <v>1</v>
      </c>
      <c r="E3897" s="11" t="s">
        <v>1428</v>
      </c>
      <c r="F3897" t="s">
        <v>39</v>
      </c>
      <c r="G3897" s="2" t="s">
        <v>31</v>
      </c>
      <c r="H3897" s="1">
        <v>100.59400000000001</v>
      </c>
    </row>
    <row r="3898" spans="1:8" x14ac:dyDescent="0.3">
      <c r="A3898" s="2">
        <v>715</v>
      </c>
      <c r="B3898" t="s">
        <v>1550</v>
      </c>
      <c r="C3898" t="s">
        <v>3225</v>
      </c>
      <c r="D3898" s="2">
        <v>1</v>
      </c>
      <c r="E3898" s="11" t="s">
        <v>932</v>
      </c>
      <c r="F3898" t="s">
        <v>28</v>
      </c>
      <c r="G3898" s="2" t="s">
        <v>4</v>
      </c>
      <c r="H3898" s="1">
        <v>174.79400000000001</v>
      </c>
    </row>
    <row r="3899" spans="1:8" x14ac:dyDescent="0.3">
      <c r="A3899" s="2">
        <v>716</v>
      </c>
      <c r="B3899" t="s">
        <v>1692</v>
      </c>
      <c r="C3899" t="s">
        <v>0</v>
      </c>
      <c r="D3899" s="2">
        <v>1</v>
      </c>
      <c r="E3899" s="11" t="s">
        <v>1584</v>
      </c>
      <c r="F3899" t="s">
        <v>126</v>
      </c>
      <c r="G3899" s="2" t="s">
        <v>4</v>
      </c>
      <c r="H3899" s="1">
        <v>169.49400000000003</v>
      </c>
    </row>
    <row r="3900" spans="1:8" x14ac:dyDescent="0.3">
      <c r="A3900" s="2">
        <v>716</v>
      </c>
      <c r="B3900" t="s">
        <v>1590</v>
      </c>
      <c r="C3900" t="s">
        <v>0</v>
      </c>
      <c r="D3900" s="2">
        <v>1</v>
      </c>
      <c r="E3900" s="11" t="s">
        <v>1584</v>
      </c>
      <c r="F3900" t="s">
        <v>126</v>
      </c>
      <c r="G3900" s="2" t="s">
        <v>31</v>
      </c>
      <c r="H3900" s="1">
        <v>169.49400000000003</v>
      </c>
    </row>
    <row r="3901" spans="1:8" x14ac:dyDescent="0.3">
      <c r="A3901" s="2">
        <v>716</v>
      </c>
      <c r="B3901" t="s">
        <v>1691</v>
      </c>
      <c r="C3901" t="s">
        <v>0</v>
      </c>
      <c r="D3901" s="2">
        <v>1</v>
      </c>
      <c r="E3901" s="11" t="s">
        <v>1584</v>
      </c>
      <c r="F3901" t="s">
        <v>126</v>
      </c>
      <c r="G3901" s="2" t="s">
        <v>23</v>
      </c>
      <c r="H3901" s="1">
        <v>169.49400000000003</v>
      </c>
    </row>
    <row r="3902" spans="1:8" x14ac:dyDescent="0.3">
      <c r="A3902" s="2">
        <v>716</v>
      </c>
      <c r="B3902" t="s">
        <v>1362</v>
      </c>
      <c r="C3902" t="s">
        <v>0</v>
      </c>
      <c r="D3902" s="2">
        <v>1</v>
      </c>
      <c r="E3902" s="11" t="s">
        <v>1077</v>
      </c>
      <c r="F3902" t="s">
        <v>114</v>
      </c>
      <c r="G3902" s="2" t="s">
        <v>4</v>
      </c>
      <c r="H3902" s="1">
        <v>180.09400000000002</v>
      </c>
    </row>
    <row r="3903" spans="1:8" x14ac:dyDescent="0.3">
      <c r="A3903" s="2">
        <v>716</v>
      </c>
      <c r="B3903" t="s">
        <v>1690</v>
      </c>
      <c r="C3903" t="s">
        <v>0</v>
      </c>
      <c r="D3903" s="2">
        <v>1</v>
      </c>
      <c r="E3903" s="11" t="s">
        <v>1077</v>
      </c>
      <c r="F3903" t="s">
        <v>114</v>
      </c>
      <c r="G3903" s="2" t="s">
        <v>31</v>
      </c>
      <c r="H3903" s="1">
        <v>180.09400000000002</v>
      </c>
    </row>
    <row r="3904" spans="1:8" x14ac:dyDescent="0.3">
      <c r="A3904" s="2">
        <v>716</v>
      </c>
      <c r="B3904" t="s">
        <v>1078</v>
      </c>
      <c r="C3904" t="s">
        <v>0</v>
      </c>
      <c r="D3904" s="2">
        <v>1</v>
      </c>
      <c r="E3904" s="11" t="s">
        <v>1077</v>
      </c>
      <c r="F3904" t="s">
        <v>114</v>
      </c>
      <c r="G3904" s="2" t="s">
        <v>23</v>
      </c>
      <c r="H3904" s="1">
        <v>180.09400000000002</v>
      </c>
    </row>
    <row r="3905" spans="1:8" x14ac:dyDescent="0.3">
      <c r="A3905" s="2">
        <v>716</v>
      </c>
      <c r="B3905" t="s">
        <v>1552</v>
      </c>
      <c r="C3905" t="s">
        <v>0</v>
      </c>
      <c r="D3905" s="2">
        <v>1</v>
      </c>
      <c r="E3905" s="11" t="s">
        <v>1551</v>
      </c>
      <c r="F3905" t="s">
        <v>39</v>
      </c>
      <c r="G3905" s="2" t="s">
        <v>4</v>
      </c>
      <c r="H3905" s="1">
        <v>121.79400000000001</v>
      </c>
    </row>
    <row r="3906" spans="1:8" x14ac:dyDescent="0.3">
      <c r="A3906" s="2">
        <v>716</v>
      </c>
      <c r="B3906" t="s">
        <v>1689</v>
      </c>
      <c r="C3906" t="s">
        <v>0</v>
      </c>
      <c r="D3906" s="2">
        <v>1</v>
      </c>
      <c r="E3906" s="11" t="s">
        <v>1551</v>
      </c>
      <c r="F3906" t="s">
        <v>39</v>
      </c>
      <c r="G3906" s="2" t="s">
        <v>31</v>
      </c>
      <c r="H3906" s="1">
        <v>121.79400000000001</v>
      </c>
    </row>
    <row r="3907" spans="1:8" x14ac:dyDescent="0.3">
      <c r="A3907" s="2">
        <v>716</v>
      </c>
      <c r="B3907" t="s">
        <v>1661</v>
      </c>
      <c r="C3907" t="s">
        <v>0</v>
      </c>
      <c r="D3907" s="2">
        <v>1</v>
      </c>
      <c r="E3907" s="11" t="s">
        <v>1551</v>
      </c>
      <c r="F3907" t="s">
        <v>39</v>
      </c>
      <c r="G3907" s="2" t="s">
        <v>23</v>
      </c>
      <c r="H3907" s="1">
        <v>121.79400000000001</v>
      </c>
    </row>
    <row r="3908" spans="1:8" x14ac:dyDescent="0.3">
      <c r="A3908" s="2">
        <v>716</v>
      </c>
      <c r="B3908" t="s">
        <v>1688</v>
      </c>
      <c r="C3908" t="s">
        <v>0</v>
      </c>
      <c r="D3908" s="2">
        <v>1</v>
      </c>
      <c r="E3908" s="11" t="s">
        <v>1551</v>
      </c>
      <c r="F3908" t="s">
        <v>28</v>
      </c>
      <c r="G3908" s="2" t="s">
        <v>4</v>
      </c>
      <c r="H3908" s="1">
        <v>121.79400000000001</v>
      </c>
    </row>
    <row r="3909" spans="1:8" x14ac:dyDescent="0.3">
      <c r="A3909" s="2">
        <v>716</v>
      </c>
      <c r="B3909" t="s">
        <v>1687</v>
      </c>
      <c r="C3909" t="s">
        <v>0</v>
      </c>
      <c r="D3909" s="2">
        <v>2</v>
      </c>
      <c r="E3909" s="11" t="s">
        <v>1551</v>
      </c>
      <c r="F3909" t="s">
        <v>28</v>
      </c>
      <c r="G3909" s="2" t="s">
        <v>23</v>
      </c>
      <c r="H3909" s="1">
        <v>121.79400000000001</v>
      </c>
    </row>
    <row r="3910" spans="1:8" x14ac:dyDescent="0.3">
      <c r="A3910" s="2">
        <v>717</v>
      </c>
      <c r="B3910" t="s">
        <v>1686</v>
      </c>
      <c r="C3910" t="s">
        <v>3224</v>
      </c>
      <c r="D3910" s="2">
        <v>1</v>
      </c>
      <c r="E3910" s="11" t="s">
        <v>1685</v>
      </c>
      <c r="F3910" t="s">
        <v>65</v>
      </c>
      <c r="G3910" s="2" t="s">
        <v>23</v>
      </c>
      <c r="H3910" s="1">
        <v>79.394000000000005</v>
      </c>
    </row>
    <row r="3911" spans="1:8" x14ac:dyDescent="0.3">
      <c r="A3911" s="2">
        <v>717</v>
      </c>
      <c r="B3911" t="s">
        <v>1630</v>
      </c>
      <c r="C3911" t="s">
        <v>1</v>
      </c>
      <c r="D3911" s="2">
        <v>1</v>
      </c>
      <c r="E3911" s="11" t="s">
        <v>1454</v>
      </c>
      <c r="F3911" t="s">
        <v>62</v>
      </c>
      <c r="G3911" s="2" t="s">
        <v>23</v>
      </c>
      <c r="H3911" s="1">
        <v>79.394000000000005</v>
      </c>
    </row>
    <row r="3912" spans="1:8" x14ac:dyDescent="0.3">
      <c r="A3912" s="2">
        <v>717</v>
      </c>
      <c r="B3912" t="s">
        <v>1684</v>
      </c>
      <c r="C3912" t="s">
        <v>1</v>
      </c>
      <c r="D3912" s="2">
        <v>1</v>
      </c>
      <c r="E3912" s="11" t="s">
        <v>1680</v>
      </c>
      <c r="F3912" t="s">
        <v>62</v>
      </c>
      <c r="G3912" s="2" t="s">
        <v>23</v>
      </c>
      <c r="H3912" s="1">
        <v>58.19400000000001</v>
      </c>
    </row>
    <row r="3913" spans="1:8" x14ac:dyDescent="0.3">
      <c r="A3913" s="2">
        <v>717</v>
      </c>
      <c r="B3913" t="s">
        <v>1683</v>
      </c>
      <c r="C3913" t="s">
        <v>3365</v>
      </c>
      <c r="D3913" s="2">
        <v>1</v>
      </c>
      <c r="E3913" s="11" t="s">
        <v>1541</v>
      </c>
      <c r="F3913" t="s">
        <v>55</v>
      </c>
      <c r="G3913" s="2" t="s">
        <v>31</v>
      </c>
      <c r="H3913" s="1">
        <v>137.69400000000002</v>
      </c>
    </row>
    <row r="3914" spans="1:8" x14ac:dyDescent="0.3">
      <c r="A3914" s="2">
        <v>717</v>
      </c>
      <c r="B3914" t="s">
        <v>1682</v>
      </c>
      <c r="C3914" t="s">
        <v>3221</v>
      </c>
      <c r="D3914" s="2">
        <v>1</v>
      </c>
      <c r="E3914" s="11" t="s">
        <v>1462</v>
      </c>
      <c r="F3914" t="s">
        <v>114</v>
      </c>
      <c r="G3914" s="2" t="s">
        <v>23</v>
      </c>
      <c r="H3914" s="1">
        <v>116.49400000000001</v>
      </c>
    </row>
    <row r="3915" spans="1:8" x14ac:dyDescent="0.3">
      <c r="A3915" s="2">
        <v>717</v>
      </c>
      <c r="B3915" t="s">
        <v>1681</v>
      </c>
      <c r="C3915" t="s">
        <v>1</v>
      </c>
      <c r="D3915" s="2">
        <v>1</v>
      </c>
      <c r="E3915" s="11" t="s">
        <v>1680</v>
      </c>
      <c r="F3915" t="s">
        <v>114</v>
      </c>
      <c r="G3915" s="2" t="s">
        <v>23</v>
      </c>
      <c r="H3915" s="1">
        <v>58.19400000000001</v>
      </c>
    </row>
    <row r="3916" spans="1:8" x14ac:dyDescent="0.3">
      <c r="A3916" s="2">
        <v>717</v>
      </c>
      <c r="B3916" t="s">
        <v>1596</v>
      </c>
      <c r="C3916" t="s">
        <v>1</v>
      </c>
      <c r="D3916" s="2">
        <v>1</v>
      </c>
      <c r="E3916" s="11" t="s">
        <v>189</v>
      </c>
      <c r="F3916" t="s">
        <v>114</v>
      </c>
      <c r="G3916" s="2" t="s">
        <v>23</v>
      </c>
      <c r="H3916" s="1">
        <v>63.494000000000007</v>
      </c>
    </row>
    <row r="3917" spans="1:8" x14ac:dyDescent="0.3">
      <c r="A3917" s="2">
        <v>717</v>
      </c>
      <c r="B3917" t="s">
        <v>1679</v>
      </c>
      <c r="C3917" t="s">
        <v>2</v>
      </c>
      <c r="D3917" s="2">
        <v>1</v>
      </c>
      <c r="E3917" s="11" t="s">
        <v>1678</v>
      </c>
      <c r="F3917" t="s">
        <v>114</v>
      </c>
      <c r="G3917" s="2" t="s">
        <v>23</v>
      </c>
      <c r="H3917" s="1">
        <v>73.093999999999994</v>
      </c>
    </row>
    <row r="3918" spans="1:8" x14ac:dyDescent="0.3">
      <c r="A3918" s="2">
        <v>717</v>
      </c>
      <c r="B3918" t="s">
        <v>1671</v>
      </c>
      <c r="C3918" t="s">
        <v>3219</v>
      </c>
      <c r="D3918" s="2">
        <v>1</v>
      </c>
      <c r="E3918" s="11" t="s">
        <v>1460</v>
      </c>
      <c r="F3918" t="s">
        <v>114</v>
      </c>
      <c r="G3918" s="2" t="s">
        <v>31</v>
      </c>
      <c r="H3918" s="1">
        <v>142.994</v>
      </c>
    </row>
    <row r="3919" spans="1:8" x14ac:dyDescent="0.3">
      <c r="A3919" s="2">
        <v>717</v>
      </c>
      <c r="B3919" t="s">
        <v>1677</v>
      </c>
      <c r="C3919" t="s">
        <v>2</v>
      </c>
      <c r="D3919" s="2">
        <v>1</v>
      </c>
      <c r="E3919" s="11" t="s">
        <v>1428</v>
      </c>
      <c r="F3919" t="s">
        <v>36</v>
      </c>
      <c r="G3919" s="2" t="s">
        <v>31</v>
      </c>
      <c r="H3919" s="1">
        <v>100.59400000000001</v>
      </c>
    </row>
    <row r="3920" spans="1:8" x14ac:dyDescent="0.3">
      <c r="A3920" s="2">
        <v>717</v>
      </c>
      <c r="B3920" t="s">
        <v>1532</v>
      </c>
      <c r="C3920" t="s">
        <v>3219</v>
      </c>
      <c r="D3920" s="2">
        <v>1</v>
      </c>
      <c r="E3920" s="11" t="s">
        <v>892</v>
      </c>
      <c r="F3920" t="s">
        <v>47</v>
      </c>
      <c r="G3920" s="2" t="s">
        <v>31</v>
      </c>
      <c r="H3920" s="1">
        <v>158.89400000000001</v>
      </c>
    </row>
    <row r="3921" spans="1:8" x14ac:dyDescent="0.3">
      <c r="A3921" s="2">
        <v>717</v>
      </c>
      <c r="B3921" t="s">
        <v>1668</v>
      </c>
      <c r="C3921" t="s">
        <v>3219</v>
      </c>
      <c r="D3921" s="2">
        <v>1</v>
      </c>
      <c r="E3921" s="11" t="s">
        <v>1460</v>
      </c>
      <c r="F3921" t="s">
        <v>47</v>
      </c>
      <c r="G3921" s="2" t="s">
        <v>4</v>
      </c>
      <c r="H3921" s="1">
        <v>142.994</v>
      </c>
    </row>
    <row r="3922" spans="1:8" x14ac:dyDescent="0.3">
      <c r="A3922" s="2">
        <v>717</v>
      </c>
      <c r="B3922" t="s">
        <v>1430</v>
      </c>
      <c r="C3922" t="s">
        <v>2</v>
      </c>
      <c r="D3922" s="2">
        <v>1</v>
      </c>
      <c r="E3922" s="11" t="s">
        <v>1428</v>
      </c>
      <c r="F3922" t="s">
        <v>47</v>
      </c>
      <c r="G3922" s="2" t="s">
        <v>31</v>
      </c>
      <c r="H3922" s="1">
        <v>100.59400000000001</v>
      </c>
    </row>
    <row r="3923" spans="1:8" x14ac:dyDescent="0.3">
      <c r="A3923" s="2">
        <v>717</v>
      </c>
      <c r="B3923" t="s">
        <v>1676</v>
      </c>
      <c r="C3923" t="s">
        <v>2</v>
      </c>
      <c r="D3923" s="2">
        <v>1</v>
      </c>
      <c r="E3923" s="11" t="s">
        <v>1615</v>
      </c>
      <c r="F3923" t="s">
        <v>47</v>
      </c>
      <c r="G3923" s="2" t="s">
        <v>31</v>
      </c>
      <c r="H3923" s="1">
        <v>127.09400000000001</v>
      </c>
    </row>
    <row r="3924" spans="1:8" x14ac:dyDescent="0.3">
      <c r="A3924" s="2">
        <v>717</v>
      </c>
      <c r="B3924" t="s">
        <v>1675</v>
      </c>
      <c r="C3924" t="s">
        <v>0</v>
      </c>
      <c r="D3924" s="2">
        <v>1</v>
      </c>
      <c r="E3924" s="11" t="s">
        <v>1099</v>
      </c>
      <c r="F3924" t="s">
        <v>47</v>
      </c>
      <c r="G3924" s="2" t="s">
        <v>23</v>
      </c>
      <c r="H3924" s="1">
        <v>195.99400000000003</v>
      </c>
    </row>
    <row r="3925" spans="1:8" x14ac:dyDescent="0.3">
      <c r="A3925" s="2">
        <v>717</v>
      </c>
      <c r="B3925" t="s">
        <v>1030</v>
      </c>
      <c r="C3925" t="s">
        <v>2</v>
      </c>
      <c r="D3925" s="2">
        <v>1</v>
      </c>
      <c r="E3925" s="11" t="s">
        <v>43</v>
      </c>
      <c r="F3925" t="s">
        <v>47</v>
      </c>
      <c r="G3925" s="2" t="s">
        <v>4</v>
      </c>
      <c r="H3925" s="1">
        <v>74.094000000000008</v>
      </c>
    </row>
    <row r="3926" spans="1:8" x14ac:dyDescent="0.3">
      <c r="A3926" s="2">
        <v>717</v>
      </c>
      <c r="B3926" t="s">
        <v>1458</v>
      </c>
      <c r="C3926" t="s">
        <v>3224</v>
      </c>
      <c r="D3926" s="2">
        <v>1</v>
      </c>
      <c r="E3926" s="11" t="s">
        <v>1223</v>
      </c>
      <c r="F3926" t="s">
        <v>39</v>
      </c>
      <c r="G3926" s="2" t="s">
        <v>23</v>
      </c>
      <c r="H3926" s="1">
        <v>52.893999999999998</v>
      </c>
    </row>
    <row r="3927" spans="1:8" x14ac:dyDescent="0.3">
      <c r="A3927" s="2">
        <v>717</v>
      </c>
      <c r="B3927" t="s">
        <v>980</v>
      </c>
      <c r="C3927" t="s">
        <v>2</v>
      </c>
      <c r="D3927" s="2">
        <v>1</v>
      </c>
      <c r="E3927" s="11" t="s">
        <v>43</v>
      </c>
      <c r="F3927" t="s">
        <v>39</v>
      </c>
      <c r="G3927" s="2" t="s">
        <v>31</v>
      </c>
      <c r="H3927" s="1">
        <v>74.094000000000008</v>
      </c>
    </row>
    <row r="3928" spans="1:8" x14ac:dyDescent="0.3">
      <c r="A3928" s="2">
        <v>717</v>
      </c>
      <c r="B3928" t="s">
        <v>1134</v>
      </c>
      <c r="C3928" t="s">
        <v>3</v>
      </c>
      <c r="D3928" s="2">
        <v>1</v>
      </c>
      <c r="E3928" s="11" t="s">
        <v>1133</v>
      </c>
      <c r="F3928" t="s">
        <v>28</v>
      </c>
      <c r="G3928" s="2" t="s">
        <v>23</v>
      </c>
      <c r="H3928" s="1">
        <v>74.094000000000008</v>
      </c>
    </row>
    <row r="3929" spans="1:8" x14ac:dyDescent="0.3">
      <c r="A3929" s="2">
        <v>718</v>
      </c>
      <c r="B3929" t="s">
        <v>123</v>
      </c>
      <c r="C3929" t="s">
        <v>3219</v>
      </c>
      <c r="D3929" s="2">
        <v>1</v>
      </c>
      <c r="E3929" s="11" t="s">
        <v>102</v>
      </c>
      <c r="F3929" t="s">
        <v>55</v>
      </c>
      <c r="G3929" s="2" t="s">
        <v>23</v>
      </c>
      <c r="H3929" s="1">
        <v>121.79400000000001</v>
      </c>
    </row>
    <row r="3930" spans="1:8" x14ac:dyDescent="0.3">
      <c r="A3930" s="2">
        <v>718</v>
      </c>
      <c r="B3930" t="s">
        <v>1590</v>
      </c>
      <c r="C3930" t="s">
        <v>0</v>
      </c>
      <c r="D3930" s="2">
        <v>1</v>
      </c>
      <c r="E3930" s="11" t="s">
        <v>1584</v>
      </c>
      <c r="F3930" t="s">
        <v>126</v>
      </c>
      <c r="G3930" s="2" t="s">
        <v>31</v>
      </c>
      <c r="H3930" s="1">
        <v>169.49400000000003</v>
      </c>
    </row>
    <row r="3931" spans="1:8" x14ac:dyDescent="0.3">
      <c r="A3931" s="2">
        <v>718</v>
      </c>
      <c r="B3931" t="s">
        <v>1674</v>
      </c>
      <c r="C3931" t="s">
        <v>3217</v>
      </c>
      <c r="D3931" s="2">
        <v>1</v>
      </c>
      <c r="E3931" s="11" t="s">
        <v>1285</v>
      </c>
      <c r="F3931" t="s">
        <v>126</v>
      </c>
      <c r="G3931" s="2" t="s">
        <v>4</v>
      </c>
      <c r="H3931" s="1">
        <v>42.294000000000004</v>
      </c>
    </row>
    <row r="3932" spans="1:8" x14ac:dyDescent="0.3">
      <c r="A3932" s="2">
        <v>718</v>
      </c>
      <c r="B3932" t="s">
        <v>1504</v>
      </c>
      <c r="C3932" t="s">
        <v>3225</v>
      </c>
      <c r="D3932" s="2">
        <v>1</v>
      </c>
      <c r="E3932" s="11" t="s">
        <v>831</v>
      </c>
      <c r="F3932" t="s">
        <v>81</v>
      </c>
      <c r="G3932" s="2" t="s">
        <v>4</v>
      </c>
      <c r="H3932" s="1">
        <v>190.69400000000002</v>
      </c>
    </row>
    <row r="3933" spans="1:8" x14ac:dyDescent="0.3">
      <c r="A3933" s="2">
        <v>718</v>
      </c>
      <c r="B3933" t="s">
        <v>1673</v>
      </c>
      <c r="C3933" t="s">
        <v>3217</v>
      </c>
      <c r="D3933" s="2">
        <v>1</v>
      </c>
      <c r="E3933" s="11" t="s">
        <v>1285</v>
      </c>
      <c r="F3933" t="s">
        <v>959</v>
      </c>
      <c r="G3933" s="2" t="s">
        <v>23</v>
      </c>
      <c r="H3933" s="1">
        <v>42.294000000000004</v>
      </c>
    </row>
    <row r="3934" spans="1:8" x14ac:dyDescent="0.3">
      <c r="A3934" s="2">
        <v>718</v>
      </c>
      <c r="B3934" t="s">
        <v>1672</v>
      </c>
      <c r="C3934" t="s">
        <v>3219</v>
      </c>
      <c r="D3934" s="2">
        <v>1</v>
      </c>
      <c r="E3934" s="11" t="s">
        <v>1460</v>
      </c>
      <c r="F3934" t="s">
        <v>114</v>
      </c>
      <c r="G3934" s="2" t="s">
        <v>4</v>
      </c>
      <c r="H3934" s="1">
        <v>142.994</v>
      </c>
    </row>
    <row r="3935" spans="1:8" x14ac:dyDescent="0.3">
      <c r="A3935" s="2">
        <v>718</v>
      </c>
      <c r="B3935" t="s">
        <v>1671</v>
      </c>
      <c r="C3935" t="s">
        <v>3219</v>
      </c>
      <c r="D3935" s="2">
        <v>1</v>
      </c>
      <c r="E3935" s="11" t="s">
        <v>1460</v>
      </c>
      <c r="F3935" t="s">
        <v>114</v>
      </c>
      <c r="G3935" s="2" t="s">
        <v>31</v>
      </c>
      <c r="H3935" s="1">
        <v>142.994</v>
      </c>
    </row>
    <row r="3936" spans="1:8" x14ac:dyDescent="0.3">
      <c r="A3936" s="2">
        <v>718</v>
      </c>
      <c r="B3936" t="s">
        <v>1670</v>
      </c>
      <c r="C3936" t="s">
        <v>3217</v>
      </c>
      <c r="D3936" s="2">
        <v>1</v>
      </c>
      <c r="E3936" s="11" t="s">
        <v>1285</v>
      </c>
      <c r="F3936" t="s">
        <v>114</v>
      </c>
      <c r="G3936" s="2" t="s">
        <v>4</v>
      </c>
      <c r="H3936" s="1">
        <v>42.294000000000004</v>
      </c>
    </row>
    <row r="3937" spans="1:8" x14ac:dyDescent="0.3">
      <c r="A3937" s="2">
        <v>718</v>
      </c>
      <c r="B3937" t="s">
        <v>1669</v>
      </c>
      <c r="C3937" t="s">
        <v>3217</v>
      </c>
      <c r="D3937" s="2">
        <v>1</v>
      </c>
      <c r="E3937" s="11" t="s">
        <v>1285</v>
      </c>
      <c r="F3937" t="s">
        <v>36</v>
      </c>
      <c r="G3937" s="2" t="s">
        <v>31</v>
      </c>
      <c r="H3937" s="1">
        <v>42.294000000000004</v>
      </c>
    </row>
    <row r="3938" spans="1:8" x14ac:dyDescent="0.3">
      <c r="A3938" s="2">
        <v>718</v>
      </c>
      <c r="B3938" t="s">
        <v>1579</v>
      </c>
      <c r="C3938" t="s">
        <v>3219</v>
      </c>
      <c r="D3938" s="2">
        <v>1</v>
      </c>
      <c r="E3938" s="11" t="s">
        <v>102</v>
      </c>
      <c r="F3938" t="s">
        <v>47</v>
      </c>
      <c r="G3938" s="2" t="s">
        <v>23</v>
      </c>
      <c r="H3938" s="1">
        <v>121.79400000000001</v>
      </c>
    </row>
    <row r="3939" spans="1:8" x14ac:dyDescent="0.3">
      <c r="A3939" s="2">
        <v>718</v>
      </c>
      <c r="B3939" t="s">
        <v>1668</v>
      </c>
      <c r="C3939" t="s">
        <v>3219</v>
      </c>
      <c r="D3939" s="2">
        <v>1</v>
      </c>
      <c r="E3939" s="11" t="s">
        <v>1460</v>
      </c>
      <c r="F3939" t="s">
        <v>47</v>
      </c>
      <c r="G3939" s="2" t="s">
        <v>4</v>
      </c>
      <c r="H3939" s="1">
        <v>142.994</v>
      </c>
    </row>
    <row r="3940" spans="1:8" x14ac:dyDescent="0.3">
      <c r="A3940" s="2">
        <v>718</v>
      </c>
      <c r="B3940" t="s">
        <v>1461</v>
      </c>
      <c r="C3940" t="s">
        <v>3219</v>
      </c>
      <c r="D3940" s="2">
        <v>1</v>
      </c>
      <c r="E3940" s="11" t="s">
        <v>1460</v>
      </c>
      <c r="F3940" t="s">
        <v>47</v>
      </c>
      <c r="G3940" s="2" t="s">
        <v>31</v>
      </c>
      <c r="H3940" s="1">
        <v>142.994</v>
      </c>
    </row>
    <row r="3941" spans="1:8" x14ac:dyDescent="0.3">
      <c r="A3941" s="2">
        <v>718</v>
      </c>
      <c r="B3941" t="s">
        <v>1667</v>
      </c>
      <c r="C3941" t="s">
        <v>0</v>
      </c>
      <c r="D3941" s="2">
        <v>2</v>
      </c>
      <c r="E3941" s="11" t="s">
        <v>1584</v>
      </c>
      <c r="F3941" t="s">
        <v>39</v>
      </c>
      <c r="G3941" s="2" t="s">
        <v>23</v>
      </c>
      <c r="H3941" s="1">
        <v>169.49400000000003</v>
      </c>
    </row>
    <row r="3942" spans="1:8" x14ac:dyDescent="0.3">
      <c r="A3942" s="2">
        <v>719</v>
      </c>
      <c r="B3942" t="s">
        <v>1666</v>
      </c>
      <c r="C3942" t="s">
        <v>0</v>
      </c>
      <c r="D3942" s="2">
        <v>1</v>
      </c>
      <c r="E3942" s="11" t="s">
        <v>272</v>
      </c>
      <c r="F3942" t="s">
        <v>28</v>
      </c>
      <c r="G3942" s="2" t="s">
        <v>4</v>
      </c>
      <c r="H3942" s="1">
        <v>174.79400000000001</v>
      </c>
    </row>
    <row r="3943" spans="1:8" x14ac:dyDescent="0.3">
      <c r="A3943" s="2">
        <v>719</v>
      </c>
      <c r="B3943" t="s">
        <v>1665</v>
      </c>
      <c r="C3943" t="s">
        <v>0</v>
      </c>
      <c r="D3943" s="2">
        <v>1</v>
      </c>
      <c r="E3943" s="11" t="s">
        <v>1106</v>
      </c>
      <c r="F3943" t="s">
        <v>114</v>
      </c>
      <c r="G3943" s="2" t="s">
        <v>23</v>
      </c>
      <c r="H3943" s="1">
        <v>185.39400000000001</v>
      </c>
    </row>
    <row r="3944" spans="1:8" x14ac:dyDescent="0.3">
      <c r="A3944" s="2">
        <v>719</v>
      </c>
      <c r="B3944" t="s">
        <v>1664</v>
      </c>
      <c r="C3944" t="s">
        <v>3365</v>
      </c>
      <c r="D3944" s="2">
        <v>1</v>
      </c>
      <c r="E3944" s="11" t="s">
        <v>373</v>
      </c>
      <c r="F3944" t="s">
        <v>36</v>
      </c>
      <c r="G3944" s="2" t="s">
        <v>4</v>
      </c>
      <c r="H3944" s="1">
        <v>164.19400000000002</v>
      </c>
    </row>
    <row r="3945" spans="1:8" x14ac:dyDescent="0.3">
      <c r="A3945" s="2">
        <v>719</v>
      </c>
      <c r="B3945" t="s">
        <v>1587</v>
      </c>
      <c r="C3945" t="s">
        <v>3225</v>
      </c>
      <c r="D3945" s="2">
        <v>1</v>
      </c>
      <c r="E3945" s="11" t="s">
        <v>491</v>
      </c>
      <c r="F3945" t="s">
        <v>47</v>
      </c>
      <c r="G3945" s="2" t="s">
        <v>4</v>
      </c>
      <c r="H3945" s="1">
        <v>164.19400000000002</v>
      </c>
    </row>
    <row r="3946" spans="1:8" x14ac:dyDescent="0.3">
      <c r="A3946" s="2">
        <v>719</v>
      </c>
      <c r="B3946" t="s">
        <v>1663</v>
      </c>
      <c r="C3946" t="s">
        <v>3225</v>
      </c>
      <c r="D3946" s="2">
        <v>1</v>
      </c>
      <c r="E3946" s="11" t="s">
        <v>491</v>
      </c>
      <c r="F3946" t="s">
        <v>47</v>
      </c>
      <c r="G3946" s="2" t="s">
        <v>31</v>
      </c>
      <c r="H3946" s="1">
        <v>164.19400000000002</v>
      </c>
    </row>
    <row r="3947" spans="1:8" x14ac:dyDescent="0.3">
      <c r="A3947" s="2">
        <v>719</v>
      </c>
      <c r="B3947" t="s">
        <v>1662</v>
      </c>
      <c r="C3947" t="s">
        <v>0</v>
      </c>
      <c r="D3947" s="2">
        <v>1</v>
      </c>
      <c r="E3947" s="11" t="s">
        <v>1077</v>
      </c>
      <c r="F3947" t="s">
        <v>47</v>
      </c>
      <c r="G3947" s="2" t="s">
        <v>4</v>
      </c>
      <c r="H3947" s="1">
        <v>180.09400000000002</v>
      </c>
    </row>
    <row r="3948" spans="1:8" x14ac:dyDescent="0.3">
      <c r="A3948" s="2">
        <v>719</v>
      </c>
      <c r="B3948" t="s">
        <v>1661</v>
      </c>
      <c r="C3948" t="s">
        <v>0</v>
      </c>
      <c r="D3948" s="2">
        <v>1</v>
      </c>
      <c r="E3948" s="11" t="s">
        <v>1551</v>
      </c>
      <c r="F3948" t="s">
        <v>39</v>
      </c>
      <c r="G3948" s="2" t="s">
        <v>23</v>
      </c>
      <c r="H3948" s="1">
        <v>121.79400000000001</v>
      </c>
    </row>
    <row r="3949" spans="1:8" x14ac:dyDescent="0.3">
      <c r="A3949" s="2">
        <v>719</v>
      </c>
      <c r="B3949" t="s">
        <v>1224</v>
      </c>
      <c r="C3949" t="s">
        <v>3224</v>
      </c>
      <c r="D3949" s="2">
        <v>1</v>
      </c>
      <c r="E3949" s="11" t="s">
        <v>1223</v>
      </c>
      <c r="F3949" t="s">
        <v>39</v>
      </c>
      <c r="G3949" s="2" t="s">
        <v>31</v>
      </c>
      <c r="H3949" s="1">
        <v>52.893999999999998</v>
      </c>
    </row>
    <row r="3950" spans="1:8" x14ac:dyDescent="0.3">
      <c r="A3950" s="2">
        <v>719</v>
      </c>
      <c r="B3950" t="s">
        <v>1514</v>
      </c>
      <c r="C3950" t="s">
        <v>3</v>
      </c>
      <c r="D3950" s="2">
        <v>1</v>
      </c>
      <c r="E3950" s="11" t="s">
        <v>215</v>
      </c>
      <c r="F3950" t="s">
        <v>39</v>
      </c>
      <c r="G3950" s="2" t="s">
        <v>31</v>
      </c>
      <c r="H3950" s="1">
        <v>111.19400000000002</v>
      </c>
    </row>
    <row r="3951" spans="1:8" x14ac:dyDescent="0.3">
      <c r="A3951" s="2">
        <v>719</v>
      </c>
      <c r="B3951" t="s">
        <v>1660</v>
      </c>
      <c r="C3951" t="s">
        <v>3233</v>
      </c>
      <c r="D3951" s="2">
        <v>1</v>
      </c>
      <c r="E3951" s="11" t="s">
        <v>1278</v>
      </c>
      <c r="F3951" t="s">
        <v>39</v>
      </c>
      <c r="G3951" s="2" t="s">
        <v>31</v>
      </c>
      <c r="H3951" s="1">
        <v>100.59400000000001</v>
      </c>
    </row>
    <row r="3952" spans="1:8" x14ac:dyDescent="0.3">
      <c r="A3952" s="2">
        <v>719</v>
      </c>
      <c r="B3952" t="s">
        <v>1121</v>
      </c>
      <c r="C3952" t="s">
        <v>3220</v>
      </c>
      <c r="D3952" s="2">
        <v>1</v>
      </c>
      <c r="E3952" s="11" t="s">
        <v>204</v>
      </c>
      <c r="F3952" t="s">
        <v>39</v>
      </c>
      <c r="G3952" s="2" t="s">
        <v>31</v>
      </c>
      <c r="H3952" s="1">
        <v>42.294000000000004</v>
      </c>
    </row>
    <row r="3953" spans="1:8" x14ac:dyDescent="0.3">
      <c r="A3953" s="2">
        <v>719</v>
      </c>
      <c r="B3953" t="s">
        <v>1550</v>
      </c>
      <c r="C3953" t="s">
        <v>3225</v>
      </c>
      <c r="D3953" s="2">
        <v>1</v>
      </c>
      <c r="E3953" s="11" t="s">
        <v>932</v>
      </c>
      <c r="F3953" t="s">
        <v>28</v>
      </c>
      <c r="G3953" s="2" t="s">
        <v>4</v>
      </c>
      <c r="H3953" s="1">
        <v>174.79400000000001</v>
      </c>
    </row>
    <row r="3954" spans="1:8" x14ac:dyDescent="0.3">
      <c r="A3954" s="2">
        <v>720</v>
      </c>
      <c r="B3954" t="s">
        <v>966</v>
      </c>
      <c r="C3954" t="s">
        <v>3220</v>
      </c>
      <c r="D3954" s="2">
        <v>1</v>
      </c>
      <c r="E3954" s="11" t="s">
        <v>293</v>
      </c>
      <c r="F3954" t="s">
        <v>62</v>
      </c>
      <c r="G3954" s="2" t="s">
        <v>31</v>
      </c>
      <c r="H3954" s="1">
        <v>21.094000000000001</v>
      </c>
    </row>
    <row r="3955" spans="1:8" x14ac:dyDescent="0.3">
      <c r="A3955" s="2">
        <v>720</v>
      </c>
      <c r="B3955" t="s">
        <v>1659</v>
      </c>
      <c r="C3955" t="s">
        <v>1</v>
      </c>
      <c r="D3955" s="2">
        <v>1</v>
      </c>
      <c r="E3955" s="11" t="s">
        <v>281</v>
      </c>
      <c r="F3955" t="s">
        <v>62</v>
      </c>
      <c r="G3955" s="2" t="s">
        <v>4</v>
      </c>
      <c r="H3955" s="1">
        <v>58.194000000000003</v>
      </c>
    </row>
    <row r="3956" spans="1:8" x14ac:dyDescent="0.3">
      <c r="A3956" s="2">
        <v>720</v>
      </c>
      <c r="B3956" t="s">
        <v>1658</v>
      </c>
      <c r="C3956" t="s">
        <v>3224</v>
      </c>
      <c r="D3956" s="2">
        <v>1</v>
      </c>
      <c r="E3956" s="11" t="s">
        <v>819</v>
      </c>
      <c r="F3956" t="s">
        <v>114</v>
      </c>
      <c r="G3956" s="2" t="s">
        <v>23</v>
      </c>
      <c r="H3956" s="1">
        <v>79.394000000000005</v>
      </c>
    </row>
    <row r="3957" spans="1:8" x14ac:dyDescent="0.3">
      <c r="A3957" s="2">
        <v>720</v>
      </c>
      <c r="B3957" t="s">
        <v>1657</v>
      </c>
      <c r="C3957" t="s">
        <v>3224</v>
      </c>
      <c r="D3957" s="2">
        <v>1</v>
      </c>
      <c r="E3957" s="11" t="s">
        <v>1656</v>
      </c>
      <c r="F3957" t="s">
        <v>36</v>
      </c>
      <c r="G3957" s="2" t="s">
        <v>23</v>
      </c>
      <c r="H3957" s="1">
        <v>58.19400000000001</v>
      </c>
    </row>
    <row r="3958" spans="1:8" x14ac:dyDescent="0.3">
      <c r="A3958" s="2">
        <v>720</v>
      </c>
      <c r="B3958" t="s">
        <v>1530</v>
      </c>
      <c r="C3958" t="s">
        <v>0</v>
      </c>
      <c r="D3958" s="2">
        <v>1</v>
      </c>
      <c r="E3958" s="11" t="s">
        <v>1106</v>
      </c>
      <c r="F3958" t="s">
        <v>47</v>
      </c>
      <c r="G3958" s="2" t="s">
        <v>23</v>
      </c>
      <c r="H3958" s="1">
        <v>185.39400000000001</v>
      </c>
    </row>
    <row r="3959" spans="1:8" x14ac:dyDescent="0.3">
      <c r="A3959" s="2">
        <v>720</v>
      </c>
      <c r="B3959" t="s">
        <v>1655</v>
      </c>
      <c r="C3959" t="s">
        <v>1</v>
      </c>
      <c r="D3959" s="2">
        <v>1</v>
      </c>
      <c r="E3959" s="11" t="s">
        <v>1653</v>
      </c>
      <c r="F3959" t="s">
        <v>39</v>
      </c>
      <c r="G3959" s="2" t="s">
        <v>23</v>
      </c>
      <c r="H3959" s="1">
        <v>79.394000000000005</v>
      </c>
    </row>
    <row r="3960" spans="1:8" x14ac:dyDescent="0.3">
      <c r="A3960" s="2">
        <v>720</v>
      </c>
      <c r="B3960" t="s">
        <v>1015</v>
      </c>
      <c r="C3960" t="s">
        <v>3220</v>
      </c>
      <c r="D3960" s="2">
        <v>1</v>
      </c>
      <c r="E3960" s="11" t="s">
        <v>640</v>
      </c>
      <c r="F3960" t="s">
        <v>39</v>
      </c>
      <c r="G3960" s="2" t="s">
        <v>23</v>
      </c>
      <c r="H3960" s="1">
        <v>21.094000000000001</v>
      </c>
    </row>
    <row r="3961" spans="1:8" x14ac:dyDescent="0.3">
      <c r="A3961" s="2">
        <v>720</v>
      </c>
      <c r="B3961" t="s">
        <v>1458</v>
      </c>
      <c r="C3961" t="s">
        <v>3224</v>
      </c>
      <c r="D3961" s="2">
        <v>1</v>
      </c>
      <c r="E3961" s="11" t="s">
        <v>1223</v>
      </c>
      <c r="F3961" t="s">
        <v>39</v>
      </c>
      <c r="G3961" s="2" t="s">
        <v>23</v>
      </c>
      <c r="H3961" s="1">
        <v>52.893999999999998</v>
      </c>
    </row>
    <row r="3962" spans="1:8" x14ac:dyDescent="0.3">
      <c r="A3962" s="2">
        <v>720</v>
      </c>
      <c r="B3962" t="s">
        <v>954</v>
      </c>
      <c r="C3962" t="s">
        <v>3220</v>
      </c>
      <c r="D3962" s="2">
        <v>1</v>
      </c>
      <c r="E3962" s="11" t="s">
        <v>647</v>
      </c>
      <c r="F3962" t="s">
        <v>39</v>
      </c>
      <c r="G3962" s="2" t="s">
        <v>23</v>
      </c>
      <c r="H3962" s="1">
        <v>15.793999999999999</v>
      </c>
    </row>
    <row r="3963" spans="1:8" x14ac:dyDescent="0.3">
      <c r="A3963" s="2">
        <v>720</v>
      </c>
      <c r="B3963" t="s">
        <v>1654</v>
      </c>
      <c r="C3963" t="s">
        <v>1</v>
      </c>
      <c r="D3963" s="2">
        <v>1</v>
      </c>
      <c r="E3963" s="11" t="s">
        <v>1653</v>
      </c>
      <c r="F3963" t="s">
        <v>28</v>
      </c>
      <c r="G3963" s="2" t="s">
        <v>4</v>
      </c>
      <c r="H3963" s="1">
        <v>79.394000000000005</v>
      </c>
    </row>
    <row r="3964" spans="1:8" x14ac:dyDescent="0.3">
      <c r="A3964" s="2">
        <v>720</v>
      </c>
      <c r="B3964" t="s">
        <v>820</v>
      </c>
      <c r="C3964" t="s">
        <v>3224</v>
      </c>
      <c r="D3964" s="2">
        <v>1</v>
      </c>
      <c r="E3964" s="11" t="s">
        <v>819</v>
      </c>
      <c r="F3964" t="s">
        <v>28</v>
      </c>
      <c r="G3964" s="2" t="s">
        <v>23</v>
      </c>
      <c r="H3964" s="1">
        <v>79.394000000000005</v>
      </c>
    </row>
    <row r="3965" spans="1:8" x14ac:dyDescent="0.3">
      <c r="A3965" s="2">
        <v>720</v>
      </c>
      <c r="B3965" t="s">
        <v>1652</v>
      </c>
      <c r="C3965" t="s">
        <v>3217</v>
      </c>
      <c r="D3965" s="2">
        <v>1</v>
      </c>
      <c r="E3965" s="11" t="s">
        <v>1603</v>
      </c>
      <c r="F3965" t="s">
        <v>28</v>
      </c>
      <c r="G3965" s="2" t="s">
        <v>31</v>
      </c>
      <c r="H3965" s="1">
        <v>63.494</v>
      </c>
    </row>
    <row r="3966" spans="1:8" x14ac:dyDescent="0.3">
      <c r="A3966" s="2">
        <v>720</v>
      </c>
      <c r="B3966" t="s">
        <v>1651</v>
      </c>
      <c r="C3966" t="s">
        <v>3217</v>
      </c>
      <c r="D3966" s="2">
        <v>1</v>
      </c>
      <c r="E3966" s="11" t="s">
        <v>1603</v>
      </c>
      <c r="F3966" t="s">
        <v>28</v>
      </c>
      <c r="G3966" s="2" t="s">
        <v>23</v>
      </c>
      <c r="H3966" s="1">
        <v>63.494</v>
      </c>
    </row>
    <row r="3967" spans="1:8" x14ac:dyDescent="0.3">
      <c r="A3967" s="2">
        <v>720</v>
      </c>
      <c r="B3967" t="s">
        <v>1166</v>
      </c>
      <c r="C3967" t="s">
        <v>0</v>
      </c>
      <c r="D3967" s="2">
        <v>1</v>
      </c>
      <c r="E3967" s="11" t="s">
        <v>1099</v>
      </c>
      <c r="F3967" t="s">
        <v>24</v>
      </c>
      <c r="G3967" s="2" t="s">
        <v>23</v>
      </c>
      <c r="H3967" s="1">
        <v>195.99400000000003</v>
      </c>
    </row>
    <row r="3968" spans="1:8" x14ac:dyDescent="0.3">
      <c r="A3968" s="2">
        <v>721</v>
      </c>
      <c r="B3968" t="s">
        <v>1510</v>
      </c>
      <c r="C3968" t="s">
        <v>3238</v>
      </c>
      <c r="D3968" s="2">
        <v>1</v>
      </c>
      <c r="E3968" s="11" t="s">
        <v>952</v>
      </c>
      <c r="F3968" t="s">
        <v>55</v>
      </c>
      <c r="G3968" s="2" t="s">
        <v>4</v>
      </c>
      <c r="H3968" s="1">
        <v>105.89400000000001</v>
      </c>
    </row>
    <row r="3969" spans="1:8" x14ac:dyDescent="0.3">
      <c r="A3969" s="2">
        <v>721</v>
      </c>
      <c r="B3969" t="s">
        <v>1130</v>
      </c>
      <c r="C3969" t="s">
        <v>3219</v>
      </c>
      <c r="D3969" s="2">
        <v>1</v>
      </c>
      <c r="E3969" s="11" t="s">
        <v>673</v>
      </c>
      <c r="F3969" t="s">
        <v>55</v>
      </c>
      <c r="G3969" s="2" t="s">
        <v>31</v>
      </c>
      <c r="H3969" s="1">
        <v>89.994000000000014</v>
      </c>
    </row>
    <row r="3970" spans="1:8" x14ac:dyDescent="0.3">
      <c r="A3970" s="2">
        <v>721</v>
      </c>
      <c r="B3970" t="s">
        <v>1469</v>
      </c>
      <c r="C3970" t="s">
        <v>1</v>
      </c>
      <c r="D3970" s="2">
        <v>1</v>
      </c>
      <c r="E3970" s="11" t="s">
        <v>1454</v>
      </c>
      <c r="F3970" t="s">
        <v>62</v>
      </c>
      <c r="G3970" s="2" t="s">
        <v>31</v>
      </c>
      <c r="H3970" s="1">
        <v>79.394000000000005</v>
      </c>
    </row>
    <row r="3971" spans="1:8" x14ac:dyDescent="0.3">
      <c r="A3971" s="2">
        <v>721</v>
      </c>
      <c r="B3971" t="s">
        <v>1650</v>
      </c>
      <c r="C3971" t="s">
        <v>3221</v>
      </c>
      <c r="D3971" s="2">
        <v>1</v>
      </c>
      <c r="E3971" s="11" t="s">
        <v>642</v>
      </c>
      <c r="F3971" t="s">
        <v>62</v>
      </c>
      <c r="G3971" s="2" t="s">
        <v>31</v>
      </c>
      <c r="H3971" s="1">
        <v>95.294000000000011</v>
      </c>
    </row>
    <row r="3972" spans="1:8" x14ac:dyDescent="0.3">
      <c r="A3972" s="2">
        <v>721</v>
      </c>
      <c r="B3972" t="s">
        <v>1649</v>
      </c>
      <c r="C3972" t="s">
        <v>3217</v>
      </c>
      <c r="D3972" s="2">
        <v>1</v>
      </c>
      <c r="E3972" s="11" t="s">
        <v>1648</v>
      </c>
      <c r="F3972" t="s">
        <v>28</v>
      </c>
      <c r="G3972" s="2" t="s">
        <v>31</v>
      </c>
      <c r="H3972" s="1">
        <v>79.394000000000005</v>
      </c>
    </row>
    <row r="3973" spans="1:8" x14ac:dyDescent="0.3">
      <c r="A3973" s="2">
        <v>721</v>
      </c>
      <c r="B3973" t="s">
        <v>724</v>
      </c>
      <c r="C3973" t="s">
        <v>1</v>
      </c>
      <c r="D3973" s="2">
        <v>1</v>
      </c>
      <c r="E3973" s="11" t="s">
        <v>222</v>
      </c>
      <c r="F3973" t="s">
        <v>28</v>
      </c>
      <c r="G3973" s="2" t="s">
        <v>4</v>
      </c>
      <c r="H3973" s="1">
        <v>52.893999999999998</v>
      </c>
    </row>
    <row r="3974" spans="1:8" x14ac:dyDescent="0.3">
      <c r="A3974" s="2">
        <v>721</v>
      </c>
      <c r="B3974" t="s">
        <v>1647</v>
      </c>
      <c r="C3974" t="s">
        <v>3219</v>
      </c>
      <c r="D3974" s="2">
        <v>1</v>
      </c>
      <c r="E3974" s="11" t="s">
        <v>673</v>
      </c>
      <c r="F3974" t="s">
        <v>28</v>
      </c>
      <c r="G3974" s="2" t="s">
        <v>203</v>
      </c>
      <c r="H3974" s="1">
        <v>89.994000000000014</v>
      </c>
    </row>
    <row r="3975" spans="1:8" x14ac:dyDescent="0.3">
      <c r="A3975" s="2">
        <v>721</v>
      </c>
      <c r="B3975" t="s">
        <v>1646</v>
      </c>
      <c r="C3975" t="s">
        <v>1</v>
      </c>
      <c r="D3975" s="2">
        <v>1</v>
      </c>
      <c r="E3975" s="11" t="s">
        <v>1645</v>
      </c>
      <c r="F3975" t="s">
        <v>114</v>
      </c>
      <c r="G3975" s="2" t="s">
        <v>31</v>
      </c>
      <c r="H3975" s="1">
        <v>63.494000000000007</v>
      </c>
    </row>
    <row r="3976" spans="1:8" x14ac:dyDescent="0.3">
      <c r="A3976" s="2">
        <v>721</v>
      </c>
      <c r="B3976" t="s">
        <v>1644</v>
      </c>
      <c r="C3976" t="s">
        <v>3224</v>
      </c>
      <c r="D3976" s="2">
        <v>1</v>
      </c>
      <c r="E3976" s="11" t="s">
        <v>1426</v>
      </c>
      <c r="F3976" t="s">
        <v>47</v>
      </c>
      <c r="G3976" s="2" t="s">
        <v>31</v>
      </c>
      <c r="H3976" s="1">
        <v>63.494000000000007</v>
      </c>
    </row>
    <row r="3977" spans="1:8" x14ac:dyDescent="0.3">
      <c r="A3977" s="2">
        <v>721</v>
      </c>
      <c r="B3977" t="s">
        <v>1137</v>
      </c>
      <c r="C3977" t="s">
        <v>3217</v>
      </c>
      <c r="D3977" s="2">
        <v>1</v>
      </c>
      <c r="E3977" s="11" t="s">
        <v>425</v>
      </c>
      <c r="F3977" t="s">
        <v>39</v>
      </c>
      <c r="G3977" s="2" t="s">
        <v>31</v>
      </c>
      <c r="H3977" s="1">
        <v>84.694000000000017</v>
      </c>
    </row>
    <row r="3978" spans="1:8" x14ac:dyDescent="0.3">
      <c r="A3978" s="2">
        <v>721</v>
      </c>
      <c r="B3978" t="s">
        <v>1489</v>
      </c>
      <c r="C3978" t="s">
        <v>3365</v>
      </c>
      <c r="D3978" s="2">
        <v>1</v>
      </c>
      <c r="E3978" s="11" t="s">
        <v>1488</v>
      </c>
      <c r="F3978" t="s">
        <v>28</v>
      </c>
      <c r="G3978" s="2" t="s">
        <v>4</v>
      </c>
      <c r="H3978" s="1">
        <v>121.79400000000001</v>
      </c>
    </row>
    <row r="3979" spans="1:8" x14ac:dyDescent="0.3">
      <c r="A3979" s="2">
        <v>721</v>
      </c>
      <c r="B3979" t="s">
        <v>1643</v>
      </c>
      <c r="C3979" t="s">
        <v>3221</v>
      </c>
      <c r="D3979" s="2">
        <v>1</v>
      </c>
      <c r="E3979" s="11" t="s">
        <v>642</v>
      </c>
      <c r="F3979" t="s">
        <v>28</v>
      </c>
      <c r="G3979" s="2" t="s">
        <v>203</v>
      </c>
      <c r="H3979" s="1">
        <v>95.294000000000011</v>
      </c>
    </row>
    <row r="3980" spans="1:8" x14ac:dyDescent="0.3">
      <c r="A3980" s="2">
        <v>722</v>
      </c>
      <c r="B3980" t="s">
        <v>1642</v>
      </c>
      <c r="C3980" t="s">
        <v>3224</v>
      </c>
      <c r="D3980" s="2">
        <v>1</v>
      </c>
      <c r="E3980" s="11" t="s">
        <v>499</v>
      </c>
      <c r="F3980" t="s">
        <v>55</v>
      </c>
      <c r="G3980" s="2" t="s">
        <v>31</v>
      </c>
      <c r="H3980" s="1">
        <v>84.694000000000017</v>
      </c>
    </row>
    <row r="3981" spans="1:8" x14ac:dyDescent="0.3">
      <c r="A3981" s="2">
        <v>722</v>
      </c>
      <c r="B3981" t="s">
        <v>1174</v>
      </c>
      <c r="C3981" t="s">
        <v>3219</v>
      </c>
      <c r="D3981" s="2">
        <v>1</v>
      </c>
      <c r="E3981" s="11" t="s">
        <v>1173</v>
      </c>
      <c r="F3981" t="s">
        <v>81</v>
      </c>
      <c r="G3981" s="2" t="s">
        <v>31</v>
      </c>
      <c r="H3981" s="1">
        <v>116.49400000000001</v>
      </c>
    </row>
    <row r="3982" spans="1:8" x14ac:dyDescent="0.3">
      <c r="A3982" s="2">
        <v>722</v>
      </c>
      <c r="B3982" t="s">
        <v>1641</v>
      </c>
      <c r="C3982" t="s">
        <v>3219</v>
      </c>
      <c r="D3982" s="2">
        <v>1</v>
      </c>
      <c r="E3982" s="11" t="s">
        <v>585</v>
      </c>
      <c r="F3982" t="s">
        <v>62</v>
      </c>
      <c r="G3982" s="2" t="s">
        <v>31</v>
      </c>
      <c r="H3982" s="1">
        <v>116.49400000000001</v>
      </c>
    </row>
    <row r="3983" spans="1:8" x14ac:dyDescent="0.3">
      <c r="A3983" s="2">
        <v>722</v>
      </c>
      <c r="B3983" t="s">
        <v>1633</v>
      </c>
      <c r="C3983" t="s">
        <v>3219</v>
      </c>
      <c r="D3983" s="2">
        <v>1</v>
      </c>
      <c r="E3983" s="11" t="s">
        <v>1497</v>
      </c>
      <c r="F3983" t="s">
        <v>114</v>
      </c>
      <c r="G3983" s="2" t="s">
        <v>31</v>
      </c>
      <c r="H3983" s="1">
        <v>158.89400000000001</v>
      </c>
    </row>
    <row r="3984" spans="1:8" x14ac:dyDescent="0.3">
      <c r="A3984" s="2">
        <v>722</v>
      </c>
      <c r="B3984" t="s">
        <v>1640</v>
      </c>
      <c r="C3984" t="s">
        <v>3224</v>
      </c>
      <c r="D3984" s="2">
        <v>1</v>
      </c>
      <c r="E3984" s="11" t="s">
        <v>499</v>
      </c>
      <c r="F3984" t="s">
        <v>114</v>
      </c>
      <c r="G3984" s="2" t="s">
        <v>31</v>
      </c>
      <c r="H3984" s="1">
        <v>84.694000000000017</v>
      </c>
    </row>
    <row r="3985" spans="1:8" x14ac:dyDescent="0.3">
      <c r="A3985" s="2">
        <v>722</v>
      </c>
      <c r="B3985" t="s">
        <v>1612</v>
      </c>
      <c r="C3985" t="s">
        <v>3224</v>
      </c>
      <c r="D3985" s="2">
        <v>1</v>
      </c>
      <c r="E3985" s="11" t="s">
        <v>1270</v>
      </c>
      <c r="F3985" t="s">
        <v>114</v>
      </c>
      <c r="G3985" s="2" t="s">
        <v>4</v>
      </c>
      <c r="H3985" s="1">
        <v>68.794000000000011</v>
      </c>
    </row>
    <row r="3986" spans="1:8" x14ac:dyDescent="0.3">
      <c r="A3986" s="2">
        <v>722</v>
      </c>
      <c r="B3986" t="s">
        <v>270</v>
      </c>
      <c r="C3986" t="s">
        <v>3220</v>
      </c>
      <c r="D3986" s="2">
        <v>1</v>
      </c>
      <c r="E3986" s="11" t="s">
        <v>204</v>
      </c>
      <c r="F3986" t="s">
        <v>114</v>
      </c>
      <c r="G3986" s="2" t="s">
        <v>4</v>
      </c>
      <c r="H3986" s="1">
        <v>42.294000000000004</v>
      </c>
    </row>
    <row r="3987" spans="1:8" x14ac:dyDescent="0.3">
      <c r="A3987" s="2">
        <v>722</v>
      </c>
      <c r="B3987" t="s">
        <v>1498</v>
      </c>
      <c r="C3987" t="s">
        <v>3219</v>
      </c>
      <c r="D3987" s="2">
        <v>1</v>
      </c>
      <c r="E3987" s="11" t="s">
        <v>1497</v>
      </c>
      <c r="F3987" t="s">
        <v>47</v>
      </c>
      <c r="G3987" s="2" t="s">
        <v>31</v>
      </c>
      <c r="H3987" s="1">
        <v>158.89400000000001</v>
      </c>
    </row>
    <row r="3988" spans="1:8" x14ac:dyDescent="0.3">
      <c r="A3988" s="2">
        <v>722</v>
      </c>
      <c r="B3988" t="s">
        <v>1229</v>
      </c>
      <c r="C3988" t="s">
        <v>3261</v>
      </c>
      <c r="D3988" s="2">
        <v>1</v>
      </c>
      <c r="E3988" s="11" t="s">
        <v>1225</v>
      </c>
      <c r="F3988" t="s">
        <v>47</v>
      </c>
      <c r="G3988" s="2" t="s">
        <v>31</v>
      </c>
      <c r="H3988" s="1">
        <v>52.893999999999998</v>
      </c>
    </row>
    <row r="3989" spans="1:8" x14ac:dyDescent="0.3">
      <c r="A3989" s="2">
        <v>722</v>
      </c>
      <c r="B3989" t="s">
        <v>1639</v>
      </c>
      <c r="C3989" t="s">
        <v>3224</v>
      </c>
      <c r="D3989" s="2">
        <v>1</v>
      </c>
      <c r="E3989" s="11" t="s">
        <v>1638</v>
      </c>
      <c r="F3989" t="s">
        <v>47</v>
      </c>
      <c r="G3989" s="2" t="s">
        <v>31</v>
      </c>
      <c r="H3989" s="1">
        <v>84.694000000000017</v>
      </c>
    </row>
    <row r="3990" spans="1:8" x14ac:dyDescent="0.3">
      <c r="A3990" s="2">
        <v>722</v>
      </c>
      <c r="B3990" t="s">
        <v>1532</v>
      </c>
      <c r="C3990" t="s">
        <v>3219</v>
      </c>
      <c r="D3990" s="2">
        <v>1</v>
      </c>
      <c r="E3990" s="11" t="s">
        <v>892</v>
      </c>
      <c r="F3990" t="s">
        <v>47</v>
      </c>
      <c r="G3990" s="2" t="s">
        <v>31</v>
      </c>
      <c r="H3990" s="1">
        <v>158.89400000000001</v>
      </c>
    </row>
    <row r="3991" spans="1:8" x14ac:dyDescent="0.3">
      <c r="A3991" s="2">
        <v>722</v>
      </c>
      <c r="B3991" t="s">
        <v>1261</v>
      </c>
      <c r="C3991" t="s">
        <v>3220</v>
      </c>
      <c r="D3991" s="2">
        <v>1</v>
      </c>
      <c r="E3991" s="11" t="s">
        <v>204</v>
      </c>
      <c r="F3991" t="s">
        <v>36</v>
      </c>
      <c r="G3991" s="2" t="s">
        <v>4</v>
      </c>
      <c r="H3991" s="1">
        <v>42.294000000000004</v>
      </c>
    </row>
    <row r="3992" spans="1:8" x14ac:dyDescent="0.3">
      <c r="A3992" s="2">
        <v>723</v>
      </c>
      <c r="B3992" t="s">
        <v>1637</v>
      </c>
      <c r="C3992" t="s">
        <v>0</v>
      </c>
      <c r="D3992" s="2">
        <v>2</v>
      </c>
      <c r="E3992" s="11" t="s">
        <v>987</v>
      </c>
      <c r="F3992" t="s">
        <v>114</v>
      </c>
      <c r="G3992" s="2" t="s">
        <v>31</v>
      </c>
      <c r="H3992" s="1">
        <v>185.39400000000001</v>
      </c>
    </row>
    <row r="3993" spans="1:8" x14ac:dyDescent="0.3">
      <c r="A3993" s="2">
        <v>723</v>
      </c>
      <c r="B3993" t="s">
        <v>1636</v>
      </c>
      <c r="C3993" t="s">
        <v>0</v>
      </c>
      <c r="D3993" s="2">
        <v>1</v>
      </c>
      <c r="E3993" s="11" t="s">
        <v>987</v>
      </c>
      <c r="F3993" t="s">
        <v>39</v>
      </c>
      <c r="G3993" s="2" t="s">
        <v>23</v>
      </c>
      <c r="H3993" s="1">
        <v>185.39400000000001</v>
      </c>
    </row>
    <row r="3994" spans="1:8" x14ac:dyDescent="0.3">
      <c r="A3994" s="2">
        <v>723</v>
      </c>
      <c r="B3994" t="s">
        <v>1425</v>
      </c>
      <c r="C3994" t="s">
        <v>3221</v>
      </c>
      <c r="D3994" s="2">
        <v>1</v>
      </c>
      <c r="E3994" s="11" t="s">
        <v>1180</v>
      </c>
      <c r="F3994" t="s">
        <v>39</v>
      </c>
      <c r="G3994" s="2" t="s">
        <v>23</v>
      </c>
      <c r="H3994" s="1">
        <v>169.49400000000003</v>
      </c>
    </row>
    <row r="3995" spans="1:8" x14ac:dyDescent="0.3">
      <c r="A3995" s="2">
        <v>723</v>
      </c>
      <c r="B3995" t="s">
        <v>1635</v>
      </c>
      <c r="C3995" t="s">
        <v>3</v>
      </c>
      <c r="D3995" s="2">
        <v>1</v>
      </c>
      <c r="E3995" s="11" t="s">
        <v>215</v>
      </c>
      <c r="F3995" t="s">
        <v>39</v>
      </c>
      <c r="G3995" s="2" t="s">
        <v>23</v>
      </c>
      <c r="H3995" s="1">
        <v>111.19400000000002</v>
      </c>
    </row>
    <row r="3996" spans="1:8" x14ac:dyDescent="0.3">
      <c r="A3996" s="2">
        <v>723</v>
      </c>
      <c r="B3996" t="s">
        <v>550</v>
      </c>
      <c r="C3996" t="s">
        <v>0</v>
      </c>
      <c r="D3996" s="2">
        <v>1</v>
      </c>
      <c r="E3996" s="11" t="s">
        <v>549</v>
      </c>
      <c r="F3996" t="s">
        <v>39</v>
      </c>
      <c r="G3996" s="2" t="s">
        <v>4</v>
      </c>
      <c r="H3996" s="1">
        <v>164.19400000000002</v>
      </c>
    </row>
    <row r="3997" spans="1:8" x14ac:dyDescent="0.3">
      <c r="A3997" s="2">
        <v>723</v>
      </c>
      <c r="B3997" t="s">
        <v>971</v>
      </c>
      <c r="C3997" t="s">
        <v>3224</v>
      </c>
      <c r="D3997" s="2">
        <v>1</v>
      </c>
      <c r="E3997" s="11" t="s">
        <v>970</v>
      </c>
      <c r="F3997" t="s">
        <v>28</v>
      </c>
      <c r="G3997" s="2" t="s">
        <v>23</v>
      </c>
      <c r="H3997" s="1">
        <v>100.59400000000001</v>
      </c>
    </row>
    <row r="3998" spans="1:8" x14ac:dyDescent="0.3">
      <c r="A3998" s="2">
        <v>723</v>
      </c>
      <c r="B3998" t="s">
        <v>969</v>
      </c>
      <c r="C3998" t="s">
        <v>2</v>
      </c>
      <c r="D3998" s="2">
        <v>1</v>
      </c>
      <c r="E3998" s="11" t="s">
        <v>968</v>
      </c>
      <c r="F3998" t="s">
        <v>28</v>
      </c>
      <c r="G3998" s="2" t="s">
        <v>23</v>
      </c>
      <c r="H3998" s="1">
        <v>137.69400000000002</v>
      </c>
    </row>
    <row r="3999" spans="1:8" x14ac:dyDescent="0.3">
      <c r="A3999" s="2">
        <v>724</v>
      </c>
      <c r="B3999" t="s">
        <v>1634</v>
      </c>
      <c r="C3999" t="s">
        <v>3219</v>
      </c>
      <c r="D3999" s="2">
        <v>1</v>
      </c>
      <c r="E3999" s="11" t="s">
        <v>1173</v>
      </c>
      <c r="F3999" t="s">
        <v>81</v>
      </c>
      <c r="G3999" s="2" t="s">
        <v>23</v>
      </c>
      <c r="H3999" s="1">
        <v>116.49400000000001</v>
      </c>
    </row>
    <row r="4000" spans="1:8" x14ac:dyDescent="0.3">
      <c r="A4000" s="2">
        <v>724</v>
      </c>
      <c r="B4000" t="s">
        <v>1633</v>
      </c>
      <c r="C4000" t="s">
        <v>3219</v>
      </c>
      <c r="D4000" s="2">
        <v>1</v>
      </c>
      <c r="E4000" s="11" t="s">
        <v>1497</v>
      </c>
      <c r="F4000" t="s">
        <v>114</v>
      </c>
      <c r="G4000" s="2" t="s">
        <v>31</v>
      </c>
      <c r="H4000" s="1">
        <v>158.89400000000001</v>
      </c>
    </row>
    <row r="4001" spans="1:8" x14ac:dyDescent="0.3">
      <c r="A4001" s="2">
        <v>724</v>
      </c>
      <c r="B4001" t="s">
        <v>1632</v>
      </c>
      <c r="C4001" t="s">
        <v>3224</v>
      </c>
      <c r="D4001" s="2">
        <v>1</v>
      </c>
      <c r="E4001" s="11" t="s">
        <v>1399</v>
      </c>
      <c r="F4001" t="s">
        <v>47</v>
      </c>
      <c r="G4001" s="2" t="s">
        <v>23</v>
      </c>
      <c r="H4001" s="1">
        <v>63.494000000000007</v>
      </c>
    </row>
    <row r="4002" spans="1:8" x14ac:dyDescent="0.3">
      <c r="A4002" s="2">
        <v>724</v>
      </c>
      <c r="B4002" t="s">
        <v>1273</v>
      </c>
      <c r="C4002" t="s">
        <v>1</v>
      </c>
      <c r="D4002" s="2">
        <v>1</v>
      </c>
      <c r="E4002" s="11" t="s">
        <v>58</v>
      </c>
      <c r="F4002" t="s">
        <v>39</v>
      </c>
      <c r="G4002" s="2" t="s">
        <v>23</v>
      </c>
      <c r="H4002" s="1">
        <v>52.893999999999998</v>
      </c>
    </row>
    <row r="4003" spans="1:8" x14ac:dyDescent="0.3">
      <c r="A4003" s="2">
        <v>724</v>
      </c>
      <c r="B4003" t="s">
        <v>1512</v>
      </c>
      <c r="C4003" t="s">
        <v>3219</v>
      </c>
      <c r="D4003" s="2">
        <v>1</v>
      </c>
      <c r="E4003" s="11" t="s">
        <v>91</v>
      </c>
      <c r="F4003" t="s">
        <v>39</v>
      </c>
      <c r="G4003" s="2" t="s">
        <v>31</v>
      </c>
      <c r="H4003" s="1">
        <v>111.19400000000002</v>
      </c>
    </row>
    <row r="4004" spans="1:8" x14ac:dyDescent="0.3">
      <c r="A4004" s="2">
        <v>724</v>
      </c>
      <c r="B4004" t="s">
        <v>92</v>
      </c>
      <c r="C4004" t="s">
        <v>3219</v>
      </c>
      <c r="D4004" s="2">
        <v>1</v>
      </c>
      <c r="E4004" s="11" t="s">
        <v>91</v>
      </c>
      <c r="F4004" t="s">
        <v>39</v>
      </c>
      <c r="G4004" s="2" t="s">
        <v>23</v>
      </c>
      <c r="H4004" s="1">
        <v>111.19400000000002</v>
      </c>
    </row>
    <row r="4005" spans="1:8" x14ac:dyDescent="0.3">
      <c r="A4005" s="2">
        <v>724</v>
      </c>
      <c r="B4005" t="s">
        <v>1474</v>
      </c>
      <c r="C4005" t="s">
        <v>3224</v>
      </c>
      <c r="D4005" s="2">
        <v>1</v>
      </c>
      <c r="E4005" s="11" t="s">
        <v>1399</v>
      </c>
      <c r="F4005" t="s">
        <v>36</v>
      </c>
      <c r="G4005" s="2" t="s">
        <v>31</v>
      </c>
      <c r="H4005" s="1">
        <v>63.494000000000007</v>
      </c>
    </row>
    <row r="4006" spans="1:8" x14ac:dyDescent="0.3">
      <c r="A4006" s="2">
        <v>724</v>
      </c>
      <c r="B4006" t="s">
        <v>971</v>
      </c>
      <c r="C4006" t="s">
        <v>3224</v>
      </c>
      <c r="D4006" s="2">
        <v>1</v>
      </c>
      <c r="E4006" s="11" t="s">
        <v>970</v>
      </c>
      <c r="F4006" t="s">
        <v>28</v>
      </c>
      <c r="G4006" s="2" t="s">
        <v>23</v>
      </c>
      <c r="H4006" s="1">
        <v>100.59400000000001</v>
      </c>
    </row>
    <row r="4007" spans="1:8" x14ac:dyDescent="0.3">
      <c r="A4007" s="2">
        <v>725</v>
      </c>
      <c r="B4007" t="s">
        <v>1518</v>
      </c>
      <c r="C4007" t="s">
        <v>0</v>
      </c>
      <c r="D4007" s="2">
        <v>1</v>
      </c>
      <c r="E4007" s="11" t="s">
        <v>564</v>
      </c>
      <c r="F4007" t="s">
        <v>114</v>
      </c>
      <c r="G4007" s="2" t="s">
        <v>23</v>
      </c>
      <c r="H4007" s="1">
        <v>227.79400000000001</v>
      </c>
    </row>
    <row r="4008" spans="1:8" x14ac:dyDescent="0.3">
      <c r="A4008" s="2">
        <v>725</v>
      </c>
      <c r="B4008" t="s">
        <v>1432</v>
      </c>
      <c r="C4008" t="s">
        <v>3225</v>
      </c>
      <c r="D4008" s="2">
        <v>1</v>
      </c>
      <c r="E4008" s="11" t="s">
        <v>831</v>
      </c>
      <c r="F4008" t="s">
        <v>62</v>
      </c>
      <c r="G4008" s="2" t="s">
        <v>23</v>
      </c>
      <c r="H4008" s="1">
        <v>190.69400000000002</v>
      </c>
    </row>
    <row r="4009" spans="1:8" x14ac:dyDescent="0.3">
      <c r="A4009" s="2">
        <v>725</v>
      </c>
      <c r="B4009" t="s">
        <v>1181</v>
      </c>
      <c r="C4009" t="s">
        <v>3221</v>
      </c>
      <c r="D4009" s="2">
        <v>1</v>
      </c>
      <c r="E4009" s="11" t="s">
        <v>1180</v>
      </c>
      <c r="F4009" t="s">
        <v>47</v>
      </c>
      <c r="G4009" s="2" t="s">
        <v>31</v>
      </c>
      <c r="H4009" s="1">
        <v>169.49400000000003</v>
      </c>
    </row>
    <row r="4010" spans="1:8" x14ac:dyDescent="0.3">
      <c r="A4010" s="2">
        <v>725</v>
      </c>
      <c r="B4010" t="s">
        <v>1517</v>
      </c>
      <c r="C4010" t="s">
        <v>3225</v>
      </c>
      <c r="D4010" s="2">
        <v>1</v>
      </c>
      <c r="E4010" s="11" t="s">
        <v>1409</v>
      </c>
      <c r="F4010" t="s">
        <v>39</v>
      </c>
      <c r="G4010" s="2" t="s">
        <v>31</v>
      </c>
      <c r="H4010" s="1">
        <v>158.89400000000001</v>
      </c>
    </row>
    <row r="4011" spans="1:8" x14ac:dyDescent="0.3">
      <c r="A4011" s="2">
        <v>725</v>
      </c>
      <c r="B4011" t="s">
        <v>1392</v>
      </c>
      <c r="C4011" t="s">
        <v>3</v>
      </c>
      <c r="D4011" s="2">
        <v>1</v>
      </c>
      <c r="E4011" s="11" t="s">
        <v>1356</v>
      </c>
      <c r="F4011" t="s">
        <v>39</v>
      </c>
      <c r="G4011" s="2" t="s">
        <v>23</v>
      </c>
      <c r="H4011" s="1">
        <v>111.19400000000002</v>
      </c>
    </row>
    <row r="4012" spans="1:8" x14ac:dyDescent="0.3">
      <c r="A4012" s="2">
        <v>725</v>
      </c>
      <c r="B4012" t="s">
        <v>1425</v>
      </c>
      <c r="C4012" t="s">
        <v>3221</v>
      </c>
      <c r="D4012" s="2">
        <v>1</v>
      </c>
      <c r="E4012" s="11" t="s">
        <v>1180</v>
      </c>
      <c r="F4012" t="s">
        <v>39</v>
      </c>
      <c r="G4012" s="2" t="s">
        <v>23</v>
      </c>
      <c r="H4012" s="1">
        <v>169.49400000000003</v>
      </c>
    </row>
    <row r="4013" spans="1:8" x14ac:dyDescent="0.3">
      <c r="A4013" s="2">
        <v>725</v>
      </c>
      <c r="B4013" t="s">
        <v>1068</v>
      </c>
      <c r="C4013" t="s">
        <v>3</v>
      </c>
      <c r="D4013" s="2">
        <v>1</v>
      </c>
      <c r="E4013" s="11" t="s">
        <v>215</v>
      </c>
      <c r="F4013" t="s">
        <v>39</v>
      </c>
      <c r="G4013" s="2" t="s">
        <v>4</v>
      </c>
      <c r="H4013" s="1">
        <v>111.19400000000002</v>
      </c>
    </row>
    <row r="4014" spans="1:8" x14ac:dyDescent="0.3">
      <c r="A4014" s="2">
        <v>725</v>
      </c>
      <c r="B4014" t="s">
        <v>1559</v>
      </c>
      <c r="C4014" t="s">
        <v>1</v>
      </c>
      <c r="D4014" s="2">
        <v>1</v>
      </c>
      <c r="E4014" s="11" t="s">
        <v>172</v>
      </c>
      <c r="F4014" t="s">
        <v>39</v>
      </c>
      <c r="G4014" s="2" t="s">
        <v>23</v>
      </c>
      <c r="H4014" s="1">
        <v>47.594000000000001</v>
      </c>
    </row>
    <row r="4015" spans="1:8" x14ac:dyDescent="0.3">
      <c r="A4015" s="2">
        <v>725</v>
      </c>
      <c r="B4015" t="s">
        <v>1137</v>
      </c>
      <c r="C4015" t="s">
        <v>3217</v>
      </c>
      <c r="D4015" s="2">
        <v>1</v>
      </c>
      <c r="E4015" s="11" t="s">
        <v>425</v>
      </c>
      <c r="F4015" t="s">
        <v>39</v>
      </c>
      <c r="G4015" s="2" t="s">
        <v>31</v>
      </c>
      <c r="H4015" s="1">
        <v>84.694000000000017</v>
      </c>
    </row>
    <row r="4016" spans="1:8" x14ac:dyDescent="0.3">
      <c r="A4016" s="2">
        <v>725</v>
      </c>
      <c r="B4016" t="s">
        <v>92</v>
      </c>
      <c r="C4016" t="s">
        <v>3219</v>
      </c>
      <c r="D4016" s="2">
        <v>1</v>
      </c>
      <c r="E4016" s="11" t="s">
        <v>91</v>
      </c>
      <c r="F4016" t="s">
        <v>39</v>
      </c>
      <c r="G4016" s="2" t="s">
        <v>23</v>
      </c>
      <c r="H4016" s="1">
        <v>111.19400000000002</v>
      </c>
    </row>
    <row r="4017" spans="1:8" x14ac:dyDescent="0.3">
      <c r="A4017" s="2">
        <v>725</v>
      </c>
      <c r="B4017" t="s">
        <v>1442</v>
      </c>
      <c r="C4017" t="s">
        <v>3233</v>
      </c>
      <c r="D4017" s="2">
        <v>1</v>
      </c>
      <c r="E4017" s="11" t="s">
        <v>1278</v>
      </c>
      <c r="F4017" t="s">
        <v>36</v>
      </c>
      <c r="G4017" s="2" t="s">
        <v>23</v>
      </c>
      <c r="H4017" s="1">
        <v>100.59400000000001</v>
      </c>
    </row>
    <row r="4018" spans="1:8" x14ac:dyDescent="0.3">
      <c r="A4018" s="2">
        <v>725</v>
      </c>
      <c r="B4018" t="s">
        <v>1039</v>
      </c>
      <c r="C4018" t="s">
        <v>3225</v>
      </c>
      <c r="D4018" s="2">
        <v>1</v>
      </c>
      <c r="E4018" s="11" t="s">
        <v>1038</v>
      </c>
      <c r="F4018" t="s">
        <v>36</v>
      </c>
      <c r="G4018" s="2" t="s">
        <v>23</v>
      </c>
      <c r="H4018" s="1">
        <v>180.09400000000002</v>
      </c>
    </row>
    <row r="4019" spans="1:8" x14ac:dyDescent="0.3">
      <c r="A4019" s="2">
        <v>725</v>
      </c>
      <c r="B4019" t="s">
        <v>1135</v>
      </c>
      <c r="C4019" t="s">
        <v>3</v>
      </c>
      <c r="D4019" s="2">
        <v>1</v>
      </c>
      <c r="E4019" s="11" t="s">
        <v>1133</v>
      </c>
      <c r="F4019" t="s">
        <v>28</v>
      </c>
      <c r="G4019" s="2" t="s">
        <v>4</v>
      </c>
      <c r="H4019" s="1">
        <v>74.094000000000008</v>
      </c>
    </row>
    <row r="4020" spans="1:8" x14ac:dyDescent="0.3">
      <c r="A4020" s="2">
        <v>725</v>
      </c>
      <c r="B4020" t="s">
        <v>1289</v>
      </c>
      <c r="C4020" t="s">
        <v>2</v>
      </c>
      <c r="D4020" s="2">
        <v>1</v>
      </c>
      <c r="E4020" s="11" t="s">
        <v>1288</v>
      </c>
      <c r="F4020" t="s">
        <v>28</v>
      </c>
      <c r="G4020" s="2" t="s">
        <v>31</v>
      </c>
      <c r="H4020" s="1">
        <v>89.994000000000014</v>
      </c>
    </row>
    <row r="4021" spans="1:8" x14ac:dyDescent="0.3">
      <c r="A4021" s="2">
        <v>725</v>
      </c>
      <c r="B4021" t="s">
        <v>1370</v>
      </c>
      <c r="C4021" t="s">
        <v>3233</v>
      </c>
      <c r="D4021" s="2">
        <v>1</v>
      </c>
      <c r="E4021" s="11" t="s">
        <v>258</v>
      </c>
      <c r="F4021" t="s">
        <v>28</v>
      </c>
      <c r="G4021" s="2" t="s">
        <v>31</v>
      </c>
      <c r="H4021" s="1">
        <v>79.394000000000005</v>
      </c>
    </row>
    <row r="4022" spans="1:8" x14ac:dyDescent="0.3">
      <c r="A4022" s="2">
        <v>726</v>
      </c>
      <c r="B4022" t="s">
        <v>1631</v>
      </c>
      <c r="C4022" t="s">
        <v>3217</v>
      </c>
      <c r="D4022" s="2">
        <v>1</v>
      </c>
      <c r="E4022" s="11" t="s">
        <v>1626</v>
      </c>
      <c r="F4022" t="s">
        <v>65</v>
      </c>
      <c r="G4022" s="2" t="s">
        <v>23</v>
      </c>
      <c r="H4022" s="1">
        <v>74.094000000000008</v>
      </c>
    </row>
    <row r="4023" spans="1:8" x14ac:dyDescent="0.3">
      <c r="A4023" s="2">
        <v>726</v>
      </c>
      <c r="B4023" t="s">
        <v>1630</v>
      </c>
      <c r="C4023" t="s">
        <v>1</v>
      </c>
      <c r="D4023" s="2">
        <v>1</v>
      </c>
      <c r="E4023" s="11" t="s">
        <v>1454</v>
      </c>
      <c r="F4023" t="s">
        <v>62</v>
      </c>
      <c r="G4023" s="2" t="s">
        <v>23</v>
      </c>
      <c r="H4023" s="1">
        <v>79.394000000000005</v>
      </c>
    </row>
    <row r="4024" spans="1:8" x14ac:dyDescent="0.3">
      <c r="A4024" s="2">
        <v>726</v>
      </c>
      <c r="B4024" t="s">
        <v>1597</v>
      </c>
      <c r="C4024" t="s">
        <v>1</v>
      </c>
      <c r="D4024" s="2">
        <v>1</v>
      </c>
      <c r="E4024" s="11" t="s">
        <v>189</v>
      </c>
      <c r="F4024" t="s">
        <v>62</v>
      </c>
      <c r="G4024" s="2" t="s">
        <v>23</v>
      </c>
      <c r="H4024" s="1">
        <v>63.494000000000007</v>
      </c>
    </row>
    <row r="4025" spans="1:8" x14ac:dyDescent="0.3">
      <c r="A4025" s="2">
        <v>726</v>
      </c>
      <c r="B4025" t="s">
        <v>1629</v>
      </c>
      <c r="C4025" t="s">
        <v>3219</v>
      </c>
      <c r="D4025" s="2">
        <v>1</v>
      </c>
      <c r="E4025" s="11" t="s">
        <v>1624</v>
      </c>
      <c r="F4025" t="s">
        <v>959</v>
      </c>
      <c r="G4025" s="2" t="s">
        <v>31</v>
      </c>
      <c r="H4025" s="1">
        <v>164.19400000000002</v>
      </c>
    </row>
    <row r="4026" spans="1:8" x14ac:dyDescent="0.3">
      <c r="A4026" s="2">
        <v>726</v>
      </c>
      <c r="B4026" t="s">
        <v>1596</v>
      </c>
      <c r="C4026" t="s">
        <v>1</v>
      </c>
      <c r="D4026" s="2">
        <v>1</v>
      </c>
      <c r="E4026" s="11" t="s">
        <v>189</v>
      </c>
      <c r="F4026" t="s">
        <v>114</v>
      </c>
      <c r="G4026" s="2" t="s">
        <v>23</v>
      </c>
      <c r="H4026" s="1">
        <v>63.494000000000007</v>
      </c>
    </row>
    <row r="4027" spans="1:8" x14ac:dyDescent="0.3">
      <c r="A4027" s="2">
        <v>726</v>
      </c>
      <c r="B4027" t="s">
        <v>662</v>
      </c>
      <c r="C4027" t="s">
        <v>3233</v>
      </c>
      <c r="D4027" s="2">
        <v>1</v>
      </c>
      <c r="E4027" s="11" t="s">
        <v>661</v>
      </c>
      <c r="F4027" t="s">
        <v>114</v>
      </c>
      <c r="G4027" s="2" t="s">
        <v>23</v>
      </c>
      <c r="H4027" s="1">
        <v>100.59400000000001</v>
      </c>
    </row>
    <row r="4028" spans="1:8" x14ac:dyDescent="0.3">
      <c r="A4028" s="2">
        <v>726</v>
      </c>
      <c r="B4028" t="s">
        <v>782</v>
      </c>
      <c r="C4028" t="s">
        <v>2</v>
      </c>
      <c r="D4028" s="2">
        <v>1</v>
      </c>
      <c r="E4028" s="11" t="s">
        <v>780</v>
      </c>
      <c r="F4028" t="s">
        <v>114</v>
      </c>
      <c r="G4028" s="2" t="s">
        <v>31</v>
      </c>
      <c r="H4028" s="1">
        <v>116.49400000000001</v>
      </c>
    </row>
    <row r="4029" spans="1:8" x14ac:dyDescent="0.3">
      <c r="A4029" s="2">
        <v>726</v>
      </c>
      <c r="B4029" t="s">
        <v>1628</v>
      </c>
      <c r="C4029" t="s">
        <v>1</v>
      </c>
      <c r="D4029" s="2">
        <v>1</v>
      </c>
      <c r="E4029" s="11" t="s">
        <v>252</v>
      </c>
      <c r="F4029" t="s">
        <v>47</v>
      </c>
      <c r="G4029" s="2" t="s">
        <v>23</v>
      </c>
      <c r="H4029" s="1">
        <v>52.893999999999998</v>
      </c>
    </row>
    <row r="4030" spans="1:8" x14ac:dyDescent="0.3">
      <c r="A4030" s="2">
        <v>726</v>
      </c>
      <c r="B4030" t="s">
        <v>1455</v>
      </c>
      <c r="C4030" t="s">
        <v>1</v>
      </c>
      <c r="D4030" s="2">
        <v>1</v>
      </c>
      <c r="E4030" s="11" t="s">
        <v>1454</v>
      </c>
      <c r="F4030" t="s">
        <v>28</v>
      </c>
      <c r="G4030" s="2" t="s">
        <v>23</v>
      </c>
      <c r="H4030" s="1">
        <v>79.394000000000005</v>
      </c>
    </row>
    <row r="4031" spans="1:8" x14ac:dyDescent="0.3">
      <c r="A4031" s="2">
        <v>726</v>
      </c>
      <c r="B4031" t="s">
        <v>1627</v>
      </c>
      <c r="C4031" t="s">
        <v>3217</v>
      </c>
      <c r="D4031" s="2">
        <v>1</v>
      </c>
      <c r="E4031" s="11" t="s">
        <v>1626</v>
      </c>
      <c r="F4031" t="s">
        <v>28</v>
      </c>
      <c r="G4031" s="2" t="s">
        <v>23</v>
      </c>
      <c r="H4031" s="1">
        <v>74.094000000000008</v>
      </c>
    </row>
    <row r="4032" spans="1:8" x14ac:dyDescent="0.3">
      <c r="A4032" s="2">
        <v>726</v>
      </c>
      <c r="B4032" t="s">
        <v>1625</v>
      </c>
      <c r="C4032" t="s">
        <v>3219</v>
      </c>
      <c r="D4032" s="2">
        <v>1</v>
      </c>
      <c r="E4032" s="11" t="s">
        <v>1624</v>
      </c>
      <c r="F4032" t="s">
        <v>28</v>
      </c>
      <c r="G4032" s="2" t="s">
        <v>31</v>
      </c>
      <c r="H4032" s="1">
        <v>164.19400000000002</v>
      </c>
    </row>
    <row r="4033" spans="1:8" x14ac:dyDescent="0.3">
      <c r="A4033" s="2">
        <v>726</v>
      </c>
      <c r="B4033" t="s">
        <v>875</v>
      </c>
      <c r="C4033" t="s">
        <v>1</v>
      </c>
      <c r="D4033" s="2">
        <v>1</v>
      </c>
      <c r="E4033" s="11" t="s">
        <v>189</v>
      </c>
      <c r="F4033" t="s">
        <v>28</v>
      </c>
      <c r="G4033" s="2" t="s">
        <v>23</v>
      </c>
      <c r="H4033" s="1">
        <v>63.494000000000007</v>
      </c>
    </row>
    <row r="4034" spans="1:8" x14ac:dyDescent="0.3">
      <c r="A4034" s="2">
        <v>726</v>
      </c>
      <c r="B4034" t="s">
        <v>1289</v>
      </c>
      <c r="C4034" t="s">
        <v>2</v>
      </c>
      <c r="D4034" s="2">
        <v>1</v>
      </c>
      <c r="E4034" s="11" t="s">
        <v>1288</v>
      </c>
      <c r="F4034" t="s">
        <v>28</v>
      </c>
      <c r="G4034" s="2" t="s">
        <v>31</v>
      </c>
      <c r="H4034" s="1">
        <v>89.994000000000014</v>
      </c>
    </row>
    <row r="4035" spans="1:8" x14ac:dyDescent="0.3">
      <c r="A4035" s="2">
        <v>727</v>
      </c>
      <c r="B4035" t="s">
        <v>262</v>
      </c>
      <c r="C4035" t="s">
        <v>0</v>
      </c>
      <c r="D4035" s="2">
        <v>1</v>
      </c>
      <c r="E4035" s="11" t="s">
        <v>261</v>
      </c>
      <c r="F4035" t="s">
        <v>65</v>
      </c>
      <c r="G4035" s="2" t="s">
        <v>4</v>
      </c>
      <c r="H4035" s="1">
        <v>173.79400000000001</v>
      </c>
    </row>
    <row r="4036" spans="1:8" x14ac:dyDescent="0.3">
      <c r="A4036" s="2">
        <v>727</v>
      </c>
      <c r="B4036" t="s">
        <v>1174</v>
      </c>
      <c r="C4036" t="s">
        <v>3219</v>
      </c>
      <c r="D4036" s="2">
        <v>1</v>
      </c>
      <c r="E4036" s="11" t="s">
        <v>1173</v>
      </c>
      <c r="F4036" t="s">
        <v>81</v>
      </c>
      <c r="G4036" s="2" t="s">
        <v>31</v>
      </c>
      <c r="H4036" s="1">
        <v>116.49400000000001</v>
      </c>
    </row>
    <row r="4037" spans="1:8" x14ac:dyDescent="0.3">
      <c r="A4037" s="2">
        <v>727</v>
      </c>
      <c r="B4037" t="s">
        <v>1623</v>
      </c>
      <c r="C4037" t="s">
        <v>3224</v>
      </c>
      <c r="D4037" s="2">
        <v>1</v>
      </c>
      <c r="E4037" s="11" t="s">
        <v>1444</v>
      </c>
      <c r="F4037" t="s">
        <v>81</v>
      </c>
      <c r="G4037" s="2" t="s">
        <v>31</v>
      </c>
      <c r="H4037" s="1">
        <v>95.294000000000011</v>
      </c>
    </row>
    <row r="4038" spans="1:8" x14ac:dyDescent="0.3">
      <c r="A4038" s="2">
        <v>727</v>
      </c>
      <c r="B4038" t="s">
        <v>716</v>
      </c>
      <c r="C4038" t="s">
        <v>3220</v>
      </c>
      <c r="D4038" s="2">
        <v>1</v>
      </c>
      <c r="E4038" s="11" t="s">
        <v>174</v>
      </c>
      <c r="F4038" t="s">
        <v>114</v>
      </c>
      <c r="G4038" s="2" t="s">
        <v>23</v>
      </c>
      <c r="H4038" s="1">
        <v>74.094000000000008</v>
      </c>
    </row>
    <row r="4039" spans="1:8" x14ac:dyDescent="0.3">
      <c r="A4039" s="2">
        <v>727</v>
      </c>
      <c r="B4039" t="s">
        <v>1622</v>
      </c>
      <c r="C4039" t="s">
        <v>3224</v>
      </c>
      <c r="D4039" s="2">
        <v>1</v>
      </c>
      <c r="E4039" s="11" t="s">
        <v>1478</v>
      </c>
      <c r="F4039" t="s">
        <v>114</v>
      </c>
      <c r="G4039" s="2" t="s">
        <v>23</v>
      </c>
      <c r="H4039" s="1">
        <v>116.49400000000001</v>
      </c>
    </row>
    <row r="4040" spans="1:8" x14ac:dyDescent="0.3">
      <c r="A4040" s="2">
        <v>727</v>
      </c>
      <c r="B4040" t="s">
        <v>1621</v>
      </c>
      <c r="C4040" t="s">
        <v>3224</v>
      </c>
      <c r="D4040" s="2">
        <v>1</v>
      </c>
      <c r="E4040" s="11" t="s">
        <v>1270</v>
      </c>
      <c r="F4040" t="s">
        <v>114</v>
      </c>
      <c r="G4040" s="2" t="s">
        <v>31</v>
      </c>
      <c r="H4040" s="1">
        <v>68.794000000000011</v>
      </c>
    </row>
    <row r="4041" spans="1:8" x14ac:dyDescent="0.3">
      <c r="A4041" s="2">
        <v>727</v>
      </c>
      <c r="B4041" t="s">
        <v>1620</v>
      </c>
      <c r="C4041" t="s">
        <v>2</v>
      </c>
      <c r="D4041" s="2">
        <v>1</v>
      </c>
      <c r="E4041" s="11" t="s">
        <v>1619</v>
      </c>
      <c r="F4041" t="s">
        <v>114</v>
      </c>
      <c r="G4041" s="2" t="s">
        <v>23</v>
      </c>
      <c r="H4041" s="1">
        <v>137.69400000000002</v>
      </c>
    </row>
    <row r="4042" spans="1:8" x14ac:dyDescent="0.3">
      <c r="A4042" s="2">
        <v>727</v>
      </c>
      <c r="B4042" t="s">
        <v>1506</v>
      </c>
      <c r="C4042" t="s">
        <v>3224</v>
      </c>
      <c r="D4042" s="2">
        <v>1</v>
      </c>
      <c r="E4042" s="11" t="s">
        <v>1399</v>
      </c>
      <c r="F4042" t="s">
        <v>114</v>
      </c>
      <c r="G4042" s="2" t="s">
        <v>31</v>
      </c>
      <c r="H4042" s="1">
        <v>63.494000000000007</v>
      </c>
    </row>
    <row r="4043" spans="1:8" x14ac:dyDescent="0.3">
      <c r="A4043" s="2">
        <v>727</v>
      </c>
      <c r="B4043" t="s">
        <v>1618</v>
      </c>
      <c r="C4043" t="s">
        <v>3233</v>
      </c>
      <c r="D4043" s="2">
        <v>1</v>
      </c>
      <c r="E4043" s="11" t="s">
        <v>661</v>
      </c>
      <c r="F4043" t="s">
        <v>114</v>
      </c>
      <c r="G4043" s="2" t="s">
        <v>31</v>
      </c>
      <c r="H4043" s="1">
        <v>100.59400000000001</v>
      </c>
    </row>
    <row r="4044" spans="1:8" x14ac:dyDescent="0.3">
      <c r="A4044" s="2">
        <v>727</v>
      </c>
      <c r="B4044" t="s">
        <v>782</v>
      </c>
      <c r="C4044" t="s">
        <v>2</v>
      </c>
      <c r="D4044" s="2">
        <v>1</v>
      </c>
      <c r="E4044" s="11" t="s">
        <v>780</v>
      </c>
      <c r="F4044" t="s">
        <v>114</v>
      </c>
      <c r="G4044" s="2" t="s">
        <v>31</v>
      </c>
      <c r="H4044" s="1">
        <v>116.49400000000001</v>
      </c>
    </row>
    <row r="4045" spans="1:8" x14ac:dyDescent="0.3">
      <c r="A4045" s="2">
        <v>727</v>
      </c>
      <c r="B4045" t="s">
        <v>1181</v>
      </c>
      <c r="C4045" t="s">
        <v>3221</v>
      </c>
      <c r="D4045" s="2">
        <v>1</v>
      </c>
      <c r="E4045" s="11" t="s">
        <v>1180</v>
      </c>
      <c r="F4045" t="s">
        <v>47</v>
      </c>
      <c r="G4045" s="2" t="s">
        <v>31</v>
      </c>
      <c r="H4045" s="1">
        <v>169.49400000000003</v>
      </c>
    </row>
    <row r="4046" spans="1:8" x14ac:dyDescent="0.3">
      <c r="A4046" s="2">
        <v>727</v>
      </c>
      <c r="B4046" t="s">
        <v>1617</v>
      </c>
      <c r="C4046" t="s">
        <v>0</v>
      </c>
      <c r="D4046" s="2">
        <v>1</v>
      </c>
      <c r="E4046" s="11" t="s">
        <v>1077</v>
      </c>
      <c r="F4046" t="s">
        <v>47</v>
      </c>
      <c r="G4046" s="2" t="s">
        <v>31</v>
      </c>
      <c r="H4046" s="1">
        <v>180.09400000000002</v>
      </c>
    </row>
    <row r="4047" spans="1:8" x14ac:dyDescent="0.3">
      <c r="A4047" s="2">
        <v>727</v>
      </c>
      <c r="B4047" t="s">
        <v>1616</v>
      </c>
      <c r="C4047" t="s">
        <v>2</v>
      </c>
      <c r="D4047" s="2">
        <v>1</v>
      </c>
      <c r="E4047" s="11" t="s">
        <v>1615</v>
      </c>
      <c r="F4047" t="s">
        <v>47</v>
      </c>
      <c r="G4047" s="2" t="s">
        <v>23</v>
      </c>
      <c r="H4047" s="1">
        <v>127.09400000000001</v>
      </c>
    </row>
    <row r="4048" spans="1:8" x14ac:dyDescent="0.3">
      <c r="A4048" s="2">
        <v>727</v>
      </c>
      <c r="B4048" t="s">
        <v>1564</v>
      </c>
      <c r="C4048" t="s">
        <v>3225</v>
      </c>
      <c r="D4048" s="2">
        <v>1</v>
      </c>
      <c r="E4048" s="11" t="s">
        <v>1038</v>
      </c>
      <c r="F4048" t="s">
        <v>47</v>
      </c>
      <c r="G4048" s="2" t="s">
        <v>4</v>
      </c>
      <c r="H4048" s="1">
        <v>180.09400000000002</v>
      </c>
    </row>
    <row r="4049" spans="1:8" x14ac:dyDescent="0.3">
      <c r="A4049" s="2">
        <v>727</v>
      </c>
      <c r="B4049" t="s">
        <v>1427</v>
      </c>
      <c r="C4049" t="s">
        <v>3224</v>
      </c>
      <c r="D4049" s="2">
        <v>1</v>
      </c>
      <c r="E4049" s="11" t="s">
        <v>1426</v>
      </c>
      <c r="F4049" t="s">
        <v>47</v>
      </c>
      <c r="G4049" s="2" t="s">
        <v>23</v>
      </c>
      <c r="H4049" s="1">
        <v>63.494000000000007</v>
      </c>
    </row>
    <row r="4050" spans="1:8" x14ac:dyDescent="0.3">
      <c r="A4050" s="2">
        <v>727</v>
      </c>
      <c r="B4050" t="s">
        <v>958</v>
      </c>
      <c r="C4050" t="s">
        <v>2</v>
      </c>
      <c r="D4050" s="2">
        <v>1</v>
      </c>
      <c r="E4050" s="11" t="s">
        <v>43</v>
      </c>
      <c r="F4050" t="s">
        <v>47</v>
      </c>
      <c r="G4050" s="2" t="s">
        <v>31</v>
      </c>
      <c r="H4050" s="1">
        <v>74.094000000000008</v>
      </c>
    </row>
    <row r="4051" spans="1:8" x14ac:dyDescent="0.3">
      <c r="A4051" s="2">
        <v>727</v>
      </c>
      <c r="B4051" t="s">
        <v>1577</v>
      </c>
      <c r="C4051" t="s">
        <v>3224</v>
      </c>
      <c r="D4051" s="2">
        <v>1</v>
      </c>
      <c r="E4051" s="11" t="s">
        <v>193</v>
      </c>
      <c r="F4051" t="s">
        <v>39</v>
      </c>
      <c r="G4051" s="2" t="s">
        <v>23</v>
      </c>
      <c r="H4051" s="1">
        <v>100.59400000000001</v>
      </c>
    </row>
    <row r="4052" spans="1:8" x14ac:dyDescent="0.3">
      <c r="A4052" s="2">
        <v>727</v>
      </c>
      <c r="B4052" t="s">
        <v>1581</v>
      </c>
      <c r="C4052" t="s">
        <v>3225</v>
      </c>
      <c r="D4052" s="2">
        <v>1</v>
      </c>
      <c r="E4052" s="11" t="s">
        <v>1038</v>
      </c>
      <c r="F4052" t="s">
        <v>39</v>
      </c>
      <c r="G4052" s="2" t="s">
        <v>31</v>
      </c>
      <c r="H4052" s="1">
        <v>180.09400000000002</v>
      </c>
    </row>
    <row r="4053" spans="1:8" x14ac:dyDescent="0.3">
      <c r="A4053" s="2">
        <v>727</v>
      </c>
      <c r="B4053" t="s">
        <v>979</v>
      </c>
      <c r="C4053" t="s">
        <v>3224</v>
      </c>
      <c r="D4053" s="2">
        <v>1</v>
      </c>
      <c r="E4053" s="11" t="s">
        <v>193</v>
      </c>
      <c r="F4053" t="s">
        <v>36</v>
      </c>
      <c r="G4053" s="2" t="s">
        <v>31</v>
      </c>
      <c r="H4053" s="1">
        <v>100.59400000000001</v>
      </c>
    </row>
    <row r="4054" spans="1:8" x14ac:dyDescent="0.3">
      <c r="A4054" s="2">
        <v>727</v>
      </c>
      <c r="B4054" t="s">
        <v>1511</v>
      </c>
      <c r="C4054" t="s">
        <v>3225</v>
      </c>
      <c r="D4054" s="2">
        <v>1</v>
      </c>
      <c r="E4054" s="11" t="s">
        <v>1038</v>
      </c>
      <c r="F4054" t="s">
        <v>36</v>
      </c>
      <c r="G4054" s="2" t="s">
        <v>31</v>
      </c>
      <c r="H4054" s="1">
        <v>180.09400000000002</v>
      </c>
    </row>
    <row r="4055" spans="1:8" x14ac:dyDescent="0.3">
      <c r="A4055" s="2">
        <v>727</v>
      </c>
      <c r="B4055" t="s">
        <v>1614</v>
      </c>
      <c r="C4055" t="s">
        <v>0</v>
      </c>
      <c r="D4055" s="2">
        <v>1</v>
      </c>
      <c r="E4055" s="11" t="s">
        <v>246</v>
      </c>
      <c r="F4055" t="s">
        <v>28</v>
      </c>
      <c r="G4055" s="2" t="s">
        <v>31</v>
      </c>
      <c r="H4055" s="1">
        <v>158.89400000000001</v>
      </c>
    </row>
    <row r="4056" spans="1:8" x14ac:dyDescent="0.3">
      <c r="A4056" s="2">
        <v>727</v>
      </c>
      <c r="B4056" t="s">
        <v>459</v>
      </c>
      <c r="C4056" t="s">
        <v>0</v>
      </c>
      <c r="D4056" s="2">
        <v>1</v>
      </c>
      <c r="E4056" s="11" t="s">
        <v>261</v>
      </c>
      <c r="F4056" t="s">
        <v>28</v>
      </c>
      <c r="G4056" s="2" t="s">
        <v>31</v>
      </c>
      <c r="H4056" s="1">
        <v>173.79400000000001</v>
      </c>
    </row>
    <row r="4057" spans="1:8" x14ac:dyDescent="0.3">
      <c r="A4057" s="2">
        <v>727</v>
      </c>
      <c r="B4057" t="s">
        <v>1567</v>
      </c>
      <c r="C4057" t="s">
        <v>3233</v>
      </c>
      <c r="D4057" s="2">
        <v>1</v>
      </c>
      <c r="E4057" s="11" t="s">
        <v>1278</v>
      </c>
      <c r="F4057" t="s">
        <v>28</v>
      </c>
      <c r="G4057" s="2" t="s">
        <v>31</v>
      </c>
      <c r="H4057" s="1">
        <v>100.59400000000001</v>
      </c>
    </row>
    <row r="4058" spans="1:8" x14ac:dyDescent="0.3">
      <c r="A4058" s="2">
        <v>728</v>
      </c>
      <c r="B4058" t="s">
        <v>694</v>
      </c>
      <c r="C4058" t="s">
        <v>3220</v>
      </c>
      <c r="D4058" s="2">
        <v>1</v>
      </c>
      <c r="E4058" s="11" t="s">
        <v>204</v>
      </c>
      <c r="F4058" t="s">
        <v>55</v>
      </c>
      <c r="G4058" s="2" t="s">
        <v>4</v>
      </c>
      <c r="H4058" s="1">
        <v>42.294000000000004</v>
      </c>
    </row>
    <row r="4059" spans="1:8" x14ac:dyDescent="0.3">
      <c r="A4059" s="2">
        <v>728</v>
      </c>
      <c r="B4059" t="s">
        <v>1383</v>
      </c>
      <c r="C4059" t="s">
        <v>3220</v>
      </c>
      <c r="D4059" s="2">
        <v>1</v>
      </c>
      <c r="E4059" s="11" t="s">
        <v>204</v>
      </c>
      <c r="F4059" t="s">
        <v>65</v>
      </c>
      <c r="G4059" s="2" t="s">
        <v>4</v>
      </c>
      <c r="H4059" s="1">
        <v>42.294000000000004</v>
      </c>
    </row>
    <row r="4060" spans="1:8" x14ac:dyDescent="0.3">
      <c r="A4060" s="2">
        <v>728</v>
      </c>
      <c r="B4060" t="s">
        <v>1218</v>
      </c>
      <c r="C4060" t="s">
        <v>3219</v>
      </c>
      <c r="D4060" s="2">
        <v>1</v>
      </c>
      <c r="E4060" s="11" t="s">
        <v>1173</v>
      </c>
      <c r="F4060" t="s">
        <v>81</v>
      </c>
      <c r="G4060" s="2" t="s">
        <v>4</v>
      </c>
      <c r="H4060" s="1">
        <v>116.49400000000001</v>
      </c>
    </row>
    <row r="4061" spans="1:8" x14ac:dyDescent="0.3">
      <c r="A4061" s="2">
        <v>728</v>
      </c>
      <c r="B4061" t="s">
        <v>1025</v>
      </c>
      <c r="C4061" t="s">
        <v>3220</v>
      </c>
      <c r="D4061" s="2">
        <v>1</v>
      </c>
      <c r="E4061" s="11" t="s">
        <v>204</v>
      </c>
      <c r="F4061" t="s">
        <v>81</v>
      </c>
      <c r="G4061" s="2" t="s">
        <v>4</v>
      </c>
      <c r="H4061" s="1">
        <v>42.294000000000004</v>
      </c>
    </row>
    <row r="4062" spans="1:8" x14ac:dyDescent="0.3">
      <c r="A4062" s="2">
        <v>728</v>
      </c>
      <c r="B4062" t="s">
        <v>1025</v>
      </c>
      <c r="C4062" t="s">
        <v>3220</v>
      </c>
      <c r="D4062" s="2">
        <v>1</v>
      </c>
      <c r="E4062" s="11" t="s">
        <v>204</v>
      </c>
      <c r="F4062" t="s">
        <v>81</v>
      </c>
      <c r="G4062" s="2" t="s">
        <v>4</v>
      </c>
      <c r="H4062" s="1">
        <v>42.294000000000004</v>
      </c>
    </row>
    <row r="4063" spans="1:8" x14ac:dyDescent="0.3">
      <c r="A4063" s="2">
        <v>728</v>
      </c>
      <c r="B4063" t="s">
        <v>1613</v>
      </c>
      <c r="C4063" t="s">
        <v>3233</v>
      </c>
      <c r="D4063" s="2">
        <v>1</v>
      </c>
      <c r="E4063" s="11" t="s">
        <v>258</v>
      </c>
      <c r="F4063" t="s">
        <v>254</v>
      </c>
      <c r="G4063" s="2" t="s">
        <v>4</v>
      </c>
      <c r="H4063" s="1">
        <v>79.394000000000005</v>
      </c>
    </row>
    <row r="4064" spans="1:8" x14ac:dyDescent="0.3">
      <c r="A4064" s="2">
        <v>728</v>
      </c>
      <c r="B4064" t="s">
        <v>793</v>
      </c>
      <c r="C4064" t="s">
        <v>3225</v>
      </c>
      <c r="D4064" s="2">
        <v>1</v>
      </c>
      <c r="E4064" s="11" t="s">
        <v>239</v>
      </c>
      <c r="F4064" t="s">
        <v>114</v>
      </c>
      <c r="G4064" s="2" t="s">
        <v>4</v>
      </c>
      <c r="H4064" s="1">
        <v>148.29400000000001</v>
      </c>
    </row>
    <row r="4065" spans="1:8" x14ac:dyDescent="0.3">
      <c r="A4065" s="2">
        <v>728</v>
      </c>
      <c r="B4065" t="s">
        <v>1066</v>
      </c>
      <c r="C4065" t="s">
        <v>3219</v>
      </c>
      <c r="D4065" s="2">
        <v>1</v>
      </c>
      <c r="E4065" s="11" t="s">
        <v>892</v>
      </c>
      <c r="F4065" t="s">
        <v>114</v>
      </c>
      <c r="G4065" s="2" t="s">
        <v>4</v>
      </c>
      <c r="H4065" s="1">
        <v>158.89400000000001</v>
      </c>
    </row>
    <row r="4066" spans="1:8" x14ac:dyDescent="0.3">
      <c r="A4066" s="2">
        <v>728</v>
      </c>
      <c r="B4066" t="s">
        <v>1612</v>
      </c>
      <c r="C4066" t="s">
        <v>3224</v>
      </c>
      <c r="D4066" s="2">
        <v>1</v>
      </c>
      <c r="E4066" s="11" t="s">
        <v>1270</v>
      </c>
      <c r="F4066" t="s">
        <v>114</v>
      </c>
      <c r="G4066" s="2" t="s">
        <v>4</v>
      </c>
      <c r="H4066" s="1">
        <v>68.794000000000011</v>
      </c>
    </row>
    <row r="4067" spans="1:8" x14ac:dyDescent="0.3">
      <c r="A4067" s="2">
        <v>728</v>
      </c>
      <c r="B4067" t="s">
        <v>1449</v>
      </c>
      <c r="C4067" t="s">
        <v>3224</v>
      </c>
      <c r="D4067" s="2">
        <v>1</v>
      </c>
      <c r="E4067" s="11" t="s">
        <v>1248</v>
      </c>
      <c r="F4067" t="s">
        <v>47</v>
      </c>
      <c r="G4067" s="2" t="s">
        <v>4</v>
      </c>
      <c r="H4067" s="1">
        <v>95.294000000000011</v>
      </c>
    </row>
    <row r="4068" spans="1:8" x14ac:dyDescent="0.3">
      <c r="A4068" s="2">
        <v>728</v>
      </c>
      <c r="B4068" t="s">
        <v>1611</v>
      </c>
      <c r="C4068" t="s">
        <v>3220</v>
      </c>
      <c r="D4068" s="2">
        <v>1</v>
      </c>
      <c r="E4068" s="11" t="s">
        <v>1138</v>
      </c>
      <c r="F4068" t="s">
        <v>47</v>
      </c>
      <c r="G4068" s="2" t="s">
        <v>4</v>
      </c>
      <c r="H4068" s="1">
        <v>68.794000000000011</v>
      </c>
    </row>
    <row r="4069" spans="1:8" x14ac:dyDescent="0.3">
      <c r="A4069" s="2">
        <v>728</v>
      </c>
      <c r="B4069" t="s">
        <v>1610</v>
      </c>
      <c r="C4069" t="s">
        <v>3220</v>
      </c>
      <c r="D4069" s="2">
        <v>1</v>
      </c>
      <c r="E4069" s="11" t="s">
        <v>185</v>
      </c>
      <c r="F4069" t="s">
        <v>47</v>
      </c>
      <c r="G4069" s="2" t="s">
        <v>4</v>
      </c>
      <c r="H4069" s="1">
        <v>84.694000000000017</v>
      </c>
    </row>
    <row r="4070" spans="1:8" x14ac:dyDescent="0.3">
      <c r="A4070" s="2">
        <v>728</v>
      </c>
      <c r="B4070" t="s">
        <v>1609</v>
      </c>
      <c r="C4070" t="s">
        <v>3219</v>
      </c>
      <c r="D4070" s="2">
        <v>1</v>
      </c>
      <c r="E4070" s="11" t="s">
        <v>1175</v>
      </c>
      <c r="F4070" t="s">
        <v>47</v>
      </c>
      <c r="G4070" s="2" t="s">
        <v>4</v>
      </c>
      <c r="H4070" s="1">
        <v>158.89400000000001</v>
      </c>
    </row>
    <row r="4071" spans="1:8" x14ac:dyDescent="0.3">
      <c r="A4071" s="2">
        <v>728</v>
      </c>
      <c r="B4071" t="s">
        <v>1608</v>
      </c>
      <c r="C4071" t="s">
        <v>3224</v>
      </c>
      <c r="D4071" s="2">
        <v>1</v>
      </c>
      <c r="E4071" s="12" t="s">
        <v>1607</v>
      </c>
      <c r="F4071" t="s">
        <v>47</v>
      </c>
      <c r="G4071" s="2" t="s">
        <v>4</v>
      </c>
      <c r="H4071" s="1">
        <v>84.694000000000017</v>
      </c>
    </row>
    <row r="4072" spans="1:8" x14ac:dyDescent="0.3">
      <c r="A4072" s="2">
        <v>728</v>
      </c>
      <c r="B4072" t="s">
        <v>206</v>
      </c>
      <c r="C4072" t="s">
        <v>3220</v>
      </c>
      <c r="D4072" s="2">
        <v>2</v>
      </c>
      <c r="E4072" s="11" t="s">
        <v>204</v>
      </c>
      <c r="F4072" t="s">
        <v>47</v>
      </c>
      <c r="G4072" s="2" t="s">
        <v>4</v>
      </c>
      <c r="H4072" s="1">
        <v>42.294000000000004</v>
      </c>
    </row>
    <row r="4073" spans="1:8" x14ac:dyDescent="0.3">
      <c r="A4073" s="2">
        <v>728</v>
      </c>
      <c r="B4073" t="s">
        <v>1606</v>
      </c>
      <c r="C4073" t="s">
        <v>3224</v>
      </c>
      <c r="D4073" s="2">
        <v>1</v>
      </c>
      <c r="E4073" s="11" t="s">
        <v>819</v>
      </c>
      <c r="F4073" t="s">
        <v>39</v>
      </c>
      <c r="G4073" s="2" t="s">
        <v>4</v>
      </c>
      <c r="H4073" s="1">
        <v>79.394000000000005</v>
      </c>
    </row>
    <row r="4074" spans="1:8" x14ac:dyDescent="0.3">
      <c r="A4074" s="2">
        <v>728</v>
      </c>
      <c r="B4074" t="s">
        <v>1605</v>
      </c>
      <c r="C4074" t="s">
        <v>3224</v>
      </c>
      <c r="D4074" s="2">
        <v>1</v>
      </c>
      <c r="E4074" s="11" t="s">
        <v>1204</v>
      </c>
      <c r="F4074" t="s">
        <v>39</v>
      </c>
      <c r="G4074" s="2" t="s">
        <v>4</v>
      </c>
      <c r="H4074" s="1">
        <v>89.994000000000014</v>
      </c>
    </row>
    <row r="4075" spans="1:8" x14ac:dyDescent="0.3">
      <c r="A4075" s="2">
        <v>728</v>
      </c>
      <c r="B4075" t="s">
        <v>1604</v>
      </c>
      <c r="C4075" t="s">
        <v>3217</v>
      </c>
      <c r="D4075" s="2">
        <v>1</v>
      </c>
      <c r="E4075" s="11" t="s">
        <v>1603</v>
      </c>
      <c r="F4075" t="s">
        <v>36</v>
      </c>
      <c r="G4075" s="2" t="s">
        <v>4</v>
      </c>
      <c r="H4075" s="1">
        <v>63.494</v>
      </c>
    </row>
    <row r="4076" spans="1:8" x14ac:dyDescent="0.3">
      <c r="A4076" s="2">
        <v>728</v>
      </c>
      <c r="B4076" t="s">
        <v>1602</v>
      </c>
      <c r="C4076" t="s">
        <v>3219</v>
      </c>
      <c r="D4076" s="2">
        <v>1</v>
      </c>
      <c r="E4076" s="11" t="s">
        <v>109</v>
      </c>
      <c r="F4076" t="s">
        <v>28</v>
      </c>
      <c r="G4076" s="2" t="s">
        <v>4</v>
      </c>
      <c r="H4076" s="1">
        <v>158.89400000000001</v>
      </c>
    </row>
    <row r="4077" spans="1:8" x14ac:dyDescent="0.3">
      <c r="A4077" s="2">
        <v>728</v>
      </c>
      <c r="B4077" t="s">
        <v>1601</v>
      </c>
      <c r="C4077" t="s">
        <v>3224</v>
      </c>
      <c r="D4077" s="2">
        <v>1</v>
      </c>
      <c r="E4077" s="11" t="s">
        <v>819</v>
      </c>
      <c r="F4077" t="s">
        <v>28</v>
      </c>
      <c r="G4077" s="2" t="s">
        <v>4</v>
      </c>
      <c r="H4077" s="1">
        <v>79.394000000000005</v>
      </c>
    </row>
    <row r="4078" spans="1:8" x14ac:dyDescent="0.3">
      <c r="A4078" s="2">
        <v>728</v>
      </c>
      <c r="B4078" t="s">
        <v>1600</v>
      </c>
      <c r="C4078" t="s">
        <v>3220</v>
      </c>
      <c r="D4078" s="2">
        <v>1</v>
      </c>
      <c r="E4078" s="11" t="s">
        <v>1138</v>
      </c>
      <c r="F4078" t="s">
        <v>28</v>
      </c>
      <c r="G4078" s="2" t="s">
        <v>4</v>
      </c>
      <c r="H4078" s="1">
        <v>68.794000000000011</v>
      </c>
    </row>
    <row r="4079" spans="1:8" x14ac:dyDescent="0.3">
      <c r="A4079" s="2">
        <v>728</v>
      </c>
      <c r="B4079" t="s">
        <v>1222</v>
      </c>
      <c r="C4079" t="s">
        <v>3224</v>
      </c>
      <c r="D4079" s="2">
        <v>1</v>
      </c>
      <c r="E4079" s="11" t="s">
        <v>970</v>
      </c>
      <c r="F4079" t="s">
        <v>28</v>
      </c>
      <c r="G4079" s="2" t="s">
        <v>4</v>
      </c>
      <c r="H4079" s="1">
        <v>100.59400000000001</v>
      </c>
    </row>
    <row r="4080" spans="1:8" x14ac:dyDescent="0.3">
      <c r="A4080" s="2">
        <v>728</v>
      </c>
      <c r="B4080" t="s">
        <v>1434</v>
      </c>
      <c r="C4080" t="s">
        <v>3238</v>
      </c>
      <c r="D4080" s="2">
        <v>1</v>
      </c>
      <c r="E4080" s="11" t="s">
        <v>871</v>
      </c>
      <c r="F4080" t="s">
        <v>28</v>
      </c>
      <c r="G4080" s="2" t="s">
        <v>4</v>
      </c>
      <c r="H4080" s="1">
        <v>68.794000000000011</v>
      </c>
    </row>
    <row r="4081" spans="1:8" x14ac:dyDescent="0.3">
      <c r="A4081" s="2">
        <v>728</v>
      </c>
      <c r="B4081" t="s">
        <v>688</v>
      </c>
      <c r="C4081" t="s">
        <v>3220</v>
      </c>
      <c r="D4081" s="2">
        <v>1</v>
      </c>
      <c r="E4081" s="11" t="s">
        <v>204</v>
      </c>
      <c r="F4081" t="s">
        <v>28</v>
      </c>
      <c r="G4081" s="2" t="s">
        <v>4</v>
      </c>
      <c r="H4081" s="1">
        <v>42.294000000000004</v>
      </c>
    </row>
    <row r="4082" spans="1:8" x14ac:dyDescent="0.3">
      <c r="A4082" s="2">
        <v>728</v>
      </c>
      <c r="B4082" t="s">
        <v>903</v>
      </c>
      <c r="C4082" t="s">
        <v>3220</v>
      </c>
      <c r="D4082" s="2">
        <v>1</v>
      </c>
      <c r="E4082" s="11" t="s">
        <v>637</v>
      </c>
      <c r="F4082" t="s">
        <v>24</v>
      </c>
      <c r="G4082" s="2" t="s">
        <v>4</v>
      </c>
      <c r="H4082" s="1">
        <v>15.793999999999999</v>
      </c>
    </row>
    <row r="4083" spans="1:8" x14ac:dyDescent="0.3">
      <c r="A4083" s="2">
        <v>729</v>
      </c>
      <c r="B4083" t="s">
        <v>873</v>
      </c>
      <c r="C4083" t="s">
        <v>1</v>
      </c>
      <c r="D4083" s="2">
        <v>1</v>
      </c>
      <c r="E4083" s="11" t="s">
        <v>53</v>
      </c>
      <c r="F4083" t="s">
        <v>55</v>
      </c>
      <c r="G4083" s="2" t="s">
        <v>4</v>
      </c>
      <c r="H4083" s="1">
        <v>36.994</v>
      </c>
    </row>
    <row r="4084" spans="1:8" x14ac:dyDescent="0.3">
      <c r="A4084" s="2">
        <v>729</v>
      </c>
      <c r="B4084" t="s">
        <v>755</v>
      </c>
      <c r="C4084" t="s">
        <v>1</v>
      </c>
      <c r="D4084" s="2">
        <v>2</v>
      </c>
      <c r="E4084" s="11" t="s">
        <v>53</v>
      </c>
      <c r="F4084" t="s">
        <v>65</v>
      </c>
      <c r="G4084" s="2" t="s">
        <v>31</v>
      </c>
      <c r="H4084" s="1">
        <v>36.994</v>
      </c>
    </row>
    <row r="4085" spans="1:8" x14ac:dyDescent="0.3">
      <c r="A4085" s="2">
        <v>729</v>
      </c>
      <c r="B4085" t="s">
        <v>754</v>
      </c>
      <c r="C4085" t="s">
        <v>1</v>
      </c>
      <c r="D4085" s="2">
        <v>2</v>
      </c>
      <c r="E4085" s="11" t="s">
        <v>53</v>
      </c>
      <c r="F4085" t="s">
        <v>65</v>
      </c>
      <c r="G4085" s="2" t="s">
        <v>23</v>
      </c>
      <c r="H4085" s="1">
        <v>36.994</v>
      </c>
    </row>
    <row r="4086" spans="1:8" x14ac:dyDescent="0.3">
      <c r="A4086" s="2">
        <v>729</v>
      </c>
      <c r="B4086" t="s">
        <v>784</v>
      </c>
      <c r="C4086" t="s">
        <v>2</v>
      </c>
      <c r="D4086" s="2">
        <v>1</v>
      </c>
      <c r="E4086" s="11" t="s">
        <v>783</v>
      </c>
      <c r="F4086" t="s">
        <v>114</v>
      </c>
      <c r="G4086" s="2" t="s">
        <v>31</v>
      </c>
      <c r="H4086" s="1">
        <v>169.49400000000003</v>
      </c>
    </row>
    <row r="4087" spans="1:8" x14ac:dyDescent="0.3">
      <c r="A4087" s="2">
        <v>729</v>
      </c>
      <c r="B4087" t="s">
        <v>1331</v>
      </c>
      <c r="C4087" t="s">
        <v>2</v>
      </c>
      <c r="D4087" s="2">
        <v>1</v>
      </c>
      <c r="E4087" s="11" t="s">
        <v>783</v>
      </c>
      <c r="F4087" t="s">
        <v>114</v>
      </c>
      <c r="G4087" s="2" t="s">
        <v>23</v>
      </c>
      <c r="H4087" s="1">
        <v>169.49400000000003</v>
      </c>
    </row>
    <row r="4088" spans="1:8" x14ac:dyDescent="0.3">
      <c r="A4088" s="2">
        <v>729</v>
      </c>
      <c r="B4088" t="s">
        <v>1599</v>
      </c>
      <c r="C4088" t="s">
        <v>3219</v>
      </c>
      <c r="D4088" s="2">
        <v>1</v>
      </c>
      <c r="E4088" s="11" t="s">
        <v>673</v>
      </c>
      <c r="F4088" t="s">
        <v>81</v>
      </c>
      <c r="G4088" s="2" t="s">
        <v>203</v>
      </c>
      <c r="H4088" s="1">
        <v>89.994000000000014</v>
      </c>
    </row>
    <row r="4089" spans="1:8" x14ac:dyDescent="0.3">
      <c r="A4089" s="2">
        <v>729</v>
      </c>
      <c r="B4089" t="s">
        <v>1340</v>
      </c>
      <c r="C4089" t="s">
        <v>3219</v>
      </c>
      <c r="D4089" s="2">
        <v>1</v>
      </c>
      <c r="E4089" s="11" t="s">
        <v>673</v>
      </c>
      <c r="F4089" t="s">
        <v>81</v>
      </c>
      <c r="G4089" s="2" t="s">
        <v>31</v>
      </c>
      <c r="H4089" s="1">
        <v>89.994000000000014</v>
      </c>
    </row>
    <row r="4090" spans="1:8" x14ac:dyDescent="0.3">
      <c r="A4090" s="2">
        <v>729</v>
      </c>
      <c r="B4090" t="s">
        <v>1266</v>
      </c>
      <c r="C4090" t="s">
        <v>1</v>
      </c>
      <c r="D4090" s="2">
        <v>1</v>
      </c>
      <c r="E4090" s="11" t="s">
        <v>189</v>
      </c>
      <c r="F4090" t="s">
        <v>62</v>
      </c>
      <c r="G4090" s="2" t="s">
        <v>4</v>
      </c>
      <c r="H4090" s="1">
        <v>63.494000000000007</v>
      </c>
    </row>
    <row r="4091" spans="1:8" x14ac:dyDescent="0.3">
      <c r="A4091" s="2">
        <v>729</v>
      </c>
      <c r="B4091" t="s">
        <v>1598</v>
      </c>
      <c r="C4091" t="s">
        <v>1</v>
      </c>
      <c r="D4091" s="2">
        <v>1</v>
      </c>
      <c r="E4091" s="11" t="s">
        <v>189</v>
      </c>
      <c r="F4091" t="s">
        <v>62</v>
      </c>
      <c r="G4091" s="2" t="s">
        <v>203</v>
      </c>
      <c r="H4091" s="1">
        <v>63.494000000000007</v>
      </c>
    </row>
    <row r="4092" spans="1:8" x14ac:dyDescent="0.3">
      <c r="A4092" s="2">
        <v>729</v>
      </c>
      <c r="B4092" t="s">
        <v>1079</v>
      </c>
      <c r="C4092" t="s">
        <v>1</v>
      </c>
      <c r="D4092" s="2">
        <v>2</v>
      </c>
      <c r="E4092" s="11" t="s">
        <v>189</v>
      </c>
      <c r="F4092" t="s">
        <v>62</v>
      </c>
      <c r="G4092" s="2" t="s">
        <v>31</v>
      </c>
      <c r="H4092" s="1">
        <v>63.494000000000007</v>
      </c>
    </row>
    <row r="4093" spans="1:8" x14ac:dyDescent="0.3">
      <c r="A4093" s="2">
        <v>729</v>
      </c>
      <c r="B4093" t="s">
        <v>1597</v>
      </c>
      <c r="C4093" t="s">
        <v>1</v>
      </c>
      <c r="D4093" s="2">
        <v>3</v>
      </c>
      <c r="E4093" s="11" t="s">
        <v>189</v>
      </c>
      <c r="F4093" t="s">
        <v>62</v>
      </c>
      <c r="G4093" s="2" t="s">
        <v>23</v>
      </c>
      <c r="H4093" s="1">
        <v>63.494000000000007</v>
      </c>
    </row>
    <row r="4094" spans="1:8" x14ac:dyDescent="0.3">
      <c r="A4094" s="2">
        <v>729</v>
      </c>
      <c r="B4094" t="s">
        <v>1415</v>
      </c>
      <c r="C4094" t="s">
        <v>1</v>
      </c>
      <c r="D4094" s="2">
        <v>1</v>
      </c>
      <c r="E4094" s="11" t="s">
        <v>189</v>
      </c>
      <c r="F4094" t="s">
        <v>114</v>
      </c>
      <c r="G4094" s="2" t="s">
        <v>4</v>
      </c>
      <c r="H4094" s="1">
        <v>63.494000000000007</v>
      </c>
    </row>
    <row r="4095" spans="1:8" x14ac:dyDescent="0.3">
      <c r="A4095" s="2">
        <v>729</v>
      </c>
      <c r="B4095" t="s">
        <v>1596</v>
      </c>
      <c r="C4095" t="s">
        <v>1</v>
      </c>
      <c r="D4095" s="2">
        <v>2</v>
      </c>
      <c r="E4095" s="11" t="s">
        <v>189</v>
      </c>
      <c r="F4095" t="s">
        <v>114</v>
      </c>
      <c r="G4095" s="2" t="s">
        <v>23</v>
      </c>
      <c r="H4095" s="1">
        <v>63.494000000000007</v>
      </c>
    </row>
    <row r="4096" spans="1:8" x14ac:dyDescent="0.3">
      <c r="A4096" s="2">
        <v>729</v>
      </c>
      <c r="B4096" t="s">
        <v>613</v>
      </c>
      <c r="C4096" t="s">
        <v>1</v>
      </c>
      <c r="D4096" s="2">
        <v>1</v>
      </c>
      <c r="E4096" s="11" t="s">
        <v>172</v>
      </c>
      <c r="F4096" t="s">
        <v>114</v>
      </c>
      <c r="G4096" s="2" t="s">
        <v>4</v>
      </c>
      <c r="H4096" s="1">
        <v>47.594000000000001</v>
      </c>
    </row>
    <row r="4097" spans="1:8" x14ac:dyDescent="0.3">
      <c r="A4097" s="2">
        <v>729</v>
      </c>
      <c r="B4097" t="s">
        <v>612</v>
      </c>
      <c r="C4097" t="s">
        <v>1</v>
      </c>
      <c r="D4097" s="2">
        <v>1</v>
      </c>
      <c r="E4097" s="11" t="s">
        <v>172</v>
      </c>
      <c r="F4097" t="s">
        <v>114</v>
      </c>
      <c r="G4097" s="2" t="s">
        <v>31</v>
      </c>
      <c r="H4097" s="1">
        <v>47.594000000000001</v>
      </c>
    </row>
    <row r="4098" spans="1:8" x14ac:dyDescent="0.3">
      <c r="A4098" s="2">
        <v>729</v>
      </c>
      <c r="B4098" t="s">
        <v>611</v>
      </c>
      <c r="C4098" t="s">
        <v>1</v>
      </c>
      <c r="D4098" s="2">
        <v>2</v>
      </c>
      <c r="E4098" s="11" t="s">
        <v>172</v>
      </c>
      <c r="F4098" t="s">
        <v>114</v>
      </c>
      <c r="G4098" s="2" t="s">
        <v>23</v>
      </c>
      <c r="H4098" s="1">
        <v>47.594000000000001</v>
      </c>
    </row>
    <row r="4099" spans="1:8" x14ac:dyDescent="0.3">
      <c r="A4099" s="2">
        <v>729</v>
      </c>
      <c r="B4099" t="s">
        <v>1580</v>
      </c>
      <c r="C4099" t="s">
        <v>3219</v>
      </c>
      <c r="D4099" s="2">
        <v>1</v>
      </c>
      <c r="E4099" s="11" t="s">
        <v>102</v>
      </c>
      <c r="F4099" t="s">
        <v>47</v>
      </c>
      <c r="G4099" s="2" t="s">
        <v>31</v>
      </c>
      <c r="H4099" s="1">
        <v>121.79400000000001</v>
      </c>
    </row>
    <row r="4100" spans="1:8" x14ac:dyDescent="0.3">
      <c r="A4100" s="2">
        <v>729</v>
      </c>
      <c r="B4100" t="s">
        <v>1579</v>
      </c>
      <c r="C4100" t="s">
        <v>3219</v>
      </c>
      <c r="D4100" s="2">
        <v>1</v>
      </c>
      <c r="E4100" s="11" t="s">
        <v>102</v>
      </c>
      <c r="F4100" t="s">
        <v>47</v>
      </c>
      <c r="G4100" s="2" t="s">
        <v>23</v>
      </c>
      <c r="H4100" s="1">
        <v>121.79400000000001</v>
      </c>
    </row>
    <row r="4101" spans="1:8" x14ac:dyDescent="0.3">
      <c r="A4101" s="2">
        <v>729</v>
      </c>
      <c r="B4101" t="s">
        <v>736</v>
      </c>
      <c r="C4101" t="s">
        <v>1</v>
      </c>
      <c r="D4101" s="2">
        <v>1</v>
      </c>
      <c r="E4101" s="11" t="s">
        <v>53</v>
      </c>
      <c r="F4101" t="s">
        <v>47</v>
      </c>
      <c r="G4101" s="2" t="s">
        <v>203</v>
      </c>
      <c r="H4101" s="1">
        <v>36.994</v>
      </c>
    </row>
    <row r="4102" spans="1:8" x14ac:dyDescent="0.3">
      <c r="A4102" s="2">
        <v>729</v>
      </c>
      <c r="B4102" t="s">
        <v>1595</v>
      </c>
      <c r="C4102" t="s">
        <v>1</v>
      </c>
      <c r="D4102" s="2">
        <v>2</v>
      </c>
      <c r="E4102" s="11" t="s">
        <v>53</v>
      </c>
      <c r="F4102" t="s">
        <v>47</v>
      </c>
      <c r="G4102" s="2" t="s">
        <v>31</v>
      </c>
      <c r="H4102" s="1">
        <v>36.994</v>
      </c>
    </row>
    <row r="4103" spans="1:8" x14ac:dyDescent="0.3">
      <c r="A4103" s="2">
        <v>729</v>
      </c>
      <c r="B4103" t="s">
        <v>288</v>
      </c>
      <c r="C4103" t="s">
        <v>1</v>
      </c>
      <c r="D4103" s="2">
        <v>2</v>
      </c>
      <c r="E4103" s="11" t="s">
        <v>53</v>
      </c>
      <c r="F4103" t="s">
        <v>47</v>
      </c>
      <c r="G4103" s="2" t="s">
        <v>23</v>
      </c>
      <c r="H4103" s="1">
        <v>36.994</v>
      </c>
    </row>
    <row r="4104" spans="1:8" x14ac:dyDescent="0.3">
      <c r="A4104" s="2">
        <v>729</v>
      </c>
      <c r="B4104" t="s">
        <v>1382</v>
      </c>
      <c r="C4104" t="s">
        <v>3219</v>
      </c>
      <c r="D4104" s="2">
        <v>1</v>
      </c>
      <c r="E4104" s="11" t="s">
        <v>673</v>
      </c>
      <c r="F4104" t="s">
        <v>47</v>
      </c>
      <c r="G4104" s="2" t="s">
        <v>4</v>
      </c>
      <c r="H4104" s="1">
        <v>89.994000000000014</v>
      </c>
    </row>
    <row r="4105" spans="1:8" x14ac:dyDescent="0.3">
      <c r="A4105" s="2">
        <v>729</v>
      </c>
      <c r="B4105" t="s">
        <v>1126</v>
      </c>
      <c r="C4105" t="s">
        <v>3219</v>
      </c>
      <c r="D4105" s="2">
        <v>1</v>
      </c>
      <c r="E4105" s="11" t="s">
        <v>673</v>
      </c>
      <c r="F4105" t="s">
        <v>47</v>
      </c>
      <c r="G4105" s="2" t="s">
        <v>203</v>
      </c>
      <c r="H4105" s="1">
        <v>89.994000000000014</v>
      </c>
    </row>
    <row r="4106" spans="1:8" x14ac:dyDescent="0.3">
      <c r="A4106" s="2">
        <v>729</v>
      </c>
      <c r="B4106" t="s">
        <v>1594</v>
      </c>
      <c r="C4106" t="s">
        <v>1</v>
      </c>
      <c r="D4106" s="2">
        <v>1</v>
      </c>
      <c r="E4106" s="11" t="s">
        <v>53</v>
      </c>
      <c r="F4106" t="s">
        <v>39</v>
      </c>
      <c r="G4106" s="2" t="s">
        <v>203</v>
      </c>
      <c r="H4106" s="1">
        <v>36.994</v>
      </c>
    </row>
    <row r="4107" spans="1:8" x14ac:dyDescent="0.3">
      <c r="A4107" s="2">
        <v>729</v>
      </c>
      <c r="B4107" t="s">
        <v>1282</v>
      </c>
      <c r="C4107" t="s">
        <v>3233</v>
      </c>
      <c r="D4107" s="2">
        <v>1</v>
      </c>
      <c r="E4107" s="11" t="s">
        <v>1278</v>
      </c>
      <c r="F4107" t="s">
        <v>39</v>
      </c>
      <c r="G4107" s="2" t="s">
        <v>4</v>
      </c>
      <c r="H4107" s="1">
        <v>100.59400000000001</v>
      </c>
    </row>
    <row r="4108" spans="1:8" x14ac:dyDescent="0.3">
      <c r="A4108" s="2">
        <v>729</v>
      </c>
      <c r="B4108" t="s">
        <v>1280</v>
      </c>
      <c r="C4108" t="s">
        <v>3224</v>
      </c>
      <c r="D4108" s="2">
        <v>2</v>
      </c>
      <c r="E4108" s="11" t="s">
        <v>656</v>
      </c>
      <c r="F4108" t="s">
        <v>39</v>
      </c>
      <c r="G4108" s="2" t="s">
        <v>4</v>
      </c>
      <c r="H4108" s="1">
        <v>74.094000000000008</v>
      </c>
    </row>
    <row r="4109" spans="1:8" x14ac:dyDescent="0.3">
      <c r="A4109" s="2">
        <v>729</v>
      </c>
      <c r="B4109" t="s">
        <v>1418</v>
      </c>
      <c r="C4109" t="s">
        <v>3224</v>
      </c>
      <c r="D4109" s="2">
        <v>2</v>
      </c>
      <c r="E4109" s="11" t="s">
        <v>656</v>
      </c>
      <c r="F4109" t="s">
        <v>39</v>
      </c>
      <c r="G4109" s="2" t="s">
        <v>31</v>
      </c>
      <c r="H4109" s="1">
        <v>74.094000000000008</v>
      </c>
    </row>
    <row r="4110" spans="1:8" x14ac:dyDescent="0.3">
      <c r="A4110" s="2">
        <v>729</v>
      </c>
      <c r="B4110" t="s">
        <v>1593</v>
      </c>
      <c r="C4110" t="s">
        <v>3224</v>
      </c>
      <c r="D4110" s="2">
        <v>5</v>
      </c>
      <c r="E4110" s="11" t="s">
        <v>656</v>
      </c>
      <c r="F4110" t="s">
        <v>39</v>
      </c>
      <c r="G4110" s="2" t="s">
        <v>23</v>
      </c>
      <c r="H4110" s="1">
        <v>74.094000000000008</v>
      </c>
    </row>
    <row r="4111" spans="1:8" x14ac:dyDescent="0.3">
      <c r="A4111" s="2">
        <v>729</v>
      </c>
      <c r="B4111" t="s">
        <v>1028</v>
      </c>
      <c r="C4111" t="s">
        <v>1</v>
      </c>
      <c r="D4111" s="2">
        <v>1</v>
      </c>
      <c r="E4111" s="11" t="s">
        <v>53</v>
      </c>
      <c r="F4111" t="s">
        <v>36</v>
      </c>
      <c r="G4111" s="2" t="s">
        <v>203</v>
      </c>
      <c r="H4111" s="1">
        <v>36.994</v>
      </c>
    </row>
    <row r="4112" spans="1:8" x14ac:dyDescent="0.3">
      <c r="A4112" s="2">
        <v>729</v>
      </c>
      <c r="B4112" t="s">
        <v>1136</v>
      </c>
      <c r="C4112" t="s">
        <v>1</v>
      </c>
      <c r="D4112" s="2">
        <v>1</v>
      </c>
      <c r="E4112" s="11" t="s">
        <v>53</v>
      </c>
      <c r="F4112" t="s">
        <v>36</v>
      </c>
      <c r="G4112" s="2" t="s">
        <v>31</v>
      </c>
      <c r="H4112" s="1">
        <v>36.994</v>
      </c>
    </row>
    <row r="4113" spans="1:8" x14ac:dyDescent="0.3">
      <c r="A4113" s="2">
        <v>729</v>
      </c>
      <c r="B4113" t="s">
        <v>1279</v>
      </c>
      <c r="C4113" t="s">
        <v>3233</v>
      </c>
      <c r="D4113" s="2">
        <v>1</v>
      </c>
      <c r="E4113" s="11" t="s">
        <v>1278</v>
      </c>
      <c r="F4113" t="s">
        <v>36</v>
      </c>
      <c r="G4113" s="2" t="s">
        <v>31</v>
      </c>
      <c r="H4113" s="1">
        <v>100.59400000000001</v>
      </c>
    </row>
    <row r="4114" spans="1:8" x14ac:dyDescent="0.3">
      <c r="A4114" s="2">
        <v>729</v>
      </c>
      <c r="B4114" t="s">
        <v>1442</v>
      </c>
      <c r="C4114" t="s">
        <v>3233</v>
      </c>
      <c r="D4114" s="2">
        <v>2</v>
      </c>
      <c r="E4114" s="11" t="s">
        <v>1278</v>
      </c>
      <c r="F4114" t="s">
        <v>36</v>
      </c>
      <c r="G4114" s="2" t="s">
        <v>23</v>
      </c>
      <c r="H4114" s="1">
        <v>100.59400000000001</v>
      </c>
    </row>
    <row r="4115" spans="1:8" x14ac:dyDescent="0.3">
      <c r="A4115" s="2">
        <v>729</v>
      </c>
      <c r="B4115" t="s">
        <v>1558</v>
      </c>
      <c r="C4115" t="s">
        <v>1</v>
      </c>
      <c r="D4115" s="2">
        <v>1</v>
      </c>
      <c r="E4115" s="11" t="s">
        <v>172</v>
      </c>
      <c r="F4115" t="s">
        <v>36</v>
      </c>
      <c r="G4115" s="2" t="s">
        <v>4</v>
      </c>
      <c r="H4115" s="1">
        <v>47.594000000000001</v>
      </c>
    </row>
    <row r="4116" spans="1:8" x14ac:dyDescent="0.3">
      <c r="A4116" s="2">
        <v>729</v>
      </c>
      <c r="B4116" t="s">
        <v>443</v>
      </c>
      <c r="C4116" t="s">
        <v>1</v>
      </c>
      <c r="D4116" s="2">
        <v>2</v>
      </c>
      <c r="E4116" s="11" t="s">
        <v>172</v>
      </c>
      <c r="F4116" t="s">
        <v>36</v>
      </c>
      <c r="G4116" s="2" t="s">
        <v>31</v>
      </c>
      <c r="H4116" s="1">
        <v>47.594000000000001</v>
      </c>
    </row>
    <row r="4117" spans="1:8" x14ac:dyDescent="0.3">
      <c r="A4117" s="2">
        <v>729</v>
      </c>
      <c r="B4117" t="s">
        <v>188</v>
      </c>
      <c r="C4117" t="s">
        <v>1</v>
      </c>
      <c r="D4117" s="2">
        <v>3</v>
      </c>
      <c r="E4117" s="11" t="s">
        <v>172</v>
      </c>
      <c r="F4117" t="s">
        <v>36</v>
      </c>
      <c r="G4117" s="2" t="s">
        <v>23</v>
      </c>
      <c r="H4117" s="1">
        <v>47.594000000000001</v>
      </c>
    </row>
    <row r="4118" spans="1:8" x14ac:dyDescent="0.3">
      <c r="A4118" s="2">
        <v>729</v>
      </c>
      <c r="B4118" t="s">
        <v>1592</v>
      </c>
      <c r="C4118" t="s">
        <v>1</v>
      </c>
      <c r="D4118" s="2">
        <v>1</v>
      </c>
      <c r="E4118" s="11" t="s">
        <v>53</v>
      </c>
      <c r="F4118" t="s">
        <v>28</v>
      </c>
      <c r="G4118" s="2" t="s">
        <v>203</v>
      </c>
      <c r="H4118" s="1">
        <v>36.994</v>
      </c>
    </row>
    <row r="4119" spans="1:8" x14ac:dyDescent="0.3">
      <c r="A4119" s="2">
        <v>729</v>
      </c>
      <c r="B4119" t="s">
        <v>1272</v>
      </c>
      <c r="C4119" t="s">
        <v>1</v>
      </c>
      <c r="D4119" s="2">
        <v>1</v>
      </c>
      <c r="E4119" s="11" t="s">
        <v>53</v>
      </c>
      <c r="F4119" t="s">
        <v>28</v>
      </c>
      <c r="G4119" s="2" t="s">
        <v>31</v>
      </c>
      <c r="H4119" s="1">
        <v>36.994</v>
      </c>
    </row>
    <row r="4120" spans="1:8" x14ac:dyDescent="0.3">
      <c r="A4120" s="2">
        <v>729</v>
      </c>
      <c r="B4120" t="s">
        <v>742</v>
      </c>
      <c r="C4120" t="s">
        <v>1</v>
      </c>
      <c r="D4120" s="2">
        <v>1</v>
      </c>
      <c r="E4120" s="11" t="s">
        <v>53</v>
      </c>
      <c r="F4120" t="s">
        <v>28</v>
      </c>
      <c r="G4120" s="2" t="s">
        <v>23</v>
      </c>
      <c r="H4120" s="1">
        <v>36.994</v>
      </c>
    </row>
    <row r="4121" spans="1:8" x14ac:dyDescent="0.3">
      <c r="A4121" s="2">
        <v>729</v>
      </c>
      <c r="B4121" t="s">
        <v>875</v>
      </c>
      <c r="C4121" t="s">
        <v>1</v>
      </c>
      <c r="D4121" s="2">
        <v>2</v>
      </c>
      <c r="E4121" s="11" t="s">
        <v>189</v>
      </c>
      <c r="F4121" t="s">
        <v>28</v>
      </c>
      <c r="G4121" s="2" t="s">
        <v>23</v>
      </c>
      <c r="H4121" s="1">
        <v>63.494000000000007</v>
      </c>
    </row>
    <row r="4122" spans="1:8" x14ac:dyDescent="0.3">
      <c r="A4122" s="2">
        <v>729</v>
      </c>
      <c r="B4122" t="s">
        <v>874</v>
      </c>
      <c r="C4122" t="s">
        <v>3224</v>
      </c>
      <c r="D4122" s="2">
        <v>1</v>
      </c>
      <c r="E4122" s="11" t="s">
        <v>656</v>
      </c>
      <c r="F4122" t="s">
        <v>28</v>
      </c>
      <c r="G4122" s="2" t="s">
        <v>4</v>
      </c>
      <c r="H4122" s="1">
        <v>74.094000000000008</v>
      </c>
    </row>
    <row r="4123" spans="1:8" x14ac:dyDescent="0.3">
      <c r="A4123" s="2">
        <v>729</v>
      </c>
      <c r="B4123" t="s">
        <v>1332</v>
      </c>
      <c r="C4123" t="s">
        <v>3224</v>
      </c>
      <c r="D4123" s="2">
        <v>2</v>
      </c>
      <c r="E4123" s="11" t="s">
        <v>656</v>
      </c>
      <c r="F4123" t="s">
        <v>28</v>
      </c>
      <c r="G4123" s="2" t="s">
        <v>31</v>
      </c>
      <c r="H4123" s="1">
        <v>74.094000000000008</v>
      </c>
    </row>
    <row r="4124" spans="1:8" x14ac:dyDescent="0.3">
      <c r="A4124" s="2">
        <v>729</v>
      </c>
      <c r="B4124" t="s">
        <v>1591</v>
      </c>
      <c r="C4124" t="s">
        <v>3224</v>
      </c>
      <c r="D4124" s="2">
        <v>5</v>
      </c>
      <c r="E4124" s="11" t="s">
        <v>656</v>
      </c>
      <c r="F4124" t="s">
        <v>28</v>
      </c>
      <c r="G4124" s="2" t="s">
        <v>23</v>
      </c>
      <c r="H4124" s="1">
        <v>74.094000000000008</v>
      </c>
    </row>
    <row r="4125" spans="1:8" x14ac:dyDescent="0.3">
      <c r="A4125" s="2">
        <v>730</v>
      </c>
      <c r="B4125" t="s">
        <v>1590</v>
      </c>
      <c r="C4125" t="s">
        <v>0</v>
      </c>
      <c r="D4125" s="2">
        <v>1</v>
      </c>
      <c r="E4125" s="11" t="s">
        <v>1584</v>
      </c>
      <c r="F4125" t="s">
        <v>126</v>
      </c>
      <c r="G4125" s="2" t="s">
        <v>31</v>
      </c>
      <c r="H4125" s="1">
        <v>169.49400000000003</v>
      </c>
    </row>
    <row r="4126" spans="1:8" x14ac:dyDescent="0.3">
      <c r="A4126" s="2">
        <v>730</v>
      </c>
      <c r="B4126" t="s">
        <v>745</v>
      </c>
      <c r="C4126" t="s">
        <v>2</v>
      </c>
      <c r="D4126" s="2">
        <v>1</v>
      </c>
      <c r="E4126" s="11" t="s">
        <v>51</v>
      </c>
      <c r="F4126" t="s">
        <v>81</v>
      </c>
      <c r="G4126" s="2" t="s">
        <v>31</v>
      </c>
      <c r="H4126" s="1">
        <v>111.19400000000002</v>
      </c>
    </row>
    <row r="4127" spans="1:8" x14ac:dyDescent="0.3">
      <c r="A4127" s="2">
        <v>730</v>
      </c>
      <c r="B4127" t="s">
        <v>1589</v>
      </c>
      <c r="C4127" t="s">
        <v>3</v>
      </c>
      <c r="D4127" s="2">
        <v>1</v>
      </c>
      <c r="E4127" s="11" t="s">
        <v>1356</v>
      </c>
      <c r="F4127" t="s">
        <v>114</v>
      </c>
      <c r="G4127" s="2" t="s">
        <v>31</v>
      </c>
      <c r="H4127" s="1">
        <v>111.19400000000002</v>
      </c>
    </row>
    <row r="4128" spans="1:8" x14ac:dyDescent="0.3">
      <c r="A4128" s="2">
        <v>730</v>
      </c>
      <c r="B4128" t="s">
        <v>1588</v>
      </c>
      <c r="C4128" t="s">
        <v>3</v>
      </c>
      <c r="D4128" s="2">
        <v>2</v>
      </c>
      <c r="E4128" s="11" t="s">
        <v>1195</v>
      </c>
      <c r="F4128" t="s">
        <v>114</v>
      </c>
      <c r="G4128" s="2" t="s">
        <v>31</v>
      </c>
      <c r="H4128" s="1">
        <v>116.49400000000001</v>
      </c>
    </row>
    <row r="4129" spans="1:8" x14ac:dyDescent="0.3">
      <c r="A4129" s="2">
        <v>730</v>
      </c>
      <c r="B4129" t="s">
        <v>1043</v>
      </c>
      <c r="C4129" t="s">
        <v>3219</v>
      </c>
      <c r="D4129" s="2">
        <v>1</v>
      </c>
      <c r="E4129" s="11" t="s">
        <v>102</v>
      </c>
      <c r="F4129" t="s">
        <v>47</v>
      </c>
      <c r="G4129" s="2" t="s">
        <v>4</v>
      </c>
      <c r="H4129" s="1">
        <v>121.79400000000001</v>
      </c>
    </row>
    <row r="4130" spans="1:8" x14ac:dyDescent="0.3">
      <c r="A4130" s="2">
        <v>730</v>
      </c>
      <c r="B4130" t="s">
        <v>384</v>
      </c>
      <c r="C4130" t="s">
        <v>3221</v>
      </c>
      <c r="D4130" s="2">
        <v>1</v>
      </c>
      <c r="E4130" s="11" t="s">
        <v>383</v>
      </c>
      <c r="F4130" t="s">
        <v>47</v>
      </c>
      <c r="G4130" s="2" t="s">
        <v>4</v>
      </c>
      <c r="H4130" s="1">
        <v>164.19400000000002</v>
      </c>
    </row>
    <row r="4131" spans="1:8" x14ac:dyDescent="0.3">
      <c r="A4131" s="2">
        <v>730</v>
      </c>
      <c r="B4131" t="s">
        <v>1587</v>
      </c>
      <c r="C4131" t="s">
        <v>3225</v>
      </c>
      <c r="D4131" s="2">
        <v>1</v>
      </c>
      <c r="E4131" s="11" t="s">
        <v>491</v>
      </c>
      <c r="F4131" t="s">
        <v>47</v>
      </c>
      <c r="G4131" s="2" t="s">
        <v>4</v>
      </c>
      <c r="H4131" s="1">
        <v>164.19400000000002</v>
      </c>
    </row>
    <row r="4132" spans="1:8" x14ac:dyDescent="0.3">
      <c r="A4132" s="2">
        <v>730</v>
      </c>
      <c r="B4132" t="s">
        <v>1563</v>
      </c>
      <c r="C4132" t="s">
        <v>3225</v>
      </c>
      <c r="D4132" s="2">
        <v>1</v>
      </c>
      <c r="E4132" s="11" t="s">
        <v>1038</v>
      </c>
      <c r="F4132" t="s">
        <v>47</v>
      </c>
      <c r="G4132" s="2" t="s">
        <v>23</v>
      </c>
      <c r="H4132" s="1">
        <v>180.09400000000002</v>
      </c>
    </row>
    <row r="4133" spans="1:8" x14ac:dyDescent="0.3">
      <c r="A4133" s="2">
        <v>730</v>
      </c>
      <c r="B4133" t="s">
        <v>159</v>
      </c>
      <c r="C4133" t="s">
        <v>3220</v>
      </c>
      <c r="D4133" s="2">
        <v>1</v>
      </c>
      <c r="E4133" s="11" t="s">
        <v>146</v>
      </c>
      <c r="F4133" t="s">
        <v>47</v>
      </c>
      <c r="G4133" s="2" t="s">
        <v>23</v>
      </c>
      <c r="H4133" s="1">
        <v>36.994</v>
      </c>
    </row>
    <row r="4134" spans="1:8" x14ac:dyDescent="0.3">
      <c r="A4134" s="2">
        <v>730</v>
      </c>
      <c r="B4134" t="s">
        <v>983</v>
      </c>
      <c r="C4134" t="s">
        <v>3224</v>
      </c>
      <c r="D4134" s="2">
        <v>1</v>
      </c>
      <c r="E4134" s="11" t="s">
        <v>193</v>
      </c>
      <c r="F4134" t="s">
        <v>39</v>
      </c>
      <c r="G4134" s="2" t="s">
        <v>31</v>
      </c>
      <c r="H4134" s="1">
        <v>100.59400000000001</v>
      </c>
    </row>
    <row r="4135" spans="1:8" x14ac:dyDescent="0.3">
      <c r="A4135" s="2">
        <v>730</v>
      </c>
      <c r="B4135" t="s">
        <v>1581</v>
      </c>
      <c r="C4135" t="s">
        <v>3225</v>
      </c>
      <c r="D4135" s="2">
        <v>1</v>
      </c>
      <c r="E4135" s="11" t="s">
        <v>1038</v>
      </c>
      <c r="F4135" t="s">
        <v>39</v>
      </c>
      <c r="G4135" s="2" t="s">
        <v>31</v>
      </c>
      <c r="H4135" s="1">
        <v>180.09400000000002</v>
      </c>
    </row>
    <row r="4136" spans="1:8" x14ac:dyDescent="0.3">
      <c r="A4136" s="2">
        <v>730</v>
      </c>
      <c r="B4136" t="s">
        <v>521</v>
      </c>
      <c r="C4136" t="s">
        <v>3224</v>
      </c>
      <c r="D4136" s="2">
        <v>1</v>
      </c>
      <c r="E4136" s="11" t="s">
        <v>520</v>
      </c>
      <c r="F4136" t="s">
        <v>24</v>
      </c>
      <c r="G4136" s="2" t="s">
        <v>4</v>
      </c>
      <c r="H4136" s="1">
        <v>68.794000000000011</v>
      </c>
    </row>
    <row r="4137" spans="1:8" x14ac:dyDescent="0.3">
      <c r="A4137" s="2">
        <v>731</v>
      </c>
      <c r="B4137" t="s">
        <v>1432</v>
      </c>
      <c r="C4137" t="s">
        <v>3225</v>
      </c>
      <c r="D4137" s="2">
        <v>1</v>
      </c>
      <c r="E4137" s="11" t="s">
        <v>831</v>
      </c>
      <c r="F4137" t="s">
        <v>62</v>
      </c>
      <c r="G4137" s="2" t="s">
        <v>23</v>
      </c>
      <c r="H4137" s="1">
        <v>190.69400000000002</v>
      </c>
    </row>
    <row r="4138" spans="1:8" x14ac:dyDescent="0.3">
      <c r="A4138" s="2">
        <v>731</v>
      </c>
      <c r="B4138" t="s">
        <v>1586</v>
      </c>
      <c r="C4138" t="s">
        <v>3225</v>
      </c>
      <c r="D4138" s="2">
        <v>2</v>
      </c>
      <c r="E4138" s="11" t="s">
        <v>932</v>
      </c>
      <c r="F4138" t="s">
        <v>47</v>
      </c>
      <c r="G4138" s="2" t="s">
        <v>23</v>
      </c>
      <c r="H4138" s="1">
        <v>174.79400000000001</v>
      </c>
    </row>
    <row r="4139" spans="1:8" x14ac:dyDescent="0.3">
      <c r="A4139" s="2">
        <v>731</v>
      </c>
      <c r="B4139" t="s">
        <v>1585</v>
      </c>
      <c r="C4139" t="s">
        <v>0</v>
      </c>
      <c r="D4139" s="2">
        <v>1</v>
      </c>
      <c r="E4139" s="11" t="s">
        <v>1584</v>
      </c>
      <c r="F4139" t="s">
        <v>39</v>
      </c>
      <c r="G4139" s="2" t="s">
        <v>31</v>
      </c>
      <c r="H4139" s="1">
        <v>169.49400000000003</v>
      </c>
    </row>
    <row r="4140" spans="1:8" x14ac:dyDescent="0.3">
      <c r="A4140" s="2">
        <v>731</v>
      </c>
      <c r="B4140" t="s">
        <v>1552</v>
      </c>
      <c r="C4140" t="s">
        <v>0</v>
      </c>
      <c r="D4140" s="2">
        <v>1</v>
      </c>
      <c r="E4140" s="11" t="s">
        <v>1551</v>
      </c>
      <c r="F4140" t="s">
        <v>39</v>
      </c>
      <c r="G4140" s="2" t="s">
        <v>4</v>
      </c>
      <c r="H4140" s="1">
        <v>121.79400000000001</v>
      </c>
    </row>
    <row r="4141" spans="1:8" x14ac:dyDescent="0.3">
      <c r="A4141" s="2">
        <v>731</v>
      </c>
      <c r="B4141" t="s">
        <v>1583</v>
      </c>
      <c r="C4141" t="s">
        <v>0</v>
      </c>
      <c r="D4141" s="2">
        <v>1</v>
      </c>
      <c r="E4141" s="11" t="s">
        <v>336</v>
      </c>
      <c r="F4141" t="s">
        <v>39</v>
      </c>
      <c r="G4141" s="2" t="s">
        <v>31</v>
      </c>
      <c r="H4141" s="1">
        <v>201.29400000000001</v>
      </c>
    </row>
    <row r="4142" spans="1:8" x14ac:dyDescent="0.3">
      <c r="A4142" s="2">
        <v>731</v>
      </c>
      <c r="B4142" t="s">
        <v>1582</v>
      </c>
      <c r="C4142" t="s">
        <v>0</v>
      </c>
      <c r="D4142" s="2">
        <v>1</v>
      </c>
      <c r="E4142" s="11" t="s">
        <v>1211</v>
      </c>
      <c r="F4142" t="s">
        <v>39</v>
      </c>
      <c r="G4142" s="2" t="s">
        <v>23</v>
      </c>
      <c r="H4142" s="1">
        <v>144.29</v>
      </c>
    </row>
    <row r="4143" spans="1:8" x14ac:dyDescent="0.3">
      <c r="A4143" s="2">
        <v>731</v>
      </c>
      <c r="B4143" t="s">
        <v>466</v>
      </c>
      <c r="C4143" t="s">
        <v>0</v>
      </c>
      <c r="D4143" s="2">
        <v>1</v>
      </c>
      <c r="E4143" s="11" t="s">
        <v>261</v>
      </c>
      <c r="F4143" t="s">
        <v>39</v>
      </c>
      <c r="G4143" s="2" t="s">
        <v>23</v>
      </c>
      <c r="H4143" s="1">
        <v>173.79400000000001</v>
      </c>
    </row>
    <row r="4144" spans="1:8" x14ac:dyDescent="0.3">
      <c r="A4144" s="2">
        <v>731</v>
      </c>
      <c r="B4144" t="s">
        <v>1358</v>
      </c>
      <c r="C4144" t="s">
        <v>0</v>
      </c>
      <c r="D4144" s="2">
        <v>1</v>
      </c>
      <c r="E4144" s="11" t="s">
        <v>1106</v>
      </c>
      <c r="F4144" t="s">
        <v>39</v>
      </c>
      <c r="G4144" s="2" t="s">
        <v>4</v>
      </c>
      <c r="H4144" s="1">
        <v>185.39400000000001</v>
      </c>
    </row>
    <row r="4145" spans="1:8" x14ac:dyDescent="0.3">
      <c r="A4145" s="2">
        <v>731</v>
      </c>
      <c r="B4145" t="s">
        <v>1581</v>
      </c>
      <c r="C4145" t="s">
        <v>3225</v>
      </c>
      <c r="D4145" s="2">
        <v>1</v>
      </c>
      <c r="E4145" s="11" t="s">
        <v>1038</v>
      </c>
      <c r="F4145" t="s">
        <v>39</v>
      </c>
      <c r="G4145" s="2" t="s">
        <v>31</v>
      </c>
      <c r="H4145" s="1">
        <v>180.09400000000002</v>
      </c>
    </row>
    <row r="4146" spans="1:8" x14ac:dyDescent="0.3">
      <c r="A4146" s="2">
        <v>731</v>
      </c>
      <c r="B4146" t="s">
        <v>508</v>
      </c>
      <c r="C4146" t="s">
        <v>0</v>
      </c>
      <c r="D4146" s="2">
        <v>1</v>
      </c>
      <c r="E4146" s="11" t="s">
        <v>310</v>
      </c>
      <c r="F4146" t="s">
        <v>39</v>
      </c>
      <c r="G4146" s="2" t="s">
        <v>23</v>
      </c>
      <c r="H4146" s="1">
        <v>153.59400000000002</v>
      </c>
    </row>
    <row r="4147" spans="1:8" x14ac:dyDescent="0.3">
      <c r="A4147" s="2">
        <v>731</v>
      </c>
      <c r="B4147" t="s">
        <v>1236</v>
      </c>
      <c r="C4147" t="s">
        <v>0</v>
      </c>
      <c r="D4147" s="2">
        <v>1</v>
      </c>
      <c r="E4147" s="11" t="s">
        <v>549</v>
      </c>
      <c r="F4147" t="s">
        <v>39</v>
      </c>
      <c r="G4147" s="2" t="s">
        <v>31</v>
      </c>
      <c r="H4147" s="1">
        <v>164.19400000000002</v>
      </c>
    </row>
    <row r="4148" spans="1:8" x14ac:dyDescent="0.3">
      <c r="A4148" s="2">
        <v>731</v>
      </c>
      <c r="B4148" t="s">
        <v>1146</v>
      </c>
      <c r="C4148" t="s">
        <v>3224</v>
      </c>
      <c r="D4148" s="2">
        <v>1</v>
      </c>
      <c r="E4148" s="11" t="s">
        <v>1145</v>
      </c>
      <c r="F4148" t="s">
        <v>28</v>
      </c>
      <c r="G4148" s="2" t="s">
        <v>23</v>
      </c>
      <c r="H4148" s="1">
        <v>121.79400000000001</v>
      </c>
    </row>
    <row r="4149" spans="1:8" x14ac:dyDescent="0.3">
      <c r="A4149" s="2">
        <v>731</v>
      </c>
      <c r="B4149" t="s">
        <v>1134</v>
      </c>
      <c r="C4149" t="s">
        <v>3</v>
      </c>
      <c r="D4149" s="2">
        <v>1</v>
      </c>
      <c r="E4149" s="11" t="s">
        <v>1133</v>
      </c>
      <c r="F4149" t="s">
        <v>28</v>
      </c>
      <c r="G4149" s="2" t="s">
        <v>23</v>
      </c>
      <c r="H4149" s="1">
        <v>74.094000000000008</v>
      </c>
    </row>
    <row r="4150" spans="1:8" x14ac:dyDescent="0.3">
      <c r="A4150" s="2">
        <v>731</v>
      </c>
      <c r="B4150" t="s">
        <v>1168</v>
      </c>
      <c r="C4150" t="s">
        <v>3220</v>
      </c>
      <c r="D4150" s="2">
        <v>1</v>
      </c>
      <c r="E4150" s="11" t="s">
        <v>700</v>
      </c>
      <c r="F4150" t="s">
        <v>24</v>
      </c>
      <c r="G4150" s="2" t="s">
        <v>23</v>
      </c>
      <c r="H4150" s="1">
        <v>15.793999999999999</v>
      </c>
    </row>
    <row r="4151" spans="1:8" x14ac:dyDescent="0.3">
      <c r="A4151" s="2">
        <v>731</v>
      </c>
      <c r="B4151" t="s">
        <v>1256</v>
      </c>
      <c r="C4151" t="s">
        <v>3224</v>
      </c>
      <c r="D4151" s="2">
        <v>1</v>
      </c>
      <c r="E4151" s="11" t="s">
        <v>520</v>
      </c>
      <c r="F4151" t="s">
        <v>24</v>
      </c>
      <c r="G4151" s="2" t="s">
        <v>23</v>
      </c>
      <c r="H4151" s="1">
        <v>68.794000000000011</v>
      </c>
    </row>
    <row r="4152" spans="1:8" x14ac:dyDescent="0.3">
      <c r="A4152" s="2">
        <v>731</v>
      </c>
      <c r="B4152" t="s">
        <v>1167</v>
      </c>
      <c r="C4152" t="s">
        <v>3</v>
      </c>
      <c r="D4152" s="2">
        <v>1</v>
      </c>
      <c r="E4152" s="11" t="s">
        <v>450</v>
      </c>
      <c r="F4152" t="s">
        <v>24</v>
      </c>
      <c r="G4152" s="2" t="s">
        <v>23</v>
      </c>
      <c r="H4152" s="1">
        <v>68.794000000000011</v>
      </c>
    </row>
    <row r="4153" spans="1:8" x14ac:dyDescent="0.3">
      <c r="A4153" s="2">
        <v>732</v>
      </c>
      <c r="B4153" t="s">
        <v>1127</v>
      </c>
      <c r="C4153" t="s">
        <v>3219</v>
      </c>
      <c r="D4153" s="2">
        <v>1</v>
      </c>
      <c r="E4153" s="11" t="s">
        <v>102</v>
      </c>
      <c r="F4153" t="s">
        <v>55</v>
      </c>
      <c r="G4153" s="2" t="s">
        <v>31</v>
      </c>
      <c r="H4153" s="1">
        <v>121.79400000000001</v>
      </c>
    </row>
    <row r="4154" spans="1:8" x14ac:dyDescent="0.3">
      <c r="A4154" s="2">
        <v>732</v>
      </c>
      <c r="B4154" t="s">
        <v>369</v>
      </c>
      <c r="C4154" t="s">
        <v>3219</v>
      </c>
      <c r="D4154" s="2">
        <v>1</v>
      </c>
      <c r="E4154" s="11" t="s">
        <v>102</v>
      </c>
      <c r="F4154" t="s">
        <v>65</v>
      </c>
      <c r="G4154" s="2" t="s">
        <v>31</v>
      </c>
      <c r="H4154" s="1">
        <v>121.79400000000001</v>
      </c>
    </row>
    <row r="4155" spans="1:8" x14ac:dyDescent="0.3">
      <c r="A4155" s="2">
        <v>732</v>
      </c>
      <c r="B4155" t="s">
        <v>1242</v>
      </c>
      <c r="C4155" t="s">
        <v>1</v>
      </c>
      <c r="D4155" s="2">
        <v>1</v>
      </c>
      <c r="E4155" s="11" t="s">
        <v>1241</v>
      </c>
      <c r="F4155" t="s">
        <v>65</v>
      </c>
      <c r="G4155" s="2" t="s">
        <v>31</v>
      </c>
      <c r="H4155" s="1">
        <v>74.094000000000008</v>
      </c>
    </row>
    <row r="4156" spans="1:8" x14ac:dyDescent="0.3">
      <c r="A4156" s="2">
        <v>732</v>
      </c>
      <c r="B4156" t="s">
        <v>781</v>
      </c>
      <c r="C4156" t="s">
        <v>2</v>
      </c>
      <c r="D4156" s="2">
        <v>1</v>
      </c>
      <c r="E4156" s="11" t="s">
        <v>780</v>
      </c>
      <c r="F4156" t="s">
        <v>114</v>
      </c>
      <c r="G4156" s="2" t="s">
        <v>23</v>
      </c>
      <c r="H4156" s="1">
        <v>116.49400000000001</v>
      </c>
    </row>
    <row r="4157" spans="1:8" x14ac:dyDescent="0.3">
      <c r="A4157" s="2">
        <v>732</v>
      </c>
      <c r="B4157" t="s">
        <v>1580</v>
      </c>
      <c r="C4157" t="s">
        <v>3219</v>
      </c>
      <c r="D4157" s="2">
        <v>1</v>
      </c>
      <c r="E4157" s="11" t="s">
        <v>102</v>
      </c>
      <c r="F4157" t="s">
        <v>47</v>
      </c>
      <c r="G4157" s="2" t="s">
        <v>31</v>
      </c>
      <c r="H4157" s="1">
        <v>121.79400000000001</v>
      </c>
    </row>
    <row r="4158" spans="1:8" x14ac:dyDescent="0.3">
      <c r="A4158" s="2">
        <v>732</v>
      </c>
      <c r="B4158" t="s">
        <v>1579</v>
      </c>
      <c r="C4158" t="s">
        <v>3219</v>
      </c>
      <c r="D4158" s="2">
        <v>1</v>
      </c>
      <c r="E4158" s="11" t="s">
        <v>102</v>
      </c>
      <c r="F4158" t="s">
        <v>47</v>
      </c>
      <c r="G4158" s="2" t="s">
        <v>23</v>
      </c>
      <c r="H4158" s="1">
        <v>121.79400000000001</v>
      </c>
    </row>
    <row r="4159" spans="1:8" x14ac:dyDescent="0.3">
      <c r="A4159" s="2">
        <v>732</v>
      </c>
      <c r="B4159" t="s">
        <v>833</v>
      </c>
      <c r="C4159" t="s">
        <v>3224</v>
      </c>
      <c r="D4159" s="2">
        <v>1</v>
      </c>
      <c r="E4159" s="11" t="s">
        <v>193</v>
      </c>
      <c r="F4159" t="s">
        <v>47</v>
      </c>
      <c r="G4159" s="2" t="s">
        <v>23</v>
      </c>
      <c r="H4159" s="1">
        <v>100.59400000000001</v>
      </c>
    </row>
    <row r="4160" spans="1:8" x14ac:dyDescent="0.3">
      <c r="A4160" s="2">
        <v>732</v>
      </c>
      <c r="B4160" t="s">
        <v>1578</v>
      </c>
      <c r="C4160" t="s">
        <v>3219</v>
      </c>
      <c r="D4160" s="2">
        <v>1</v>
      </c>
      <c r="E4160" s="11" t="s">
        <v>102</v>
      </c>
      <c r="F4160" t="s">
        <v>39</v>
      </c>
      <c r="G4160" s="2" t="s">
        <v>31</v>
      </c>
      <c r="H4160" s="1">
        <v>121.79400000000001</v>
      </c>
    </row>
    <row r="4161" spans="1:8" x14ac:dyDescent="0.3">
      <c r="A4161" s="2">
        <v>732</v>
      </c>
      <c r="B4161" t="s">
        <v>1577</v>
      </c>
      <c r="C4161" t="s">
        <v>3224</v>
      </c>
      <c r="D4161" s="2">
        <v>1</v>
      </c>
      <c r="E4161" s="11" t="s">
        <v>193</v>
      </c>
      <c r="F4161" t="s">
        <v>39</v>
      </c>
      <c r="G4161" s="2" t="s">
        <v>23</v>
      </c>
      <c r="H4161" s="1">
        <v>100.59400000000001</v>
      </c>
    </row>
    <row r="4162" spans="1:8" x14ac:dyDescent="0.3">
      <c r="A4162" s="2">
        <v>732</v>
      </c>
      <c r="B4162" t="s">
        <v>1576</v>
      </c>
      <c r="C4162" t="s">
        <v>3224</v>
      </c>
      <c r="D4162" s="2">
        <v>1</v>
      </c>
      <c r="E4162" s="11" t="s">
        <v>1575</v>
      </c>
      <c r="F4162" t="s">
        <v>39</v>
      </c>
      <c r="G4162" s="2" t="s">
        <v>23</v>
      </c>
      <c r="H4162" s="1">
        <v>89.994000000000014</v>
      </c>
    </row>
    <row r="4163" spans="1:8" x14ac:dyDescent="0.3">
      <c r="A4163" s="2">
        <v>732</v>
      </c>
      <c r="B4163" t="s">
        <v>1516</v>
      </c>
      <c r="C4163" t="s">
        <v>3</v>
      </c>
      <c r="D4163" s="2">
        <v>1</v>
      </c>
      <c r="E4163" s="11" t="s">
        <v>1356</v>
      </c>
      <c r="F4163" t="s">
        <v>39</v>
      </c>
      <c r="G4163" s="2" t="s">
        <v>31</v>
      </c>
      <c r="H4163" s="1">
        <v>111.19400000000002</v>
      </c>
    </row>
    <row r="4164" spans="1:8" x14ac:dyDescent="0.3">
      <c r="A4164" s="2">
        <v>732</v>
      </c>
      <c r="B4164" t="s">
        <v>372</v>
      </c>
      <c r="C4164" t="s">
        <v>0</v>
      </c>
      <c r="D4164" s="2">
        <v>1</v>
      </c>
      <c r="E4164" s="11" t="s">
        <v>246</v>
      </c>
      <c r="F4164" t="s">
        <v>28</v>
      </c>
      <c r="G4164" s="2" t="s">
        <v>23</v>
      </c>
      <c r="H4164" s="1">
        <v>158.89400000000001</v>
      </c>
    </row>
    <row r="4165" spans="1:8" x14ac:dyDescent="0.3">
      <c r="A4165" s="2">
        <v>732</v>
      </c>
      <c r="B4165" t="s">
        <v>1256</v>
      </c>
      <c r="C4165" t="s">
        <v>3224</v>
      </c>
      <c r="D4165" s="2">
        <v>2</v>
      </c>
      <c r="E4165" s="11" t="s">
        <v>520</v>
      </c>
      <c r="F4165" t="s">
        <v>24</v>
      </c>
      <c r="G4165" s="2" t="s">
        <v>23</v>
      </c>
      <c r="H4165" s="1">
        <v>68.794000000000011</v>
      </c>
    </row>
    <row r="4166" spans="1:8" x14ac:dyDescent="0.3">
      <c r="A4166" s="2">
        <v>732</v>
      </c>
      <c r="B4166" t="s">
        <v>1167</v>
      </c>
      <c r="C4166" t="s">
        <v>3</v>
      </c>
      <c r="D4166" s="2">
        <v>1</v>
      </c>
      <c r="E4166" s="11" t="s">
        <v>450</v>
      </c>
      <c r="F4166" t="s">
        <v>24</v>
      </c>
      <c r="G4166" s="2" t="s">
        <v>23</v>
      </c>
      <c r="H4166" s="1">
        <v>68.794000000000011</v>
      </c>
    </row>
    <row r="4167" spans="1:8" x14ac:dyDescent="0.3">
      <c r="A4167" s="2">
        <v>733</v>
      </c>
      <c r="B4167" t="s">
        <v>1574</v>
      </c>
      <c r="C4167" t="s">
        <v>3225</v>
      </c>
      <c r="D4167" s="2">
        <v>1</v>
      </c>
      <c r="E4167" s="11" t="s">
        <v>491</v>
      </c>
      <c r="F4167" t="s">
        <v>55</v>
      </c>
      <c r="G4167" s="2" t="s">
        <v>23</v>
      </c>
      <c r="H4167" s="1">
        <v>164.19400000000002</v>
      </c>
    </row>
    <row r="4168" spans="1:8" x14ac:dyDescent="0.3">
      <c r="A4168" s="2">
        <v>733</v>
      </c>
      <c r="B4168" t="s">
        <v>1573</v>
      </c>
      <c r="C4168" t="s">
        <v>3219</v>
      </c>
      <c r="D4168" s="2">
        <v>1</v>
      </c>
      <c r="E4168" s="11" t="s">
        <v>1175</v>
      </c>
      <c r="F4168" t="s">
        <v>65</v>
      </c>
      <c r="G4168" s="2" t="s">
        <v>23</v>
      </c>
      <c r="H4168" s="1">
        <v>158.89400000000001</v>
      </c>
    </row>
    <row r="4169" spans="1:8" x14ac:dyDescent="0.3">
      <c r="A4169" s="2">
        <v>733</v>
      </c>
      <c r="B4169" t="s">
        <v>1572</v>
      </c>
      <c r="C4169" t="s">
        <v>3219</v>
      </c>
      <c r="D4169" s="2">
        <v>1</v>
      </c>
      <c r="E4169" s="11" t="s">
        <v>109</v>
      </c>
      <c r="F4169" t="s">
        <v>65</v>
      </c>
      <c r="G4169" s="2" t="s">
        <v>23</v>
      </c>
      <c r="H4169" s="1">
        <v>158.89400000000001</v>
      </c>
    </row>
    <row r="4170" spans="1:8" x14ac:dyDescent="0.3">
      <c r="A4170" s="2">
        <v>733</v>
      </c>
      <c r="B4170" t="s">
        <v>1519</v>
      </c>
      <c r="C4170" t="s">
        <v>0</v>
      </c>
      <c r="D4170" s="2">
        <v>1</v>
      </c>
      <c r="E4170" s="11" t="s">
        <v>1304</v>
      </c>
      <c r="F4170" t="s">
        <v>114</v>
      </c>
      <c r="G4170" s="2" t="s">
        <v>23</v>
      </c>
      <c r="H4170" s="1">
        <v>212.89400000000001</v>
      </c>
    </row>
    <row r="4171" spans="1:8" x14ac:dyDescent="0.3">
      <c r="A4171" s="2">
        <v>733</v>
      </c>
      <c r="B4171" t="s">
        <v>1571</v>
      </c>
      <c r="C4171" t="s">
        <v>0</v>
      </c>
      <c r="D4171" s="2">
        <v>1</v>
      </c>
      <c r="E4171" s="11" t="s">
        <v>246</v>
      </c>
      <c r="F4171" t="s">
        <v>62</v>
      </c>
      <c r="G4171" s="2" t="s">
        <v>23</v>
      </c>
      <c r="H4171" s="1">
        <v>158.89400000000001</v>
      </c>
    </row>
    <row r="4172" spans="1:8" x14ac:dyDescent="0.3">
      <c r="A4172" s="2">
        <v>733</v>
      </c>
      <c r="B4172" t="s">
        <v>1570</v>
      </c>
      <c r="C4172" t="s">
        <v>3219</v>
      </c>
      <c r="D4172" s="2">
        <v>1</v>
      </c>
      <c r="E4172" s="11" t="s">
        <v>1214</v>
      </c>
      <c r="F4172" t="s">
        <v>114</v>
      </c>
      <c r="G4172" s="2" t="s">
        <v>31</v>
      </c>
      <c r="H4172" s="1">
        <v>127.09400000000001</v>
      </c>
    </row>
    <row r="4173" spans="1:8" x14ac:dyDescent="0.3">
      <c r="A4173" s="2">
        <v>733</v>
      </c>
      <c r="B4173" t="s">
        <v>1569</v>
      </c>
      <c r="C4173" t="s">
        <v>3233</v>
      </c>
      <c r="D4173" s="2">
        <v>1</v>
      </c>
      <c r="E4173" s="11" t="s">
        <v>1278</v>
      </c>
      <c r="F4173" t="s">
        <v>114</v>
      </c>
      <c r="G4173" s="2" t="s">
        <v>31</v>
      </c>
      <c r="H4173" s="1">
        <v>100.59400000000001</v>
      </c>
    </row>
    <row r="4174" spans="1:8" x14ac:dyDescent="0.3">
      <c r="A4174" s="2">
        <v>733</v>
      </c>
      <c r="B4174" t="s">
        <v>553</v>
      </c>
      <c r="C4174" t="s">
        <v>3224</v>
      </c>
      <c r="D4174" s="2">
        <v>1</v>
      </c>
      <c r="E4174" s="11" t="s">
        <v>499</v>
      </c>
      <c r="F4174" t="s">
        <v>47</v>
      </c>
      <c r="G4174" s="2" t="s">
        <v>31</v>
      </c>
      <c r="H4174" s="1">
        <v>84.694000000000017</v>
      </c>
    </row>
    <row r="4175" spans="1:8" x14ac:dyDescent="0.3">
      <c r="A4175" s="2">
        <v>733</v>
      </c>
      <c r="B4175" t="s">
        <v>1568</v>
      </c>
      <c r="C4175" t="s">
        <v>3219</v>
      </c>
      <c r="D4175" s="2">
        <v>1</v>
      </c>
      <c r="E4175" s="11" t="s">
        <v>1460</v>
      </c>
      <c r="F4175" t="s">
        <v>47</v>
      </c>
      <c r="G4175" s="2" t="s">
        <v>23</v>
      </c>
      <c r="H4175" s="1">
        <v>142.994</v>
      </c>
    </row>
    <row r="4176" spans="1:8" x14ac:dyDescent="0.3">
      <c r="A4176" s="2">
        <v>733</v>
      </c>
      <c r="B4176" t="s">
        <v>1563</v>
      </c>
      <c r="C4176" t="s">
        <v>3225</v>
      </c>
      <c r="D4176" s="2">
        <v>1</v>
      </c>
      <c r="E4176" s="11" t="s">
        <v>1038</v>
      </c>
      <c r="F4176" t="s">
        <v>47</v>
      </c>
      <c r="G4176" s="2" t="s">
        <v>23</v>
      </c>
      <c r="H4176" s="1">
        <v>180.09400000000002</v>
      </c>
    </row>
    <row r="4177" spans="1:8" x14ac:dyDescent="0.3">
      <c r="A4177" s="2">
        <v>733</v>
      </c>
      <c r="B4177" t="s">
        <v>1442</v>
      </c>
      <c r="C4177" t="s">
        <v>3233</v>
      </c>
      <c r="D4177" s="2">
        <v>1</v>
      </c>
      <c r="E4177" s="11" t="s">
        <v>1278</v>
      </c>
      <c r="F4177" t="s">
        <v>36</v>
      </c>
      <c r="G4177" s="2" t="s">
        <v>23</v>
      </c>
      <c r="H4177" s="1">
        <v>100.59400000000001</v>
      </c>
    </row>
    <row r="4178" spans="1:8" x14ac:dyDescent="0.3">
      <c r="A4178" s="2">
        <v>733</v>
      </c>
      <c r="B4178" t="s">
        <v>1546</v>
      </c>
      <c r="C4178" t="s">
        <v>0</v>
      </c>
      <c r="D4178" s="2">
        <v>1</v>
      </c>
      <c r="E4178" s="11" t="s">
        <v>261</v>
      </c>
      <c r="F4178" t="s">
        <v>28</v>
      </c>
      <c r="G4178" s="2" t="s">
        <v>23</v>
      </c>
      <c r="H4178" s="1">
        <v>173.79400000000001</v>
      </c>
    </row>
    <row r="4179" spans="1:8" x14ac:dyDescent="0.3">
      <c r="A4179" s="2">
        <v>733</v>
      </c>
      <c r="B4179" t="s">
        <v>1567</v>
      </c>
      <c r="C4179" t="s">
        <v>3233</v>
      </c>
      <c r="D4179" s="2">
        <v>1</v>
      </c>
      <c r="E4179" s="11" t="s">
        <v>1278</v>
      </c>
      <c r="F4179" t="s">
        <v>28</v>
      </c>
      <c r="G4179" s="2" t="s">
        <v>31</v>
      </c>
      <c r="H4179" s="1">
        <v>100.59400000000001</v>
      </c>
    </row>
    <row r="4180" spans="1:8" x14ac:dyDescent="0.3">
      <c r="A4180" s="2">
        <v>734</v>
      </c>
      <c r="B4180" t="s">
        <v>1483</v>
      </c>
      <c r="C4180" t="s">
        <v>3225</v>
      </c>
      <c r="D4180" s="2">
        <v>1</v>
      </c>
      <c r="E4180" s="11" t="s">
        <v>831</v>
      </c>
      <c r="F4180" t="s">
        <v>81</v>
      </c>
      <c r="G4180" s="2" t="s">
        <v>31</v>
      </c>
      <c r="H4180" s="1">
        <v>190.69400000000002</v>
      </c>
    </row>
    <row r="4181" spans="1:8" x14ac:dyDescent="0.3">
      <c r="A4181" s="2">
        <v>734</v>
      </c>
      <c r="B4181" t="s">
        <v>1547</v>
      </c>
      <c r="C4181" t="s">
        <v>3225</v>
      </c>
      <c r="D4181" s="2">
        <v>1</v>
      </c>
      <c r="E4181" s="11" t="s">
        <v>831</v>
      </c>
      <c r="F4181" t="s">
        <v>81</v>
      </c>
      <c r="G4181" s="2" t="s">
        <v>23</v>
      </c>
      <c r="H4181" s="1">
        <v>190.69400000000002</v>
      </c>
    </row>
    <row r="4182" spans="1:8" x14ac:dyDescent="0.3">
      <c r="A4182" s="2">
        <v>734</v>
      </c>
      <c r="B4182" t="s">
        <v>118</v>
      </c>
      <c r="C4182" t="s">
        <v>2</v>
      </c>
      <c r="D4182" s="2">
        <v>1</v>
      </c>
      <c r="E4182" s="11" t="s">
        <v>86</v>
      </c>
      <c r="F4182" t="s">
        <v>114</v>
      </c>
      <c r="G4182" s="2" t="s">
        <v>23</v>
      </c>
      <c r="H4182" s="1">
        <v>95.294000000000011</v>
      </c>
    </row>
    <row r="4183" spans="1:8" x14ac:dyDescent="0.3">
      <c r="A4183" s="2">
        <v>734</v>
      </c>
      <c r="B4183" t="s">
        <v>1566</v>
      </c>
      <c r="C4183" t="s">
        <v>3225</v>
      </c>
      <c r="D4183" s="2">
        <v>1</v>
      </c>
      <c r="E4183" s="11" t="s">
        <v>239</v>
      </c>
      <c r="F4183" t="s">
        <v>47</v>
      </c>
      <c r="G4183" s="2" t="s">
        <v>4</v>
      </c>
      <c r="H4183" s="1">
        <v>148.29400000000001</v>
      </c>
    </row>
    <row r="4184" spans="1:8" x14ac:dyDescent="0.3">
      <c r="A4184" s="2">
        <v>734</v>
      </c>
      <c r="B4184" t="s">
        <v>1565</v>
      </c>
      <c r="C4184" t="s">
        <v>3225</v>
      </c>
      <c r="D4184" s="2">
        <v>1</v>
      </c>
      <c r="E4184" s="11" t="s">
        <v>239</v>
      </c>
      <c r="F4184" t="s">
        <v>47</v>
      </c>
      <c r="G4184" s="2" t="s">
        <v>23</v>
      </c>
      <c r="H4184" s="1">
        <v>148.29400000000001</v>
      </c>
    </row>
    <row r="4185" spans="1:8" x14ac:dyDescent="0.3">
      <c r="A4185" s="2">
        <v>734</v>
      </c>
      <c r="B4185" t="s">
        <v>1564</v>
      </c>
      <c r="C4185" t="s">
        <v>3225</v>
      </c>
      <c r="D4185" s="2">
        <v>1</v>
      </c>
      <c r="E4185" s="11" t="s">
        <v>1038</v>
      </c>
      <c r="F4185" t="s">
        <v>47</v>
      </c>
      <c r="G4185" s="2" t="s">
        <v>4</v>
      </c>
      <c r="H4185" s="1">
        <v>180.09400000000002</v>
      </c>
    </row>
    <row r="4186" spans="1:8" x14ac:dyDescent="0.3">
      <c r="A4186" s="2">
        <v>734</v>
      </c>
      <c r="B4186" t="s">
        <v>1563</v>
      </c>
      <c r="C4186" t="s">
        <v>3225</v>
      </c>
      <c r="D4186" s="2">
        <v>1</v>
      </c>
      <c r="E4186" s="11" t="s">
        <v>1038</v>
      </c>
      <c r="F4186" t="s">
        <v>47</v>
      </c>
      <c r="G4186" s="2" t="s">
        <v>23</v>
      </c>
      <c r="H4186" s="1">
        <v>180.09400000000002</v>
      </c>
    </row>
    <row r="4187" spans="1:8" x14ac:dyDescent="0.3">
      <c r="A4187" s="2">
        <v>734</v>
      </c>
      <c r="B4187" t="s">
        <v>1562</v>
      </c>
      <c r="C4187" t="s">
        <v>3219</v>
      </c>
      <c r="D4187" s="2">
        <v>1</v>
      </c>
      <c r="E4187" s="11" t="s">
        <v>1561</v>
      </c>
      <c r="F4187" t="s">
        <v>39</v>
      </c>
      <c r="G4187" s="2" t="s">
        <v>4</v>
      </c>
      <c r="H4187" s="1">
        <v>148.29400000000001</v>
      </c>
    </row>
    <row r="4188" spans="1:8" x14ac:dyDescent="0.3">
      <c r="A4188" s="2">
        <v>734</v>
      </c>
      <c r="B4188" t="s">
        <v>1560</v>
      </c>
      <c r="C4188" t="s">
        <v>3225</v>
      </c>
      <c r="D4188" s="2">
        <v>1</v>
      </c>
      <c r="E4188" s="11" t="s">
        <v>1038</v>
      </c>
      <c r="F4188" t="s">
        <v>39</v>
      </c>
      <c r="G4188" s="2" t="s">
        <v>23</v>
      </c>
      <c r="H4188" s="1">
        <v>180.09400000000002</v>
      </c>
    </row>
    <row r="4189" spans="1:8" x14ac:dyDescent="0.3">
      <c r="A4189" s="2">
        <v>734</v>
      </c>
      <c r="B4189" t="s">
        <v>1559</v>
      </c>
      <c r="C4189" t="s">
        <v>1</v>
      </c>
      <c r="D4189" s="2">
        <v>1</v>
      </c>
      <c r="E4189" s="11" t="s">
        <v>172</v>
      </c>
      <c r="F4189" t="s">
        <v>39</v>
      </c>
      <c r="G4189" s="2" t="s">
        <v>23</v>
      </c>
      <c r="H4189" s="1">
        <v>47.594000000000001</v>
      </c>
    </row>
    <row r="4190" spans="1:8" x14ac:dyDescent="0.3">
      <c r="A4190" s="2">
        <v>734</v>
      </c>
      <c r="B4190" t="s">
        <v>1511</v>
      </c>
      <c r="C4190" t="s">
        <v>3225</v>
      </c>
      <c r="D4190" s="2">
        <v>1</v>
      </c>
      <c r="E4190" s="11" t="s">
        <v>1038</v>
      </c>
      <c r="F4190" t="s">
        <v>36</v>
      </c>
      <c r="G4190" s="2" t="s">
        <v>31</v>
      </c>
      <c r="H4190" s="1">
        <v>180.09400000000002</v>
      </c>
    </row>
    <row r="4191" spans="1:8" x14ac:dyDescent="0.3">
      <c r="A4191" s="2">
        <v>734</v>
      </c>
      <c r="B4191" t="s">
        <v>1558</v>
      </c>
      <c r="C4191" t="s">
        <v>1</v>
      </c>
      <c r="D4191" s="2">
        <v>1</v>
      </c>
      <c r="E4191" s="11" t="s">
        <v>172</v>
      </c>
      <c r="F4191" t="s">
        <v>36</v>
      </c>
      <c r="G4191" s="2" t="s">
        <v>4</v>
      </c>
      <c r="H4191" s="1">
        <v>47.594000000000001</v>
      </c>
    </row>
    <row r="4192" spans="1:8" x14ac:dyDescent="0.3">
      <c r="A4192" s="2">
        <v>734</v>
      </c>
      <c r="B4192" t="s">
        <v>1550</v>
      </c>
      <c r="C4192" t="s">
        <v>3225</v>
      </c>
      <c r="D4192" s="2">
        <v>1</v>
      </c>
      <c r="E4192" s="11" t="s">
        <v>932</v>
      </c>
      <c r="F4192" t="s">
        <v>28</v>
      </c>
      <c r="G4192" s="2" t="s">
        <v>4</v>
      </c>
      <c r="H4192" s="1">
        <v>174.79400000000001</v>
      </c>
    </row>
    <row r="4193" spans="1:8" x14ac:dyDescent="0.3">
      <c r="A4193" s="2">
        <v>734</v>
      </c>
      <c r="B4193" t="s">
        <v>569</v>
      </c>
      <c r="C4193" t="s">
        <v>1</v>
      </c>
      <c r="D4193" s="2">
        <v>1</v>
      </c>
      <c r="E4193" s="11" t="s">
        <v>172</v>
      </c>
      <c r="F4193" t="s">
        <v>28</v>
      </c>
      <c r="G4193" s="2" t="s">
        <v>31</v>
      </c>
      <c r="H4193" s="1">
        <v>47.594000000000001</v>
      </c>
    </row>
    <row r="4194" spans="1:8" x14ac:dyDescent="0.3">
      <c r="A4194" s="2">
        <v>735</v>
      </c>
      <c r="B4194" t="s">
        <v>1557</v>
      </c>
      <c r="C4194" t="s">
        <v>3224</v>
      </c>
      <c r="D4194" s="2">
        <v>1</v>
      </c>
      <c r="E4194" s="11" t="s">
        <v>1401</v>
      </c>
      <c r="F4194" t="s">
        <v>65</v>
      </c>
      <c r="G4194" s="2" t="s">
        <v>31</v>
      </c>
      <c r="H4194" s="1">
        <v>68.794000000000011</v>
      </c>
    </row>
    <row r="4195" spans="1:8" x14ac:dyDescent="0.3">
      <c r="A4195" s="2">
        <v>735</v>
      </c>
      <c r="B4195" t="s">
        <v>1218</v>
      </c>
      <c r="C4195" t="s">
        <v>3219</v>
      </c>
      <c r="D4195" s="2">
        <v>1</v>
      </c>
      <c r="E4195" s="11" t="s">
        <v>1173</v>
      </c>
      <c r="F4195" t="s">
        <v>81</v>
      </c>
      <c r="G4195" s="2" t="s">
        <v>4</v>
      </c>
      <c r="H4195" s="1">
        <v>116.49400000000001</v>
      </c>
    </row>
    <row r="4196" spans="1:8" x14ac:dyDescent="0.3">
      <c r="A4196" s="2">
        <v>735</v>
      </c>
      <c r="B4196" t="s">
        <v>1537</v>
      </c>
      <c r="C4196" t="s">
        <v>3</v>
      </c>
      <c r="D4196" s="2">
        <v>1</v>
      </c>
      <c r="E4196" s="11" t="s">
        <v>1524</v>
      </c>
      <c r="F4196" t="s">
        <v>959</v>
      </c>
      <c r="G4196" s="2" t="s">
        <v>31</v>
      </c>
      <c r="H4196" s="1">
        <v>100.59400000000001</v>
      </c>
    </row>
    <row r="4197" spans="1:8" x14ac:dyDescent="0.3">
      <c r="A4197" s="2">
        <v>735</v>
      </c>
      <c r="B4197" t="s">
        <v>612</v>
      </c>
      <c r="C4197" t="s">
        <v>1</v>
      </c>
      <c r="D4197" s="2">
        <v>1</v>
      </c>
      <c r="E4197" s="11" t="s">
        <v>172</v>
      </c>
      <c r="F4197" t="s">
        <v>114</v>
      </c>
      <c r="G4197" s="2" t="s">
        <v>31</v>
      </c>
      <c r="H4197" s="1">
        <v>47.594000000000001</v>
      </c>
    </row>
    <row r="4198" spans="1:8" x14ac:dyDescent="0.3">
      <c r="A4198" s="2">
        <v>735</v>
      </c>
      <c r="B4198" t="s">
        <v>832</v>
      </c>
      <c r="C4198" t="s">
        <v>3225</v>
      </c>
      <c r="D4198" s="2">
        <v>1</v>
      </c>
      <c r="E4198" s="11" t="s">
        <v>831</v>
      </c>
      <c r="F4198" t="s">
        <v>47</v>
      </c>
      <c r="G4198" s="2" t="s">
        <v>4</v>
      </c>
      <c r="H4198" s="1">
        <v>190.69400000000002</v>
      </c>
    </row>
    <row r="4199" spans="1:8" x14ac:dyDescent="0.3">
      <c r="A4199" s="2">
        <v>735</v>
      </c>
      <c r="B4199" t="s">
        <v>1556</v>
      </c>
      <c r="C4199" t="s">
        <v>3219</v>
      </c>
      <c r="D4199" s="2">
        <v>1</v>
      </c>
      <c r="E4199" s="11" t="s">
        <v>1214</v>
      </c>
      <c r="F4199" t="s">
        <v>47</v>
      </c>
      <c r="G4199" s="2" t="s">
        <v>4</v>
      </c>
      <c r="H4199" s="1">
        <v>127.09400000000001</v>
      </c>
    </row>
    <row r="4200" spans="1:8" x14ac:dyDescent="0.3">
      <c r="A4200" s="2">
        <v>735</v>
      </c>
      <c r="B4200" t="s">
        <v>1476</v>
      </c>
      <c r="C4200" t="s">
        <v>3219</v>
      </c>
      <c r="D4200" s="2">
        <v>1</v>
      </c>
      <c r="E4200" s="11" t="s">
        <v>892</v>
      </c>
      <c r="F4200" t="s">
        <v>47</v>
      </c>
      <c r="G4200" s="2" t="s">
        <v>4</v>
      </c>
      <c r="H4200" s="1">
        <v>158.89400000000001</v>
      </c>
    </row>
    <row r="4201" spans="1:8" x14ac:dyDescent="0.3">
      <c r="A4201" s="2">
        <v>735</v>
      </c>
      <c r="B4201" t="s">
        <v>1555</v>
      </c>
      <c r="C4201" t="s">
        <v>3</v>
      </c>
      <c r="D4201" s="2">
        <v>1</v>
      </c>
      <c r="E4201" s="11" t="s">
        <v>1356</v>
      </c>
      <c r="F4201" t="s">
        <v>47</v>
      </c>
      <c r="G4201" s="2" t="s">
        <v>31</v>
      </c>
      <c r="H4201" s="1">
        <v>111.19400000000002</v>
      </c>
    </row>
    <row r="4202" spans="1:8" x14ac:dyDescent="0.3">
      <c r="A4202" s="2">
        <v>735</v>
      </c>
      <c r="B4202" t="s">
        <v>1554</v>
      </c>
      <c r="C4202" t="s">
        <v>3221</v>
      </c>
      <c r="D4202" s="2">
        <v>1</v>
      </c>
      <c r="E4202" s="11" t="s">
        <v>1180</v>
      </c>
      <c r="F4202" t="s">
        <v>47</v>
      </c>
      <c r="G4202" s="2" t="s">
        <v>4</v>
      </c>
      <c r="H4202" s="1">
        <v>169.49400000000003</v>
      </c>
    </row>
    <row r="4203" spans="1:8" x14ac:dyDescent="0.3">
      <c r="A4203" s="2">
        <v>735</v>
      </c>
      <c r="B4203" t="s">
        <v>1553</v>
      </c>
      <c r="C4203" t="s">
        <v>3233</v>
      </c>
      <c r="D4203" s="2">
        <v>1</v>
      </c>
      <c r="E4203" s="11" t="s">
        <v>802</v>
      </c>
      <c r="F4203" t="s">
        <v>47</v>
      </c>
      <c r="G4203" s="2" t="s">
        <v>31</v>
      </c>
      <c r="H4203" s="1">
        <v>68.794000000000011</v>
      </c>
    </row>
    <row r="4204" spans="1:8" x14ac:dyDescent="0.3">
      <c r="A4204" s="2">
        <v>735</v>
      </c>
      <c r="B4204" t="s">
        <v>1552</v>
      </c>
      <c r="C4204" t="s">
        <v>0</v>
      </c>
      <c r="D4204" s="2">
        <v>1</v>
      </c>
      <c r="E4204" s="11" t="s">
        <v>1551</v>
      </c>
      <c r="F4204" t="s">
        <v>39</v>
      </c>
      <c r="G4204" s="2" t="s">
        <v>4</v>
      </c>
      <c r="H4204" s="1">
        <v>121.79400000000001</v>
      </c>
    </row>
    <row r="4205" spans="1:8" x14ac:dyDescent="0.3">
      <c r="A4205" s="2">
        <v>735</v>
      </c>
      <c r="B4205" t="s">
        <v>1334</v>
      </c>
      <c r="C4205" t="s">
        <v>3233</v>
      </c>
      <c r="D4205" s="2">
        <v>1</v>
      </c>
      <c r="E4205" s="11" t="s">
        <v>1096</v>
      </c>
      <c r="F4205" t="s">
        <v>39</v>
      </c>
      <c r="G4205" s="2" t="s">
        <v>31</v>
      </c>
      <c r="H4205" s="1">
        <v>132.39400000000001</v>
      </c>
    </row>
    <row r="4206" spans="1:8" x14ac:dyDescent="0.3">
      <c r="A4206" s="2">
        <v>735</v>
      </c>
      <c r="B4206" t="s">
        <v>1550</v>
      </c>
      <c r="C4206" t="s">
        <v>3225</v>
      </c>
      <c r="D4206" s="2">
        <v>1</v>
      </c>
      <c r="E4206" s="11" t="s">
        <v>932</v>
      </c>
      <c r="F4206" t="s">
        <v>28</v>
      </c>
      <c r="G4206" s="2" t="s">
        <v>4</v>
      </c>
      <c r="H4206" s="1">
        <v>174.79400000000001</v>
      </c>
    </row>
    <row r="4207" spans="1:8" x14ac:dyDescent="0.3">
      <c r="A4207" s="2">
        <v>736</v>
      </c>
      <c r="B4207" t="s">
        <v>1127</v>
      </c>
      <c r="C4207" t="s">
        <v>3219</v>
      </c>
      <c r="D4207" s="2">
        <v>1</v>
      </c>
      <c r="E4207" s="11" t="s">
        <v>102</v>
      </c>
      <c r="F4207" t="s">
        <v>55</v>
      </c>
      <c r="G4207" s="2" t="s">
        <v>31</v>
      </c>
      <c r="H4207" s="1">
        <v>121.79400000000001</v>
      </c>
    </row>
    <row r="4208" spans="1:8" x14ac:dyDescent="0.3">
      <c r="A4208" s="2">
        <v>736</v>
      </c>
      <c r="B4208" t="s">
        <v>717</v>
      </c>
      <c r="C4208" t="s">
        <v>3220</v>
      </c>
      <c r="D4208" s="2">
        <v>1</v>
      </c>
      <c r="E4208" s="11" t="s">
        <v>204</v>
      </c>
      <c r="F4208" t="s">
        <v>28</v>
      </c>
      <c r="G4208" s="2" t="s">
        <v>31</v>
      </c>
      <c r="H4208" s="1">
        <v>42.294000000000004</v>
      </c>
    </row>
    <row r="4209" spans="1:8" x14ac:dyDescent="0.3">
      <c r="A4209" s="2">
        <v>736</v>
      </c>
      <c r="B4209" t="s">
        <v>278</v>
      </c>
      <c r="C4209" t="s">
        <v>3220</v>
      </c>
      <c r="D4209" s="2">
        <v>1</v>
      </c>
      <c r="E4209" s="11" t="s">
        <v>204</v>
      </c>
      <c r="F4209" t="s">
        <v>55</v>
      </c>
      <c r="G4209" s="2" t="s">
        <v>31</v>
      </c>
      <c r="H4209" s="1">
        <v>42.294000000000004</v>
      </c>
    </row>
    <row r="4210" spans="1:8" x14ac:dyDescent="0.3">
      <c r="A4210" s="2">
        <v>736</v>
      </c>
      <c r="B4210" t="s">
        <v>1549</v>
      </c>
      <c r="C4210" t="s">
        <v>3224</v>
      </c>
      <c r="D4210" s="2">
        <v>1</v>
      </c>
      <c r="E4210" s="11" t="s">
        <v>1478</v>
      </c>
      <c r="F4210" t="s">
        <v>114</v>
      </c>
      <c r="G4210" s="2" t="s">
        <v>31</v>
      </c>
      <c r="H4210" s="1">
        <v>116.49400000000001</v>
      </c>
    </row>
    <row r="4211" spans="1:8" x14ac:dyDescent="0.3">
      <c r="A4211" s="2">
        <v>736</v>
      </c>
      <c r="B4211" t="s">
        <v>1506</v>
      </c>
      <c r="C4211" t="s">
        <v>3224</v>
      </c>
      <c r="D4211" s="2">
        <v>1</v>
      </c>
      <c r="E4211" s="11" t="s">
        <v>1399</v>
      </c>
      <c r="F4211" t="s">
        <v>114</v>
      </c>
      <c r="G4211" s="2" t="s">
        <v>31</v>
      </c>
      <c r="H4211" s="1">
        <v>63.494000000000007</v>
      </c>
    </row>
    <row r="4212" spans="1:8" x14ac:dyDescent="0.3">
      <c r="A4212" s="2">
        <v>736</v>
      </c>
      <c r="B4212" t="s">
        <v>1019</v>
      </c>
      <c r="C4212" t="s">
        <v>3220</v>
      </c>
      <c r="D4212" s="2">
        <v>1</v>
      </c>
      <c r="E4212" s="11" t="s">
        <v>204</v>
      </c>
      <c r="F4212" t="s">
        <v>683</v>
      </c>
      <c r="G4212" s="2" t="s">
        <v>31</v>
      </c>
      <c r="H4212" s="1">
        <v>42.294000000000004</v>
      </c>
    </row>
    <row r="4213" spans="1:8" x14ac:dyDescent="0.3">
      <c r="A4213" s="2">
        <v>736</v>
      </c>
      <c r="B4213" t="s">
        <v>1233</v>
      </c>
      <c r="C4213" t="s">
        <v>0</v>
      </c>
      <c r="D4213" s="2">
        <v>1</v>
      </c>
      <c r="E4213" s="11" t="s">
        <v>1211</v>
      </c>
      <c r="F4213" t="s">
        <v>47</v>
      </c>
      <c r="G4213" s="2" t="s">
        <v>31</v>
      </c>
      <c r="H4213" s="1">
        <v>144.29</v>
      </c>
    </row>
    <row r="4214" spans="1:8" x14ac:dyDescent="0.3">
      <c r="A4214" s="2">
        <v>736</v>
      </c>
      <c r="B4214" t="s">
        <v>774</v>
      </c>
      <c r="C4214" t="s">
        <v>3</v>
      </c>
      <c r="D4214" s="2">
        <v>1</v>
      </c>
      <c r="E4214" s="11" t="s">
        <v>180</v>
      </c>
      <c r="F4214" t="s">
        <v>47</v>
      </c>
      <c r="G4214" s="2" t="s">
        <v>31</v>
      </c>
      <c r="H4214" s="1">
        <v>105.89400000000001</v>
      </c>
    </row>
    <row r="4215" spans="1:8" x14ac:dyDescent="0.3">
      <c r="A4215" s="2">
        <v>736</v>
      </c>
      <c r="B4215" t="s">
        <v>951</v>
      </c>
      <c r="C4215" t="s">
        <v>3</v>
      </c>
      <c r="D4215" s="2">
        <v>1</v>
      </c>
      <c r="E4215" s="11" t="s">
        <v>180</v>
      </c>
      <c r="F4215" t="s">
        <v>39</v>
      </c>
      <c r="G4215" s="2" t="s">
        <v>31</v>
      </c>
      <c r="H4215" s="1">
        <v>105.89400000000001</v>
      </c>
    </row>
    <row r="4216" spans="1:8" x14ac:dyDescent="0.3">
      <c r="A4216" s="2">
        <v>736</v>
      </c>
      <c r="B4216" t="s">
        <v>1511</v>
      </c>
      <c r="C4216" t="s">
        <v>3225</v>
      </c>
      <c r="D4216" s="2">
        <v>1</v>
      </c>
      <c r="E4216" s="11" t="s">
        <v>1038</v>
      </c>
      <c r="F4216" t="s">
        <v>36</v>
      </c>
      <c r="G4216" s="2" t="s">
        <v>31</v>
      </c>
      <c r="H4216" s="1">
        <v>180.09400000000002</v>
      </c>
    </row>
    <row r="4217" spans="1:8" x14ac:dyDescent="0.3">
      <c r="A4217" s="2">
        <v>736</v>
      </c>
      <c r="B4217" t="s">
        <v>1548</v>
      </c>
      <c r="C4217" t="s">
        <v>3219</v>
      </c>
      <c r="D4217" s="2">
        <v>1</v>
      </c>
      <c r="E4217" s="11" t="s">
        <v>1175</v>
      </c>
      <c r="F4217" t="s">
        <v>36</v>
      </c>
      <c r="G4217" s="2" t="s">
        <v>31</v>
      </c>
      <c r="H4217" s="1">
        <v>158.89400000000001</v>
      </c>
    </row>
    <row r="4218" spans="1:8" x14ac:dyDescent="0.3">
      <c r="A4218" s="2">
        <v>736</v>
      </c>
      <c r="B4218" t="s">
        <v>717</v>
      </c>
      <c r="C4218" t="s">
        <v>3220</v>
      </c>
      <c r="D4218" s="2">
        <v>1</v>
      </c>
      <c r="E4218" s="11" t="s">
        <v>204</v>
      </c>
      <c r="F4218" t="s">
        <v>28</v>
      </c>
      <c r="G4218" s="2" t="s">
        <v>31</v>
      </c>
      <c r="H4218" s="1">
        <v>42.294000000000004</v>
      </c>
    </row>
    <row r="4219" spans="1:8" x14ac:dyDescent="0.3">
      <c r="A4219" s="2">
        <v>737</v>
      </c>
      <c r="B4219" t="s">
        <v>992</v>
      </c>
      <c r="C4219" t="s">
        <v>3225</v>
      </c>
      <c r="D4219" s="2">
        <v>1</v>
      </c>
      <c r="E4219" s="11" t="s">
        <v>220</v>
      </c>
      <c r="F4219" t="s">
        <v>55</v>
      </c>
      <c r="G4219" s="2" t="s">
        <v>23</v>
      </c>
      <c r="H4219" s="1">
        <v>195.99400000000003</v>
      </c>
    </row>
    <row r="4220" spans="1:8" x14ac:dyDescent="0.3">
      <c r="A4220" s="2">
        <v>737</v>
      </c>
      <c r="B4220" t="s">
        <v>1519</v>
      </c>
      <c r="C4220" t="s">
        <v>0</v>
      </c>
      <c r="D4220" s="2">
        <v>1</v>
      </c>
      <c r="E4220" s="11" t="s">
        <v>1304</v>
      </c>
      <c r="F4220" t="s">
        <v>114</v>
      </c>
      <c r="G4220" s="2" t="s">
        <v>23</v>
      </c>
      <c r="H4220" s="1">
        <v>212.89400000000001</v>
      </c>
    </row>
    <row r="4221" spans="1:8" x14ac:dyDescent="0.3">
      <c r="A4221" s="2">
        <v>737</v>
      </c>
      <c r="B4221" t="s">
        <v>1547</v>
      </c>
      <c r="C4221" t="s">
        <v>3225</v>
      </c>
      <c r="D4221" s="2">
        <v>1</v>
      </c>
      <c r="E4221" s="11" t="s">
        <v>831</v>
      </c>
      <c r="F4221" t="s">
        <v>81</v>
      </c>
      <c r="G4221" s="2" t="s">
        <v>23</v>
      </c>
      <c r="H4221" s="1">
        <v>190.69400000000002</v>
      </c>
    </row>
    <row r="4222" spans="1:8" x14ac:dyDescent="0.3">
      <c r="A4222" s="2">
        <v>737</v>
      </c>
      <c r="B4222" t="s">
        <v>1433</v>
      </c>
      <c r="C4222" t="s">
        <v>2</v>
      </c>
      <c r="D4222" s="2">
        <v>1</v>
      </c>
      <c r="E4222" s="11" t="s">
        <v>780</v>
      </c>
      <c r="F4222" t="s">
        <v>254</v>
      </c>
      <c r="G4222" s="2" t="s">
        <v>23</v>
      </c>
      <c r="H4222" s="1">
        <v>116.49400000000001</v>
      </c>
    </row>
    <row r="4223" spans="1:8" x14ac:dyDescent="0.3">
      <c r="A4223" s="2">
        <v>737</v>
      </c>
      <c r="B4223" t="s">
        <v>1098</v>
      </c>
      <c r="C4223" t="s">
        <v>0</v>
      </c>
      <c r="D4223" s="2">
        <v>1</v>
      </c>
      <c r="E4223" s="11" t="s">
        <v>255</v>
      </c>
      <c r="F4223" t="s">
        <v>114</v>
      </c>
      <c r="G4223" s="2" t="s">
        <v>23</v>
      </c>
      <c r="H4223" s="1">
        <v>169.49400000000003</v>
      </c>
    </row>
    <row r="4224" spans="1:8" x14ac:dyDescent="0.3">
      <c r="A4224" s="2">
        <v>737</v>
      </c>
      <c r="B4224" t="s">
        <v>1505</v>
      </c>
      <c r="C4224" t="s">
        <v>3225</v>
      </c>
      <c r="D4224" s="2">
        <v>1</v>
      </c>
      <c r="E4224" s="11" t="s">
        <v>831</v>
      </c>
      <c r="F4224" t="s">
        <v>47</v>
      </c>
      <c r="G4224" s="2" t="s">
        <v>23</v>
      </c>
      <c r="H4224" s="1">
        <v>190.69400000000002</v>
      </c>
    </row>
    <row r="4225" spans="1:8" x14ac:dyDescent="0.3">
      <c r="A4225" s="2">
        <v>737</v>
      </c>
      <c r="B4225" t="s">
        <v>801</v>
      </c>
      <c r="C4225" t="s">
        <v>3225</v>
      </c>
      <c r="D4225" s="2">
        <v>1</v>
      </c>
      <c r="E4225" s="11" t="s">
        <v>491</v>
      </c>
      <c r="F4225" t="s">
        <v>47</v>
      </c>
      <c r="G4225" s="2" t="s">
        <v>23</v>
      </c>
      <c r="H4225" s="1">
        <v>164.19400000000002</v>
      </c>
    </row>
    <row r="4226" spans="1:8" x14ac:dyDescent="0.3">
      <c r="A4226" s="2">
        <v>737</v>
      </c>
      <c r="B4226" t="s">
        <v>981</v>
      </c>
      <c r="C4226" t="s">
        <v>3219</v>
      </c>
      <c r="D4226" s="2">
        <v>1</v>
      </c>
      <c r="E4226" s="11" t="s">
        <v>892</v>
      </c>
      <c r="F4226" t="s">
        <v>39</v>
      </c>
      <c r="G4226" s="2" t="s">
        <v>31</v>
      </c>
      <c r="H4226" s="1">
        <v>158.89400000000001</v>
      </c>
    </row>
    <row r="4227" spans="1:8" x14ac:dyDescent="0.3">
      <c r="A4227" s="2">
        <v>737</v>
      </c>
      <c r="B4227" t="s">
        <v>1513</v>
      </c>
      <c r="C4227" t="s">
        <v>1</v>
      </c>
      <c r="D4227" s="2">
        <v>1</v>
      </c>
      <c r="E4227" s="11" t="s">
        <v>172</v>
      </c>
      <c r="F4227" t="s">
        <v>39</v>
      </c>
      <c r="G4227" s="2" t="s">
        <v>31</v>
      </c>
      <c r="H4227" s="1">
        <v>47.594000000000001</v>
      </c>
    </row>
    <row r="4228" spans="1:8" x14ac:dyDescent="0.3">
      <c r="A4228" s="2">
        <v>737</v>
      </c>
      <c r="B4228" t="s">
        <v>1263</v>
      </c>
      <c r="C4228" t="s">
        <v>3220</v>
      </c>
      <c r="D4228" s="2">
        <v>1</v>
      </c>
      <c r="E4228" s="11" t="s">
        <v>174</v>
      </c>
      <c r="F4228" t="s">
        <v>36</v>
      </c>
      <c r="G4228" s="2" t="s">
        <v>23</v>
      </c>
      <c r="H4228" s="1">
        <v>74.094000000000008</v>
      </c>
    </row>
    <row r="4229" spans="1:8" x14ac:dyDescent="0.3">
      <c r="A4229" s="2">
        <v>737</v>
      </c>
      <c r="B4229" t="s">
        <v>1546</v>
      </c>
      <c r="C4229" t="s">
        <v>0</v>
      </c>
      <c r="D4229" s="2">
        <v>1</v>
      </c>
      <c r="E4229" s="11" t="s">
        <v>261</v>
      </c>
      <c r="F4229" t="s">
        <v>28</v>
      </c>
      <c r="G4229" s="2" t="s">
        <v>23</v>
      </c>
      <c r="H4229" s="1">
        <v>173.79400000000001</v>
      </c>
    </row>
    <row r="4230" spans="1:8" x14ac:dyDescent="0.3">
      <c r="A4230" s="2">
        <v>737</v>
      </c>
      <c r="B4230" t="s">
        <v>1332</v>
      </c>
      <c r="C4230" t="s">
        <v>3224</v>
      </c>
      <c r="D4230" s="2">
        <v>1</v>
      </c>
      <c r="E4230" s="11" t="s">
        <v>656</v>
      </c>
      <c r="F4230" t="s">
        <v>28</v>
      </c>
      <c r="G4230" s="2" t="s">
        <v>31</v>
      </c>
      <c r="H4230" s="1">
        <v>74.094000000000008</v>
      </c>
    </row>
    <row r="4231" spans="1:8" x14ac:dyDescent="0.3">
      <c r="A4231" s="2">
        <v>738</v>
      </c>
      <c r="B4231" t="s">
        <v>1545</v>
      </c>
      <c r="C4231" t="s">
        <v>3</v>
      </c>
      <c r="D4231" s="2">
        <v>1</v>
      </c>
      <c r="E4231" s="11" t="s">
        <v>1544</v>
      </c>
      <c r="F4231" t="s">
        <v>55</v>
      </c>
      <c r="G4231" s="2" t="s">
        <v>31</v>
      </c>
      <c r="H4231" s="1">
        <v>95.294000000000011</v>
      </c>
    </row>
    <row r="4232" spans="1:8" x14ac:dyDescent="0.3">
      <c r="A4232" s="2">
        <v>738</v>
      </c>
      <c r="B4232" t="s">
        <v>1508</v>
      </c>
      <c r="C4232" t="s">
        <v>3238</v>
      </c>
      <c r="D4232" s="2">
        <v>1</v>
      </c>
      <c r="E4232" s="11" t="s">
        <v>952</v>
      </c>
      <c r="F4232" t="s">
        <v>55</v>
      </c>
      <c r="G4232" s="2" t="s">
        <v>23</v>
      </c>
      <c r="H4232" s="1">
        <v>105.89400000000001</v>
      </c>
    </row>
    <row r="4233" spans="1:8" x14ac:dyDescent="0.3">
      <c r="A4233" s="2">
        <v>738</v>
      </c>
      <c r="B4233" t="s">
        <v>1035</v>
      </c>
      <c r="C4233" t="s">
        <v>3224</v>
      </c>
      <c r="D4233" s="2">
        <v>1</v>
      </c>
      <c r="E4233" s="11" t="s">
        <v>499</v>
      </c>
      <c r="F4233" t="s">
        <v>55</v>
      </c>
      <c r="G4233" s="2" t="s">
        <v>23</v>
      </c>
      <c r="H4233" s="1">
        <v>84.694000000000017</v>
      </c>
    </row>
    <row r="4234" spans="1:8" x14ac:dyDescent="0.3">
      <c r="A4234" s="2">
        <v>738</v>
      </c>
      <c r="B4234" t="s">
        <v>1543</v>
      </c>
      <c r="C4234" t="s">
        <v>3365</v>
      </c>
      <c r="D4234" s="2">
        <v>1</v>
      </c>
      <c r="E4234" s="11" t="s">
        <v>1541</v>
      </c>
      <c r="F4234" t="s">
        <v>126</v>
      </c>
      <c r="G4234" s="2" t="s">
        <v>23</v>
      </c>
      <c r="H4234" s="1">
        <v>137.69400000000002</v>
      </c>
    </row>
    <row r="4235" spans="1:8" x14ac:dyDescent="0.3">
      <c r="A4235" s="2">
        <v>738</v>
      </c>
      <c r="B4235" t="s">
        <v>1542</v>
      </c>
      <c r="C4235" t="s">
        <v>3365</v>
      </c>
      <c r="D4235" s="2">
        <v>1</v>
      </c>
      <c r="E4235" s="11" t="s">
        <v>1541</v>
      </c>
      <c r="F4235" t="s">
        <v>28</v>
      </c>
      <c r="G4235" s="2" t="s">
        <v>31</v>
      </c>
      <c r="H4235" s="1">
        <v>137.69400000000002</v>
      </c>
    </row>
    <row r="4236" spans="1:8" x14ac:dyDescent="0.3">
      <c r="A4236" s="2">
        <v>738</v>
      </c>
      <c r="B4236" t="s">
        <v>1540</v>
      </c>
      <c r="C4236" t="s">
        <v>1</v>
      </c>
      <c r="D4236" s="2">
        <v>1</v>
      </c>
      <c r="E4236" s="11" t="s">
        <v>58</v>
      </c>
      <c r="F4236" t="s">
        <v>28</v>
      </c>
      <c r="G4236" s="2" t="s">
        <v>23</v>
      </c>
      <c r="H4236" s="1">
        <v>52.893999999999998</v>
      </c>
    </row>
    <row r="4237" spans="1:8" x14ac:dyDescent="0.3">
      <c r="A4237" s="2">
        <v>738</v>
      </c>
      <c r="B4237" t="s">
        <v>1539</v>
      </c>
      <c r="C4237" t="s">
        <v>3221</v>
      </c>
      <c r="D4237" s="2">
        <v>1</v>
      </c>
      <c r="E4237" s="11" t="s">
        <v>642</v>
      </c>
      <c r="F4237" t="s">
        <v>55</v>
      </c>
      <c r="G4237" s="2" t="s">
        <v>203</v>
      </c>
      <c r="H4237" s="1">
        <v>95.294000000000011</v>
      </c>
    </row>
    <row r="4238" spans="1:8" x14ac:dyDescent="0.3">
      <c r="A4238" s="2">
        <v>738</v>
      </c>
      <c r="B4238" t="s">
        <v>1538</v>
      </c>
      <c r="C4238" t="s">
        <v>3220</v>
      </c>
      <c r="D4238" s="2">
        <v>1</v>
      </c>
      <c r="E4238" s="11" t="s">
        <v>960</v>
      </c>
      <c r="F4238" t="s">
        <v>959</v>
      </c>
      <c r="G4238" s="2" t="s">
        <v>31</v>
      </c>
      <c r="H4238" s="1">
        <v>42.294000000000004</v>
      </c>
    </row>
    <row r="4239" spans="1:8" x14ac:dyDescent="0.3">
      <c r="A4239" s="2">
        <v>738</v>
      </c>
      <c r="B4239" t="s">
        <v>1537</v>
      </c>
      <c r="C4239" t="s">
        <v>3</v>
      </c>
      <c r="D4239" s="2">
        <v>1</v>
      </c>
      <c r="E4239" s="11" t="s">
        <v>1524</v>
      </c>
      <c r="F4239" t="s">
        <v>959</v>
      </c>
      <c r="G4239" s="2" t="s">
        <v>31</v>
      </c>
      <c r="H4239" s="1">
        <v>100.59400000000001</v>
      </c>
    </row>
    <row r="4240" spans="1:8" x14ac:dyDescent="0.3">
      <c r="A4240" s="2">
        <v>738</v>
      </c>
      <c r="B4240" t="s">
        <v>1297</v>
      </c>
      <c r="C4240" t="s">
        <v>3221</v>
      </c>
      <c r="D4240" s="2">
        <v>1</v>
      </c>
      <c r="E4240" s="11" t="s">
        <v>383</v>
      </c>
      <c r="F4240" t="s">
        <v>114</v>
      </c>
      <c r="G4240" s="2" t="s">
        <v>4</v>
      </c>
      <c r="H4240" s="1">
        <v>164.19400000000002</v>
      </c>
    </row>
    <row r="4241" spans="1:8" x14ac:dyDescent="0.3">
      <c r="A4241" s="2">
        <v>738</v>
      </c>
      <c r="B4241" t="s">
        <v>1536</v>
      </c>
      <c r="C4241" t="s">
        <v>3</v>
      </c>
      <c r="D4241" s="2">
        <v>1</v>
      </c>
      <c r="E4241" s="11" t="s">
        <v>1535</v>
      </c>
      <c r="F4241" t="s">
        <v>114</v>
      </c>
      <c r="G4241" s="2" t="s">
        <v>31</v>
      </c>
      <c r="H4241" s="1">
        <v>95.294000000000011</v>
      </c>
    </row>
    <row r="4242" spans="1:8" x14ac:dyDescent="0.3">
      <c r="A4242" s="2">
        <v>738</v>
      </c>
      <c r="B4242" t="s">
        <v>908</v>
      </c>
      <c r="C4242" t="s">
        <v>3220</v>
      </c>
      <c r="D4242" s="2">
        <v>1</v>
      </c>
      <c r="E4242" s="11" t="s">
        <v>847</v>
      </c>
      <c r="F4242" t="s">
        <v>114</v>
      </c>
      <c r="G4242" s="2" t="s">
        <v>31</v>
      </c>
      <c r="H4242" s="1">
        <v>21.094000000000001</v>
      </c>
    </row>
    <row r="4243" spans="1:8" x14ac:dyDescent="0.3">
      <c r="A4243" s="2">
        <v>738</v>
      </c>
      <c r="B4243" t="s">
        <v>1534</v>
      </c>
      <c r="C4243" t="s">
        <v>3233</v>
      </c>
      <c r="D4243" s="2">
        <v>2</v>
      </c>
      <c r="E4243" s="11" t="s">
        <v>1278</v>
      </c>
      <c r="F4243" t="s">
        <v>114</v>
      </c>
      <c r="G4243" s="2" t="s">
        <v>4</v>
      </c>
      <c r="H4243" s="1">
        <v>100.59400000000001</v>
      </c>
    </row>
    <row r="4244" spans="1:8" x14ac:dyDescent="0.3">
      <c r="A4244" s="2">
        <v>738</v>
      </c>
      <c r="B4244" t="s">
        <v>612</v>
      </c>
      <c r="C4244" t="s">
        <v>1</v>
      </c>
      <c r="D4244" s="2">
        <v>1</v>
      </c>
      <c r="E4244" s="11" t="s">
        <v>172</v>
      </c>
      <c r="F4244" t="s">
        <v>114</v>
      </c>
      <c r="G4244" s="2" t="s">
        <v>31</v>
      </c>
      <c r="H4244" s="1">
        <v>47.594000000000001</v>
      </c>
    </row>
    <row r="4245" spans="1:8" x14ac:dyDescent="0.3">
      <c r="A4245" s="2">
        <v>738</v>
      </c>
      <c r="B4245" t="s">
        <v>611</v>
      </c>
      <c r="C4245" t="s">
        <v>1</v>
      </c>
      <c r="D4245" s="2">
        <v>1</v>
      </c>
      <c r="E4245" s="11" t="s">
        <v>172</v>
      </c>
      <c r="F4245" t="s">
        <v>114</v>
      </c>
      <c r="G4245" s="2" t="s">
        <v>23</v>
      </c>
      <c r="H4245" s="1">
        <v>47.594000000000001</v>
      </c>
    </row>
    <row r="4246" spans="1:8" x14ac:dyDescent="0.3">
      <c r="A4246" s="2">
        <v>738</v>
      </c>
      <c r="B4246" t="s">
        <v>1533</v>
      </c>
      <c r="C4246" t="s">
        <v>3221</v>
      </c>
      <c r="D4246" s="2">
        <v>1</v>
      </c>
      <c r="E4246" s="11" t="s">
        <v>642</v>
      </c>
      <c r="F4246" t="s">
        <v>114</v>
      </c>
      <c r="G4246" s="2" t="s">
        <v>31</v>
      </c>
      <c r="H4246" s="1">
        <v>95.294000000000011</v>
      </c>
    </row>
    <row r="4247" spans="1:8" x14ac:dyDescent="0.3">
      <c r="A4247" s="2">
        <v>738</v>
      </c>
      <c r="B4247" t="s">
        <v>1408</v>
      </c>
      <c r="C4247" t="s">
        <v>3224</v>
      </c>
      <c r="D4247" s="2">
        <v>1</v>
      </c>
      <c r="E4247" s="11" t="s">
        <v>499</v>
      </c>
      <c r="F4247" t="s">
        <v>47</v>
      </c>
      <c r="G4247" s="2" t="s">
        <v>23</v>
      </c>
      <c r="H4247" s="1">
        <v>84.694000000000017</v>
      </c>
    </row>
    <row r="4248" spans="1:8" x14ac:dyDescent="0.3">
      <c r="A4248" s="2">
        <v>738</v>
      </c>
      <c r="B4248" t="s">
        <v>1476</v>
      </c>
      <c r="C4248" t="s">
        <v>3219</v>
      </c>
      <c r="D4248" s="2">
        <v>1</v>
      </c>
      <c r="E4248" s="11" t="s">
        <v>892</v>
      </c>
      <c r="F4248" t="s">
        <v>47</v>
      </c>
      <c r="G4248" s="2" t="s">
        <v>4</v>
      </c>
      <c r="H4248" s="1">
        <v>158.89400000000001</v>
      </c>
    </row>
    <row r="4249" spans="1:8" x14ac:dyDescent="0.3">
      <c r="A4249" s="2">
        <v>738</v>
      </c>
      <c r="B4249" t="s">
        <v>1532</v>
      </c>
      <c r="C4249" t="s">
        <v>3219</v>
      </c>
      <c r="D4249" s="2">
        <v>1</v>
      </c>
      <c r="E4249" s="11" t="s">
        <v>892</v>
      </c>
      <c r="F4249" t="s">
        <v>47</v>
      </c>
      <c r="G4249" s="2" t="s">
        <v>31</v>
      </c>
      <c r="H4249" s="1">
        <v>158.89400000000001</v>
      </c>
    </row>
    <row r="4250" spans="1:8" x14ac:dyDescent="0.3">
      <c r="A4250" s="2">
        <v>738</v>
      </c>
      <c r="B4250" t="s">
        <v>1531</v>
      </c>
      <c r="C4250" t="s">
        <v>3219</v>
      </c>
      <c r="D4250" s="2">
        <v>2</v>
      </c>
      <c r="E4250" s="11" t="s">
        <v>892</v>
      </c>
      <c r="F4250" t="s">
        <v>47</v>
      </c>
      <c r="G4250" s="2" t="s">
        <v>23</v>
      </c>
      <c r="H4250" s="1">
        <v>158.89400000000001</v>
      </c>
    </row>
    <row r="4251" spans="1:8" x14ac:dyDescent="0.3">
      <c r="A4251" s="2">
        <v>738</v>
      </c>
      <c r="B4251" t="s">
        <v>1530</v>
      </c>
      <c r="C4251" t="s">
        <v>0</v>
      </c>
      <c r="D4251" s="2">
        <v>1</v>
      </c>
      <c r="E4251" s="11" t="s">
        <v>1106</v>
      </c>
      <c r="F4251" t="s">
        <v>47</v>
      </c>
      <c r="G4251" s="2" t="s">
        <v>23</v>
      </c>
      <c r="H4251" s="1">
        <v>185.39400000000001</v>
      </c>
    </row>
    <row r="4252" spans="1:8" x14ac:dyDescent="0.3">
      <c r="A4252" s="2">
        <v>738</v>
      </c>
      <c r="B4252" t="s">
        <v>1529</v>
      </c>
      <c r="C4252" t="s">
        <v>3220</v>
      </c>
      <c r="D4252" s="2">
        <v>1</v>
      </c>
      <c r="E4252" s="11" t="s">
        <v>185</v>
      </c>
      <c r="F4252" t="s">
        <v>47</v>
      </c>
      <c r="G4252" s="2" t="s">
        <v>23</v>
      </c>
      <c r="H4252" s="1">
        <v>84.694000000000017</v>
      </c>
    </row>
    <row r="4253" spans="1:8" x14ac:dyDescent="0.3">
      <c r="A4253" s="2">
        <v>738</v>
      </c>
      <c r="B4253" t="s">
        <v>643</v>
      </c>
      <c r="C4253" t="s">
        <v>3221</v>
      </c>
      <c r="D4253" s="2">
        <v>1</v>
      </c>
      <c r="E4253" s="11" t="s">
        <v>642</v>
      </c>
      <c r="F4253" t="s">
        <v>47</v>
      </c>
      <c r="G4253" s="2" t="s">
        <v>4</v>
      </c>
      <c r="H4253" s="1">
        <v>95.294000000000011</v>
      </c>
    </row>
    <row r="4254" spans="1:8" x14ac:dyDescent="0.3">
      <c r="A4254" s="2">
        <v>738</v>
      </c>
      <c r="B4254" t="s">
        <v>1528</v>
      </c>
      <c r="C4254" t="s">
        <v>3221</v>
      </c>
      <c r="D4254" s="2">
        <v>1</v>
      </c>
      <c r="E4254" s="11" t="s">
        <v>642</v>
      </c>
      <c r="F4254" t="s">
        <v>47</v>
      </c>
      <c r="G4254" s="2" t="s">
        <v>31</v>
      </c>
      <c r="H4254" s="1">
        <v>95.294000000000011</v>
      </c>
    </row>
    <row r="4255" spans="1:8" x14ac:dyDescent="0.3">
      <c r="A4255" s="2">
        <v>738</v>
      </c>
      <c r="B4255" t="s">
        <v>1475</v>
      </c>
      <c r="C4255" t="s">
        <v>3225</v>
      </c>
      <c r="D4255" s="2">
        <v>1</v>
      </c>
      <c r="E4255" s="11" t="s">
        <v>239</v>
      </c>
      <c r="F4255" t="s">
        <v>39</v>
      </c>
      <c r="G4255" s="2" t="s">
        <v>4</v>
      </c>
      <c r="H4255" s="1">
        <v>148.29400000000001</v>
      </c>
    </row>
    <row r="4256" spans="1:8" x14ac:dyDescent="0.3">
      <c r="A4256" s="2">
        <v>738</v>
      </c>
      <c r="B4256" t="s">
        <v>1527</v>
      </c>
      <c r="C4256" t="s">
        <v>3225</v>
      </c>
      <c r="D4256" s="2">
        <v>1</v>
      </c>
      <c r="E4256" s="11" t="s">
        <v>1409</v>
      </c>
      <c r="F4256" t="s">
        <v>39</v>
      </c>
      <c r="G4256" s="2" t="s">
        <v>4</v>
      </c>
      <c r="H4256" s="1">
        <v>158.89400000000001</v>
      </c>
    </row>
    <row r="4257" spans="1:8" x14ac:dyDescent="0.3">
      <c r="A4257" s="2">
        <v>738</v>
      </c>
      <c r="B4257" t="s">
        <v>981</v>
      </c>
      <c r="C4257" t="s">
        <v>3219</v>
      </c>
      <c r="D4257" s="2">
        <v>1</v>
      </c>
      <c r="E4257" s="11" t="s">
        <v>892</v>
      </c>
      <c r="F4257" t="s">
        <v>39</v>
      </c>
      <c r="G4257" s="2" t="s">
        <v>31</v>
      </c>
      <c r="H4257" s="1">
        <v>158.89400000000001</v>
      </c>
    </row>
    <row r="4258" spans="1:8" x14ac:dyDescent="0.3">
      <c r="A4258" s="2">
        <v>738</v>
      </c>
      <c r="B4258" t="s">
        <v>1283</v>
      </c>
      <c r="C4258" t="s">
        <v>1</v>
      </c>
      <c r="D4258" s="2">
        <v>1</v>
      </c>
      <c r="E4258" s="11" t="s">
        <v>58</v>
      </c>
      <c r="F4258" t="s">
        <v>39</v>
      </c>
      <c r="G4258" s="2" t="s">
        <v>31</v>
      </c>
      <c r="H4258" s="1">
        <v>52.893999999999998</v>
      </c>
    </row>
    <row r="4259" spans="1:8" x14ac:dyDescent="0.3">
      <c r="A4259" s="2">
        <v>738</v>
      </c>
      <c r="B4259" t="s">
        <v>1076</v>
      </c>
      <c r="C4259" t="s">
        <v>3238</v>
      </c>
      <c r="D4259" s="2">
        <v>1</v>
      </c>
      <c r="E4259" s="11" t="s">
        <v>952</v>
      </c>
      <c r="F4259" t="s">
        <v>39</v>
      </c>
      <c r="G4259" s="2" t="s">
        <v>31</v>
      </c>
      <c r="H4259" s="1">
        <v>105.89400000000001</v>
      </c>
    </row>
    <row r="4260" spans="1:8" x14ac:dyDescent="0.3">
      <c r="A4260" s="2">
        <v>738</v>
      </c>
      <c r="B4260" t="s">
        <v>1455</v>
      </c>
      <c r="C4260" t="s">
        <v>1</v>
      </c>
      <c r="D4260" s="2">
        <v>1</v>
      </c>
      <c r="E4260" s="11" t="s">
        <v>1454</v>
      </c>
      <c r="F4260" t="s">
        <v>28</v>
      </c>
      <c r="G4260" s="2" t="s">
        <v>23</v>
      </c>
      <c r="H4260" s="1">
        <v>79.394000000000005</v>
      </c>
    </row>
    <row r="4261" spans="1:8" x14ac:dyDescent="0.3">
      <c r="A4261" s="2">
        <v>738</v>
      </c>
      <c r="B4261" t="s">
        <v>1526</v>
      </c>
      <c r="C4261" t="s">
        <v>3220</v>
      </c>
      <c r="D4261" s="2">
        <v>1</v>
      </c>
      <c r="E4261" s="11" t="s">
        <v>960</v>
      </c>
      <c r="F4261" t="s">
        <v>28</v>
      </c>
      <c r="G4261" s="2" t="s">
        <v>23</v>
      </c>
      <c r="H4261" s="1">
        <v>42.294000000000004</v>
      </c>
    </row>
    <row r="4262" spans="1:8" x14ac:dyDescent="0.3">
      <c r="A4262" s="2">
        <v>738</v>
      </c>
      <c r="B4262" t="s">
        <v>1525</v>
      </c>
      <c r="C4262" t="s">
        <v>3</v>
      </c>
      <c r="D4262" s="2">
        <v>1</v>
      </c>
      <c r="E4262" s="11" t="s">
        <v>1524</v>
      </c>
      <c r="F4262" t="s">
        <v>28</v>
      </c>
      <c r="G4262" s="2" t="s">
        <v>23</v>
      </c>
      <c r="H4262" s="1">
        <v>100.59400000000001</v>
      </c>
    </row>
    <row r="4263" spans="1:8" x14ac:dyDescent="0.3">
      <c r="A4263" s="2">
        <v>738</v>
      </c>
      <c r="B4263" t="s">
        <v>374</v>
      </c>
      <c r="C4263" t="s">
        <v>3365</v>
      </c>
      <c r="D4263" s="2">
        <v>1</v>
      </c>
      <c r="E4263" s="11" t="s">
        <v>373</v>
      </c>
      <c r="F4263" t="s">
        <v>28</v>
      </c>
      <c r="G4263" s="2" t="s">
        <v>4</v>
      </c>
      <c r="H4263" s="1">
        <v>164.19400000000002</v>
      </c>
    </row>
    <row r="4264" spans="1:8" x14ac:dyDescent="0.3">
      <c r="A4264" s="2">
        <v>738</v>
      </c>
      <c r="B4264" t="s">
        <v>1523</v>
      </c>
      <c r="C4264" t="s">
        <v>3233</v>
      </c>
      <c r="D4264" s="2">
        <v>2</v>
      </c>
      <c r="E4264" s="11" t="s">
        <v>1278</v>
      </c>
      <c r="F4264" t="s">
        <v>28</v>
      </c>
      <c r="G4264" s="2" t="s">
        <v>4</v>
      </c>
      <c r="H4264" s="1">
        <v>100.59400000000001</v>
      </c>
    </row>
    <row r="4265" spans="1:8" x14ac:dyDescent="0.3">
      <c r="A4265" s="2">
        <v>738</v>
      </c>
      <c r="B4265" t="s">
        <v>1522</v>
      </c>
      <c r="C4265" t="s">
        <v>3220</v>
      </c>
      <c r="D4265" s="2">
        <v>1</v>
      </c>
      <c r="E4265" s="11" t="s">
        <v>956</v>
      </c>
      <c r="F4265" t="s">
        <v>28</v>
      </c>
      <c r="G4265" s="2" t="s">
        <v>31</v>
      </c>
      <c r="H4265" s="1">
        <v>47.594000000000001</v>
      </c>
    </row>
    <row r="4266" spans="1:8" x14ac:dyDescent="0.3">
      <c r="A4266" s="2">
        <v>738</v>
      </c>
      <c r="B4266" t="s">
        <v>569</v>
      </c>
      <c r="C4266" t="s">
        <v>1</v>
      </c>
      <c r="D4266" s="2">
        <v>1</v>
      </c>
      <c r="E4266" s="11" t="s">
        <v>172</v>
      </c>
      <c r="F4266" t="s">
        <v>28</v>
      </c>
      <c r="G4266" s="2" t="s">
        <v>31</v>
      </c>
      <c r="H4266" s="1">
        <v>47.594000000000001</v>
      </c>
    </row>
    <row r="4267" spans="1:8" x14ac:dyDescent="0.3">
      <c r="A4267" s="2">
        <v>738</v>
      </c>
      <c r="B4267" t="s">
        <v>1440</v>
      </c>
      <c r="C4267" t="s">
        <v>3238</v>
      </c>
      <c r="D4267" s="2">
        <v>1</v>
      </c>
      <c r="E4267" s="11" t="s">
        <v>871</v>
      </c>
      <c r="F4267" t="s">
        <v>28</v>
      </c>
      <c r="G4267" s="2" t="s">
        <v>31</v>
      </c>
      <c r="H4267" s="1">
        <v>68.794000000000011</v>
      </c>
    </row>
    <row r="4268" spans="1:8" x14ac:dyDescent="0.3">
      <c r="A4268" s="2">
        <v>738</v>
      </c>
      <c r="B4268" t="s">
        <v>848</v>
      </c>
      <c r="C4268" t="s">
        <v>3220</v>
      </c>
      <c r="D4268" s="2">
        <v>1</v>
      </c>
      <c r="E4268" s="11" t="s">
        <v>847</v>
      </c>
      <c r="F4268" t="s">
        <v>24</v>
      </c>
      <c r="G4268" s="2" t="s">
        <v>23</v>
      </c>
      <c r="H4268" s="1">
        <v>21.094000000000001</v>
      </c>
    </row>
    <row r="4269" spans="1:8" x14ac:dyDescent="0.3">
      <c r="A4269" s="2">
        <v>739</v>
      </c>
      <c r="B4269" t="s">
        <v>1519</v>
      </c>
      <c r="C4269" t="s">
        <v>0</v>
      </c>
      <c r="D4269" s="2">
        <v>1</v>
      </c>
      <c r="E4269" s="11" t="s">
        <v>1304</v>
      </c>
      <c r="F4269" t="s">
        <v>114</v>
      </c>
      <c r="G4269" s="2" t="s">
        <v>23</v>
      </c>
      <c r="H4269" s="1">
        <v>212.89400000000001</v>
      </c>
    </row>
    <row r="4270" spans="1:8" x14ac:dyDescent="0.3">
      <c r="A4270" s="2">
        <v>739</v>
      </c>
      <c r="B4270" t="s">
        <v>1232</v>
      </c>
      <c r="C4270" t="s">
        <v>3224</v>
      </c>
      <c r="D4270" s="2">
        <v>1</v>
      </c>
      <c r="E4270" s="11" t="s">
        <v>1231</v>
      </c>
      <c r="F4270" t="s">
        <v>114</v>
      </c>
      <c r="G4270" s="2" t="s">
        <v>31</v>
      </c>
      <c r="H4270" s="1">
        <v>105.89400000000001</v>
      </c>
    </row>
    <row r="4271" spans="1:8" x14ac:dyDescent="0.3">
      <c r="A4271" s="2">
        <v>739</v>
      </c>
      <c r="B4271" t="s">
        <v>1070</v>
      </c>
      <c r="C4271" t="s">
        <v>0</v>
      </c>
      <c r="D4271" s="2">
        <v>1</v>
      </c>
      <c r="E4271" s="11" t="s">
        <v>987</v>
      </c>
      <c r="F4271" t="s">
        <v>114</v>
      </c>
      <c r="G4271" s="2" t="s">
        <v>23</v>
      </c>
      <c r="H4271" s="1">
        <v>185.39400000000001</v>
      </c>
    </row>
    <row r="4272" spans="1:8" x14ac:dyDescent="0.3">
      <c r="A4272" s="2">
        <v>739</v>
      </c>
      <c r="B4272" t="s">
        <v>1521</v>
      </c>
      <c r="C4272" t="s">
        <v>1</v>
      </c>
      <c r="D4272" s="2">
        <v>1</v>
      </c>
      <c r="E4272" s="11" t="s">
        <v>1241</v>
      </c>
      <c r="F4272" t="s">
        <v>114</v>
      </c>
      <c r="G4272" s="2" t="s">
        <v>4</v>
      </c>
      <c r="H4272" s="1">
        <v>74.094000000000008</v>
      </c>
    </row>
    <row r="4273" spans="1:8" x14ac:dyDescent="0.3">
      <c r="A4273" s="2">
        <v>739</v>
      </c>
      <c r="B4273" t="s">
        <v>611</v>
      </c>
      <c r="C4273" t="s">
        <v>1</v>
      </c>
      <c r="D4273" s="2">
        <v>1</v>
      </c>
      <c r="E4273" s="11" t="s">
        <v>172</v>
      </c>
      <c r="F4273" t="s">
        <v>114</v>
      </c>
      <c r="G4273" s="2" t="s">
        <v>23</v>
      </c>
      <c r="H4273" s="1">
        <v>47.594000000000001</v>
      </c>
    </row>
    <row r="4274" spans="1:8" x14ac:dyDescent="0.3">
      <c r="A4274" s="2">
        <v>739</v>
      </c>
      <c r="B4274" t="s">
        <v>803</v>
      </c>
      <c r="C4274" t="s">
        <v>3233</v>
      </c>
      <c r="D4274" s="2">
        <v>1</v>
      </c>
      <c r="E4274" s="11" t="s">
        <v>802</v>
      </c>
      <c r="F4274" t="s">
        <v>36</v>
      </c>
      <c r="G4274" s="2" t="s">
        <v>31</v>
      </c>
      <c r="H4274" s="1">
        <v>68.794000000000011</v>
      </c>
    </row>
    <row r="4275" spans="1:8" x14ac:dyDescent="0.3">
      <c r="A4275" s="2">
        <v>739</v>
      </c>
      <c r="B4275" t="s">
        <v>881</v>
      </c>
      <c r="C4275" t="s">
        <v>3224</v>
      </c>
      <c r="D4275" s="2">
        <v>1</v>
      </c>
      <c r="E4275" s="11" t="s">
        <v>656</v>
      </c>
      <c r="F4275" t="s">
        <v>47</v>
      </c>
      <c r="G4275" s="2" t="s">
        <v>23</v>
      </c>
      <c r="H4275" s="1">
        <v>74.094000000000008</v>
      </c>
    </row>
    <row r="4276" spans="1:8" x14ac:dyDescent="0.3">
      <c r="A4276" s="2">
        <v>739</v>
      </c>
      <c r="B4276" t="s">
        <v>1490</v>
      </c>
      <c r="C4276" t="s">
        <v>1</v>
      </c>
      <c r="D4276" s="2">
        <v>1</v>
      </c>
      <c r="E4276" s="11" t="s">
        <v>279</v>
      </c>
      <c r="F4276" t="s">
        <v>39</v>
      </c>
      <c r="G4276" s="2" t="s">
        <v>4</v>
      </c>
      <c r="H4276" s="1">
        <v>47.594000000000001</v>
      </c>
    </row>
    <row r="4277" spans="1:8" x14ac:dyDescent="0.3">
      <c r="A4277" s="2">
        <v>739</v>
      </c>
      <c r="B4277" t="s">
        <v>1520</v>
      </c>
      <c r="C4277" t="s">
        <v>3221</v>
      </c>
      <c r="D4277" s="2">
        <v>1</v>
      </c>
      <c r="E4277" s="11" t="s">
        <v>642</v>
      </c>
      <c r="F4277" t="s">
        <v>24</v>
      </c>
      <c r="G4277" s="2" t="s">
        <v>203</v>
      </c>
      <c r="H4277" s="1">
        <v>95.294000000000011</v>
      </c>
    </row>
    <row r="4278" spans="1:8" x14ac:dyDescent="0.3">
      <c r="A4278" s="2">
        <v>740</v>
      </c>
      <c r="B4278" t="s">
        <v>1519</v>
      </c>
      <c r="C4278" t="s">
        <v>0</v>
      </c>
      <c r="D4278" s="2">
        <v>1</v>
      </c>
      <c r="E4278" s="11" t="s">
        <v>1304</v>
      </c>
      <c r="F4278" t="s">
        <v>114</v>
      </c>
      <c r="G4278" s="2" t="s">
        <v>23</v>
      </c>
      <c r="H4278" s="1">
        <v>212.89400000000001</v>
      </c>
    </row>
    <row r="4279" spans="1:8" x14ac:dyDescent="0.3">
      <c r="A4279" s="2">
        <v>740</v>
      </c>
      <c r="B4279" t="s">
        <v>1518</v>
      </c>
      <c r="C4279" t="s">
        <v>0</v>
      </c>
      <c r="D4279" s="2">
        <v>1</v>
      </c>
      <c r="E4279" s="11" t="s">
        <v>564</v>
      </c>
      <c r="F4279" t="s">
        <v>114</v>
      </c>
      <c r="G4279" s="2" t="s">
        <v>23</v>
      </c>
      <c r="H4279" s="1">
        <v>227.79400000000001</v>
      </c>
    </row>
    <row r="4280" spans="1:8" x14ac:dyDescent="0.3">
      <c r="A4280" s="2">
        <v>740</v>
      </c>
      <c r="B4280" t="s">
        <v>1170</v>
      </c>
      <c r="C4280" t="s">
        <v>3225</v>
      </c>
      <c r="D4280" s="2">
        <v>1</v>
      </c>
      <c r="E4280" s="11" t="s">
        <v>831</v>
      </c>
      <c r="F4280" t="s">
        <v>62</v>
      </c>
      <c r="G4280" s="2" t="s">
        <v>31</v>
      </c>
      <c r="H4280" s="1">
        <v>190.69400000000002</v>
      </c>
    </row>
    <row r="4281" spans="1:8" x14ac:dyDescent="0.3">
      <c r="A4281" s="2">
        <v>740</v>
      </c>
      <c r="B4281" t="s">
        <v>1517</v>
      </c>
      <c r="C4281" t="s">
        <v>3225</v>
      </c>
      <c r="D4281" s="2">
        <v>1</v>
      </c>
      <c r="E4281" s="11" t="s">
        <v>1409</v>
      </c>
      <c r="F4281" t="s">
        <v>39</v>
      </c>
      <c r="G4281" s="2" t="s">
        <v>31</v>
      </c>
      <c r="H4281" s="1">
        <v>158.89400000000001</v>
      </c>
    </row>
    <row r="4282" spans="1:8" x14ac:dyDescent="0.3">
      <c r="A4282" s="2">
        <v>740</v>
      </c>
      <c r="B4282" t="s">
        <v>1516</v>
      </c>
      <c r="C4282" t="s">
        <v>3</v>
      </c>
      <c r="D4282" s="2">
        <v>1</v>
      </c>
      <c r="E4282" s="11" t="s">
        <v>1356</v>
      </c>
      <c r="F4282" t="s">
        <v>39</v>
      </c>
      <c r="G4282" s="2" t="s">
        <v>31</v>
      </c>
      <c r="H4282" s="1">
        <v>111.19400000000002</v>
      </c>
    </row>
    <row r="4283" spans="1:8" x14ac:dyDescent="0.3">
      <c r="A4283" s="2">
        <v>740</v>
      </c>
      <c r="B4283" t="s">
        <v>1515</v>
      </c>
      <c r="C4283" t="s">
        <v>3221</v>
      </c>
      <c r="D4283" s="2">
        <v>1</v>
      </c>
      <c r="E4283" s="11" t="s">
        <v>1180</v>
      </c>
      <c r="F4283" t="s">
        <v>39</v>
      </c>
      <c r="G4283" s="2" t="s">
        <v>31</v>
      </c>
      <c r="H4283" s="1">
        <v>169.49400000000003</v>
      </c>
    </row>
    <row r="4284" spans="1:8" x14ac:dyDescent="0.3">
      <c r="A4284" s="2">
        <v>740</v>
      </c>
      <c r="B4284" t="s">
        <v>1514</v>
      </c>
      <c r="C4284" t="s">
        <v>3</v>
      </c>
      <c r="D4284" s="2">
        <v>1</v>
      </c>
      <c r="E4284" s="11" t="s">
        <v>215</v>
      </c>
      <c r="F4284" t="s">
        <v>39</v>
      </c>
      <c r="G4284" s="2" t="s">
        <v>31</v>
      </c>
      <c r="H4284" s="1">
        <v>111.19400000000002</v>
      </c>
    </row>
    <row r="4285" spans="1:8" x14ac:dyDescent="0.3">
      <c r="A4285" s="2">
        <v>740</v>
      </c>
      <c r="B4285" t="s">
        <v>1513</v>
      </c>
      <c r="C4285" t="s">
        <v>1</v>
      </c>
      <c r="D4285" s="2">
        <v>1</v>
      </c>
      <c r="E4285" s="11" t="s">
        <v>172</v>
      </c>
      <c r="F4285" t="s">
        <v>39</v>
      </c>
      <c r="G4285" s="2" t="s">
        <v>31</v>
      </c>
      <c r="H4285" s="1">
        <v>47.594000000000001</v>
      </c>
    </row>
    <row r="4286" spans="1:8" x14ac:dyDescent="0.3">
      <c r="A4286" s="2">
        <v>740</v>
      </c>
      <c r="B4286" t="s">
        <v>1137</v>
      </c>
      <c r="C4286" t="s">
        <v>3217</v>
      </c>
      <c r="D4286" s="2">
        <v>1</v>
      </c>
      <c r="E4286" s="11" t="s">
        <v>425</v>
      </c>
      <c r="F4286" t="s">
        <v>39</v>
      </c>
      <c r="G4286" s="2" t="s">
        <v>31</v>
      </c>
      <c r="H4286" s="1">
        <v>84.694000000000017</v>
      </c>
    </row>
    <row r="4287" spans="1:8" x14ac:dyDescent="0.3">
      <c r="A4287" s="2">
        <v>740</v>
      </c>
      <c r="B4287" t="s">
        <v>1512</v>
      </c>
      <c r="C4287" t="s">
        <v>3219</v>
      </c>
      <c r="D4287" s="2">
        <v>1</v>
      </c>
      <c r="E4287" s="11" t="s">
        <v>91</v>
      </c>
      <c r="F4287" t="s">
        <v>39</v>
      </c>
      <c r="G4287" s="2" t="s">
        <v>31</v>
      </c>
      <c r="H4287" s="1">
        <v>111.19400000000002</v>
      </c>
    </row>
    <row r="4288" spans="1:8" x14ac:dyDescent="0.3">
      <c r="A4288" s="2">
        <v>740</v>
      </c>
      <c r="B4288" t="s">
        <v>1279</v>
      </c>
      <c r="C4288" t="s">
        <v>3233</v>
      </c>
      <c r="D4288" s="2">
        <v>1</v>
      </c>
      <c r="E4288" s="11" t="s">
        <v>1278</v>
      </c>
      <c r="F4288" t="s">
        <v>36</v>
      </c>
      <c r="G4288" s="2" t="s">
        <v>31</v>
      </c>
      <c r="H4288" s="1">
        <v>100.59400000000001</v>
      </c>
    </row>
    <row r="4289" spans="1:8" x14ac:dyDescent="0.3">
      <c r="A4289" s="2">
        <v>740</v>
      </c>
      <c r="B4289" t="s">
        <v>1511</v>
      </c>
      <c r="C4289" t="s">
        <v>3225</v>
      </c>
      <c r="D4289" s="2">
        <v>1</v>
      </c>
      <c r="E4289" s="11" t="s">
        <v>1038</v>
      </c>
      <c r="F4289" t="s">
        <v>36</v>
      </c>
      <c r="G4289" s="2" t="s">
        <v>31</v>
      </c>
      <c r="H4289" s="1">
        <v>180.09400000000002</v>
      </c>
    </row>
    <row r="4290" spans="1:8" x14ac:dyDescent="0.3">
      <c r="A4290" s="2">
        <v>740</v>
      </c>
      <c r="B4290" t="s">
        <v>1135</v>
      </c>
      <c r="C4290" t="s">
        <v>3</v>
      </c>
      <c r="D4290" s="2">
        <v>1</v>
      </c>
      <c r="E4290" s="11" t="s">
        <v>1133</v>
      </c>
      <c r="F4290" t="s">
        <v>28</v>
      </c>
      <c r="G4290" s="2" t="s">
        <v>4</v>
      </c>
      <c r="H4290" s="1">
        <v>74.094000000000008</v>
      </c>
    </row>
    <row r="4291" spans="1:8" x14ac:dyDescent="0.3">
      <c r="A4291" s="2">
        <v>740</v>
      </c>
      <c r="B4291" t="s">
        <v>1289</v>
      </c>
      <c r="C4291" t="s">
        <v>2</v>
      </c>
      <c r="D4291" s="2">
        <v>1</v>
      </c>
      <c r="E4291" s="11" t="s">
        <v>1288</v>
      </c>
      <c r="F4291" t="s">
        <v>28</v>
      </c>
      <c r="G4291" s="2" t="s">
        <v>31</v>
      </c>
      <c r="H4291" s="1">
        <v>89.994000000000014</v>
      </c>
    </row>
    <row r="4292" spans="1:8" x14ac:dyDescent="0.3">
      <c r="A4292" s="2">
        <v>740</v>
      </c>
      <c r="B4292" t="s">
        <v>1370</v>
      </c>
      <c r="C4292" t="s">
        <v>3233</v>
      </c>
      <c r="D4292" s="2">
        <v>1</v>
      </c>
      <c r="E4292" s="11" t="s">
        <v>258</v>
      </c>
      <c r="F4292" t="s">
        <v>28</v>
      </c>
      <c r="G4292" s="2" t="s">
        <v>31</v>
      </c>
      <c r="H4292" s="1">
        <v>79.394000000000005</v>
      </c>
    </row>
    <row r="4293" spans="1:8" x14ac:dyDescent="0.3">
      <c r="A4293" s="2">
        <v>741</v>
      </c>
      <c r="B4293" t="s">
        <v>1510</v>
      </c>
      <c r="C4293" t="s">
        <v>3238</v>
      </c>
      <c r="D4293" s="2">
        <v>1</v>
      </c>
      <c r="E4293" s="11" t="s">
        <v>952</v>
      </c>
      <c r="F4293" t="s">
        <v>55</v>
      </c>
      <c r="G4293" s="2" t="s">
        <v>4</v>
      </c>
      <c r="H4293" s="1">
        <v>105.89400000000001</v>
      </c>
    </row>
    <row r="4294" spans="1:8" x14ac:dyDescent="0.3">
      <c r="A4294" s="2">
        <v>741</v>
      </c>
      <c r="B4294" t="s">
        <v>1509</v>
      </c>
      <c r="C4294" t="s">
        <v>3238</v>
      </c>
      <c r="D4294" s="2">
        <v>1</v>
      </c>
      <c r="E4294" s="11" t="s">
        <v>952</v>
      </c>
      <c r="F4294" t="s">
        <v>55</v>
      </c>
      <c r="G4294" s="2" t="s">
        <v>31</v>
      </c>
      <c r="H4294" s="1">
        <v>105.89400000000001</v>
      </c>
    </row>
    <row r="4295" spans="1:8" x14ac:dyDescent="0.3">
      <c r="A4295" s="2">
        <v>741</v>
      </c>
      <c r="B4295" t="s">
        <v>1508</v>
      </c>
      <c r="C4295" t="s">
        <v>3238</v>
      </c>
      <c r="D4295" s="2">
        <v>1</v>
      </c>
      <c r="E4295" s="11" t="s">
        <v>952</v>
      </c>
      <c r="F4295" t="s">
        <v>55</v>
      </c>
      <c r="G4295" s="2" t="s">
        <v>23</v>
      </c>
      <c r="H4295" s="1">
        <v>105.89400000000001</v>
      </c>
    </row>
    <row r="4296" spans="1:8" x14ac:dyDescent="0.3">
      <c r="A4296" s="2">
        <v>741</v>
      </c>
      <c r="B4296" t="s">
        <v>1507</v>
      </c>
      <c r="C4296" t="s">
        <v>3225</v>
      </c>
      <c r="D4296" s="2">
        <v>1</v>
      </c>
      <c r="E4296" s="11" t="s">
        <v>831</v>
      </c>
      <c r="F4296" t="s">
        <v>62</v>
      </c>
      <c r="G4296" s="2" t="s">
        <v>4</v>
      </c>
      <c r="H4296" s="1">
        <v>190.69400000000002</v>
      </c>
    </row>
    <row r="4297" spans="1:8" x14ac:dyDescent="0.3">
      <c r="A4297" s="2">
        <v>741</v>
      </c>
      <c r="B4297" t="s">
        <v>1170</v>
      </c>
      <c r="C4297" t="s">
        <v>3225</v>
      </c>
      <c r="D4297" s="2">
        <v>1</v>
      </c>
      <c r="E4297" s="11" t="s">
        <v>831</v>
      </c>
      <c r="F4297" t="s">
        <v>62</v>
      </c>
      <c r="G4297" s="2" t="s">
        <v>31</v>
      </c>
      <c r="H4297" s="1">
        <v>190.69400000000002</v>
      </c>
    </row>
    <row r="4298" spans="1:8" x14ac:dyDescent="0.3">
      <c r="A4298" s="2">
        <v>741</v>
      </c>
      <c r="B4298" t="s">
        <v>1432</v>
      </c>
      <c r="C4298" t="s">
        <v>3225</v>
      </c>
      <c r="D4298" s="2">
        <v>2</v>
      </c>
      <c r="E4298" s="11" t="s">
        <v>831</v>
      </c>
      <c r="F4298" t="s">
        <v>62</v>
      </c>
      <c r="G4298" s="2" t="s">
        <v>23</v>
      </c>
      <c r="H4298" s="1">
        <v>190.69400000000002</v>
      </c>
    </row>
    <row r="4299" spans="1:8" x14ac:dyDescent="0.3">
      <c r="A4299" s="2">
        <v>741</v>
      </c>
      <c r="B4299" t="s">
        <v>1506</v>
      </c>
      <c r="C4299" t="s">
        <v>3224</v>
      </c>
      <c r="D4299" s="2">
        <v>2</v>
      </c>
      <c r="E4299" s="11" t="s">
        <v>1399</v>
      </c>
      <c r="F4299" t="s">
        <v>114</v>
      </c>
      <c r="G4299" s="2" t="s">
        <v>31</v>
      </c>
      <c r="H4299" s="1">
        <v>63.494000000000007</v>
      </c>
    </row>
    <row r="4300" spans="1:8" x14ac:dyDescent="0.3">
      <c r="A4300" s="2">
        <v>741</v>
      </c>
      <c r="B4300" t="s">
        <v>1400</v>
      </c>
      <c r="C4300" t="s">
        <v>3224</v>
      </c>
      <c r="D4300" s="2">
        <v>2</v>
      </c>
      <c r="E4300" s="11" t="s">
        <v>1399</v>
      </c>
      <c r="F4300" t="s">
        <v>114</v>
      </c>
      <c r="G4300" s="2" t="s">
        <v>23</v>
      </c>
      <c r="H4300" s="1">
        <v>63.494000000000007</v>
      </c>
    </row>
    <row r="4301" spans="1:8" x14ac:dyDescent="0.3">
      <c r="A4301" s="2">
        <v>741</v>
      </c>
      <c r="B4301" t="s">
        <v>1505</v>
      </c>
      <c r="C4301" t="s">
        <v>3225</v>
      </c>
      <c r="D4301" s="2">
        <v>1</v>
      </c>
      <c r="E4301" s="11" t="s">
        <v>831</v>
      </c>
      <c r="F4301" t="s">
        <v>47</v>
      </c>
      <c r="G4301" s="2" t="s">
        <v>23</v>
      </c>
      <c r="H4301" s="1">
        <v>190.69400000000002</v>
      </c>
    </row>
    <row r="4302" spans="1:8" x14ac:dyDescent="0.3">
      <c r="A4302" s="2">
        <v>742</v>
      </c>
      <c r="B4302" t="s">
        <v>694</v>
      </c>
      <c r="C4302" t="s">
        <v>3220</v>
      </c>
      <c r="D4302" s="2">
        <v>1</v>
      </c>
      <c r="E4302" s="11" t="s">
        <v>204</v>
      </c>
      <c r="F4302" t="s">
        <v>55</v>
      </c>
      <c r="G4302" s="2" t="s">
        <v>4</v>
      </c>
      <c r="H4302" s="1">
        <v>42.294000000000004</v>
      </c>
    </row>
    <row r="4303" spans="1:8" x14ac:dyDescent="0.3">
      <c r="A4303" s="2">
        <v>742</v>
      </c>
      <c r="B4303" t="s">
        <v>728</v>
      </c>
      <c r="C4303" t="s">
        <v>3220</v>
      </c>
      <c r="D4303" s="2">
        <v>1</v>
      </c>
      <c r="E4303" s="11" t="s">
        <v>204</v>
      </c>
      <c r="F4303" t="s">
        <v>65</v>
      </c>
      <c r="G4303" s="2" t="s">
        <v>31</v>
      </c>
      <c r="H4303" s="1">
        <v>42.294000000000004</v>
      </c>
    </row>
    <row r="4304" spans="1:8" x14ac:dyDescent="0.3">
      <c r="A4304" s="2">
        <v>742</v>
      </c>
      <c r="B4304" t="s">
        <v>1383</v>
      </c>
      <c r="C4304" t="s">
        <v>3220</v>
      </c>
      <c r="D4304" s="2">
        <v>1</v>
      </c>
      <c r="E4304" s="11" t="s">
        <v>204</v>
      </c>
      <c r="F4304" t="s">
        <v>65</v>
      </c>
      <c r="G4304" s="2" t="s">
        <v>4</v>
      </c>
      <c r="H4304" s="1">
        <v>42.294000000000004</v>
      </c>
    </row>
    <row r="4305" spans="1:8" x14ac:dyDescent="0.3">
      <c r="A4305" s="2">
        <v>742</v>
      </c>
      <c r="B4305" t="s">
        <v>1472</v>
      </c>
      <c r="C4305" t="s">
        <v>3220</v>
      </c>
      <c r="D4305" s="2">
        <v>1</v>
      </c>
      <c r="E4305" s="11" t="s">
        <v>204</v>
      </c>
      <c r="F4305" t="s">
        <v>126</v>
      </c>
      <c r="G4305" s="2" t="s">
        <v>31</v>
      </c>
      <c r="H4305" s="1">
        <v>42.294000000000004</v>
      </c>
    </row>
    <row r="4306" spans="1:8" x14ac:dyDescent="0.3">
      <c r="A4306" s="2">
        <v>742</v>
      </c>
      <c r="B4306" t="s">
        <v>1331</v>
      </c>
      <c r="C4306" t="s">
        <v>2</v>
      </c>
      <c r="D4306" s="2">
        <v>1</v>
      </c>
      <c r="E4306" s="11" t="s">
        <v>783</v>
      </c>
      <c r="F4306" t="s">
        <v>114</v>
      </c>
      <c r="G4306" s="2" t="s">
        <v>23</v>
      </c>
      <c r="H4306" s="1">
        <v>169.49400000000003</v>
      </c>
    </row>
    <row r="4307" spans="1:8" x14ac:dyDescent="0.3">
      <c r="A4307" s="2">
        <v>742</v>
      </c>
      <c r="B4307" t="s">
        <v>1504</v>
      </c>
      <c r="C4307" t="s">
        <v>3225</v>
      </c>
      <c r="D4307" s="2">
        <v>1</v>
      </c>
      <c r="E4307" s="11" t="s">
        <v>831</v>
      </c>
      <c r="F4307" t="s">
        <v>81</v>
      </c>
      <c r="G4307" s="2" t="s">
        <v>4</v>
      </c>
      <c r="H4307" s="1">
        <v>190.69400000000002</v>
      </c>
    </row>
    <row r="4308" spans="1:8" x14ac:dyDescent="0.3">
      <c r="A4308" s="2">
        <v>742</v>
      </c>
      <c r="B4308" t="s">
        <v>1003</v>
      </c>
      <c r="C4308" t="s">
        <v>3220</v>
      </c>
      <c r="D4308" s="2">
        <v>1</v>
      </c>
      <c r="E4308" s="11" t="s">
        <v>204</v>
      </c>
      <c r="F4308" t="s">
        <v>28</v>
      </c>
      <c r="G4308" s="2" t="s">
        <v>203</v>
      </c>
      <c r="H4308" s="1">
        <v>42.294000000000004</v>
      </c>
    </row>
    <row r="4309" spans="1:8" x14ac:dyDescent="0.3">
      <c r="A4309" s="2">
        <v>742</v>
      </c>
      <c r="B4309" t="s">
        <v>1164</v>
      </c>
      <c r="C4309" t="s">
        <v>1</v>
      </c>
      <c r="D4309" s="2">
        <v>1</v>
      </c>
      <c r="E4309" s="11" t="s">
        <v>58</v>
      </c>
      <c r="F4309" t="s">
        <v>28</v>
      </c>
      <c r="G4309" s="2" t="s">
        <v>31</v>
      </c>
      <c r="H4309" s="1">
        <v>52.893999999999998</v>
      </c>
    </row>
    <row r="4310" spans="1:8" x14ac:dyDescent="0.3">
      <c r="A4310" s="2">
        <v>742</v>
      </c>
      <c r="B4310" t="s">
        <v>1200</v>
      </c>
      <c r="C4310" t="s">
        <v>3</v>
      </c>
      <c r="D4310" s="2">
        <v>1</v>
      </c>
      <c r="E4310" s="11" t="s">
        <v>434</v>
      </c>
      <c r="F4310" t="s">
        <v>55</v>
      </c>
      <c r="G4310" s="2" t="s">
        <v>23</v>
      </c>
      <c r="H4310" s="1">
        <v>105.89400000000001</v>
      </c>
    </row>
    <row r="4311" spans="1:8" x14ac:dyDescent="0.3">
      <c r="A4311" s="2">
        <v>742</v>
      </c>
      <c r="B4311" t="s">
        <v>1324</v>
      </c>
      <c r="C4311" t="s">
        <v>1</v>
      </c>
      <c r="D4311" s="2">
        <v>1</v>
      </c>
      <c r="E4311" s="11" t="s">
        <v>53</v>
      </c>
      <c r="F4311" t="s">
        <v>114</v>
      </c>
      <c r="G4311" s="2" t="s">
        <v>31</v>
      </c>
      <c r="H4311" s="1">
        <v>36.994</v>
      </c>
    </row>
    <row r="4312" spans="1:8" x14ac:dyDescent="0.3">
      <c r="A4312" s="2">
        <v>742</v>
      </c>
      <c r="B4312" t="s">
        <v>1503</v>
      </c>
      <c r="C4312" t="s">
        <v>3221</v>
      </c>
      <c r="D4312" s="2">
        <v>1</v>
      </c>
      <c r="E4312" s="11" t="s">
        <v>1462</v>
      </c>
      <c r="F4312" t="s">
        <v>114</v>
      </c>
      <c r="G4312" s="2" t="s">
        <v>4</v>
      </c>
      <c r="H4312" s="1">
        <v>116.49400000000001</v>
      </c>
    </row>
    <row r="4313" spans="1:8" x14ac:dyDescent="0.3">
      <c r="A4313" s="2">
        <v>742</v>
      </c>
      <c r="B4313" t="s">
        <v>1415</v>
      </c>
      <c r="C4313" t="s">
        <v>1</v>
      </c>
      <c r="D4313" s="2">
        <v>1</v>
      </c>
      <c r="E4313" s="11" t="s">
        <v>189</v>
      </c>
      <c r="F4313" t="s">
        <v>114</v>
      </c>
      <c r="G4313" s="2" t="s">
        <v>4</v>
      </c>
      <c r="H4313" s="1">
        <v>63.494000000000007</v>
      </c>
    </row>
    <row r="4314" spans="1:8" x14ac:dyDescent="0.3">
      <c r="A4314" s="2">
        <v>742</v>
      </c>
      <c r="B4314" t="s">
        <v>1502</v>
      </c>
      <c r="C4314" t="s">
        <v>2</v>
      </c>
      <c r="D4314" s="2">
        <v>1</v>
      </c>
      <c r="E4314" s="11" t="s">
        <v>60</v>
      </c>
      <c r="F4314" t="s">
        <v>114</v>
      </c>
      <c r="G4314" s="2" t="s">
        <v>4</v>
      </c>
      <c r="H4314" s="1">
        <v>68.794000000000011</v>
      </c>
    </row>
    <row r="4315" spans="1:8" x14ac:dyDescent="0.3">
      <c r="A4315" s="2">
        <v>742</v>
      </c>
      <c r="B4315" t="s">
        <v>1000</v>
      </c>
      <c r="C4315" t="s">
        <v>3</v>
      </c>
      <c r="D4315" s="2">
        <v>1</v>
      </c>
      <c r="E4315" s="11" t="s">
        <v>434</v>
      </c>
      <c r="F4315" t="s">
        <v>114</v>
      </c>
      <c r="G4315" s="2" t="s">
        <v>23</v>
      </c>
      <c r="H4315" s="1">
        <v>105.89400000000001</v>
      </c>
    </row>
    <row r="4316" spans="1:8" x14ac:dyDescent="0.3">
      <c r="A4316" s="2">
        <v>742</v>
      </c>
      <c r="B4316" t="s">
        <v>1501</v>
      </c>
      <c r="C4316" t="s">
        <v>2</v>
      </c>
      <c r="D4316" s="2">
        <v>1</v>
      </c>
      <c r="E4316" s="11" t="s">
        <v>733</v>
      </c>
      <c r="F4316" t="s">
        <v>114</v>
      </c>
      <c r="G4316" s="2" t="s">
        <v>23</v>
      </c>
      <c r="H4316" s="1">
        <v>132.39400000000001</v>
      </c>
    </row>
    <row r="4317" spans="1:8" x14ac:dyDescent="0.3">
      <c r="A4317" s="2">
        <v>742</v>
      </c>
      <c r="B4317" t="s">
        <v>1500</v>
      </c>
      <c r="C4317" t="s">
        <v>2</v>
      </c>
      <c r="D4317" s="2">
        <v>1</v>
      </c>
      <c r="E4317" s="11" t="s">
        <v>86</v>
      </c>
      <c r="F4317" t="s">
        <v>114</v>
      </c>
      <c r="G4317" s="2" t="s">
        <v>31</v>
      </c>
      <c r="H4317" s="1">
        <v>95.294000000000011</v>
      </c>
    </row>
    <row r="4318" spans="1:8" x14ac:dyDescent="0.3">
      <c r="A4318" s="2">
        <v>742</v>
      </c>
      <c r="B4318" t="s">
        <v>1140</v>
      </c>
      <c r="C4318" t="s">
        <v>3220</v>
      </c>
      <c r="D4318" s="2">
        <v>1</v>
      </c>
      <c r="E4318" s="11" t="s">
        <v>146</v>
      </c>
      <c r="F4318" t="s">
        <v>114</v>
      </c>
      <c r="G4318" s="2" t="s">
        <v>23</v>
      </c>
      <c r="H4318" s="1">
        <v>36.994</v>
      </c>
    </row>
    <row r="4319" spans="1:8" x14ac:dyDescent="0.3">
      <c r="A4319" s="2">
        <v>742</v>
      </c>
      <c r="B4319" t="s">
        <v>270</v>
      </c>
      <c r="C4319" t="s">
        <v>3220</v>
      </c>
      <c r="D4319" s="2">
        <v>2</v>
      </c>
      <c r="E4319" s="11" t="s">
        <v>204</v>
      </c>
      <c r="F4319" t="s">
        <v>114</v>
      </c>
      <c r="G4319" s="2" t="s">
        <v>4</v>
      </c>
      <c r="H4319" s="1">
        <v>42.294000000000004</v>
      </c>
    </row>
    <row r="4320" spans="1:8" x14ac:dyDescent="0.3">
      <c r="A4320" s="2">
        <v>742</v>
      </c>
      <c r="B4320" t="s">
        <v>1017</v>
      </c>
      <c r="C4320" t="s">
        <v>3220</v>
      </c>
      <c r="D4320" s="2">
        <v>1</v>
      </c>
      <c r="E4320" s="11" t="s">
        <v>204</v>
      </c>
      <c r="F4320" t="s">
        <v>959</v>
      </c>
      <c r="G4320" s="2" t="s">
        <v>4</v>
      </c>
      <c r="H4320" s="1">
        <v>42.294000000000004</v>
      </c>
    </row>
    <row r="4321" spans="1:8" x14ac:dyDescent="0.3">
      <c r="A4321" s="2">
        <v>742</v>
      </c>
      <c r="B4321" t="s">
        <v>1499</v>
      </c>
      <c r="C4321" t="s">
        <v>3220</v>
      </c>
      <c r="D4321" s="2">
        <v>1</v>
      </c>
      <c r="E4321" s="11" t="s">
        <v>204</v>
      </c>
      <c r="F4321" t="s">
        <v>959</v>
      </c>
      <c r="G4321" s="2" t="s">
        <v>31</v>
      </c>
      <c r="H4321" s="1">
        <v>42.294000000000004</v>
      </c>
    </row>
    <row r="4322" spans="1:8" x14ac:dyDescent="0.3">
      <c r="A4322" s="2">
        <v>742</v>
      </c>
      <c r="B4322" t="s">
        <v>277</v>
      </c>
      <c r="C4322" t="s">
        <v>3220</v>
      </c>
      <c r="D4322" s="2">
        <v>1</v>
      </c>
      <c r="E4322" s="11" t="s">
        <v>204</v>
      </c>
      <c r="F4322" t="s">
        <v>276</v>
      </c>
      <c r="G4322" s="2" t="s">
        <v>4</v>
      </c>
      <c r="H4322" s="1">
        <v>42.294000000000004</v>
      </c>
    </row>
    <row r="4323" spans="1:8" x14ac:dyDescent="0.3">
      <c r="A4323" s="2">
        <v>742</v>
      </c>
      <c r="B4323" t="s">
        <v>1011</v>
      </c>
      <c r="C4323" t="s">
        <v>3220</v>
      </c>
      <c r="D4323" s="2">
        <v>1</v>
      </c>
      <c r="E4323" s="11" t="s">
        <v>204</v>
      </c>
      <c r="F4323" t="s">
        <v>276</v>
      </c>
      <c r="G4323" s="2" t="s">
        <v>203</v>
      </c>
      <c r="H4323" s="1">
        <v>42.294000000000004</v>
      </c>
    </row>
    <row r="4324" spans="1:8" x14ac:dyDescent="0.3">
      <c r="A4324" s="2">
        <v>742</v>
      </c>
      <c r="B4324" t="s">
        <v>54</v>
      </c>
      <c r="C4324" t="s">
        <v>1</v>
      </c>
      <c r="D4324" s="2">
        <v>1</v>
      </c>
      <c r="E4324" s="11" t="s">
        <v>53</v>
      </c>
      <c r="F4324" t="s">
        <v>47</v>
      </c>
      <c r="G4324" s="2" t="s">
        <v>4</v>
      </c>
      <c r="H4324" s="1">
        <v>36.994</v>
      </c>
    </row>
    <row r="4325" spans="1:8" x14ac:dyDescent="0.3">
      <c r="A4325" s="2">
        <v>742</v>
      </c>
      <c r="B4325" t="s">
        <v>1498</v>
      </c>
      <c r="C4325" t="s">
        <v>3219</v>
      </c>
      <c r="D4325" s="2">
        <v>1</v>
      </c>
      <c r="E4325" s="11" t="s">
        <v>1497</v>
      </c>
      <c r="F4325" t="s">
        <v>47</v>
      </c>
      <c r="G4325" s="2" t="s">
        <v>31</v>
      </c>
      <c r="H4325" s="1">
        <v>158.89400000000001</v>
      </c>
    </row>
    <row r="4326" spans="1:8" x14ac:dyDescent="0.3">
      <c r="A4326" s="2">
        <v>742</v>
      </c>
      <c r="B4326" t="s">
        <v>436</v>
      </c>
      <c r="C4326" t="s">
        <v>3365</v>
      </c>
      <c r="D4326" s="2">
        <v>1</v>
      </c>
      <c r="E4326" s="11" t="s">
        <v>373</v>
      </c>
      <c r="F4326" t="s">
        <v>47</v>
      </c>
      <c r="G4326" s="2" t="s">
        <v>23</v>
      </c>
      <c r="H4326" s="1">
        <v>164.19400000000002</v>
      </c>
    </row>
    <row r="4327" spans="1:8" x14ac:dyDescent="0.3">
      <c r="A4327" s="2">
        <v>742</v>
      </c>
      <c r="B4327" t="s">
        <v>1228</v>
      </c>
      <c r="C4327" t="s">
        <v>3</v>
      </c>
      <c r="D4327" s="2">
        <v>1</v>
      </c>
      <c r="E4327" s="11" t="s">
        <v>434</v>
      </c>
      <c r="F4327" t="s">
        <v>47</v>
      </c>
      <c r="G4327" s="2" t="s">
        <v>4</v>
      </c>
      <c r="H4327" s="1">
        <v>105.89400000000001</v>
      </c>
    </row>
    <row r="4328" spans="1:8" x14ac:dyDescent="0.3">
      <c r="A4328" s="2">
        <v>742</v>
      </c>
      <c r="B4328" t="s">
        <v>1496</v>
      </c>
      <c r="C4328" t="s">
        <v>3</v>
      </c>
      <c r="D4328" s="2">
        <v>1</v>
      </c>
      <c r="E4328" s="11" t="s">
        <v>434</v>
      </c>
      <c r="F4328" t="s">
        <v>47</v>
      </c>
      <c r="G4328" s="2" t="s">
        <v>31</v>
      </c>
      <c r="H4328" s="1">
        <v>105.89400000000001</v>
      </c>
    </row>
    <row r="4329" spans="1:8" x14ac:dyDescent="0.3">
      <c r="A4329" s="2">
        <v>742</v>
      </c>
      <c r="B4329" t="s">
        <v>1495</v>
      </c>
      <c r="C4329" t="s">
        <v>0</v>
      </c>
      <c r="D4329" s="2">
        <v>1</v>
      </c>
      <c r="E4329" s="11" t="s">
        <v>1106</v>
      </c>
      <c r="F4329" t="s">
        <v>47</v>
      </c>
      <c r="G4329" s="2" t="s">
        <v>4</v>
      </c>
      <c r="H4329" s="1">
        <v>185.39400000000001</v>
      </c>
    </row>
    <row r="4330" spans="1:8" x14ac:dyDescent="0.3">
      <c r="A4330" s="2">
        <v>742</v>
      </c>
      <c r="B4330" t="s">
        <v>106</v>
      </c>
      <c r="C4330" t="s">
        <v>2</v>
      </c>
      <c r="D4330" s="2">
        <v>1</v>
      </c>
      <c r="E4330" s="11" t="s">
        <v>86</v>
      </c>
      <c r="F4330" t="s">
        <v>47</v>
      </c>
      <c r="G4330" s="2" t="s">
        <v>4</v>
      </c>
      <c r="H4330" s="1">
        <v>95.294000000000011</v>
      </c>
    </row>
    <row r="4331" spans="1:8" x14ac:dyDescent="0.3">
      <c r="A4331" s="2">
        <v>742</v>
      </c>
      <c r="B4331" t="s">
        <v>1494</v>
      </c>
      <c r="C4331" t="s">
        <v>2</v>
      </c>
      <c r="D4331" s="2">
        <v>1</v>
      </c>
      <c r="E4331" s="11" t="s">
        <v>43</v>
      </c>
      <c r="F4331" t="s">
        <v>47</v>
      </c>
      <c r="G4331" s="2" t="s">
        <v>23</v>
      </c>
      <c r="H4331" s="1">
        <v>74.094000000000008</v>
      </c>
    </row>
    <row r="4332" spans="1:8" x14ac:dyDescent="0.3">
      <c r="A4332" s="2">
        <v>742</v>
      </c>
      <c r="B4332" t="s">
        <v>1493</v>
      </c>
      <c r="C4332" t="s">
        <v>3220</v>
      </c>
      <c r="D4332" s="2">
        <v>1</v>
      </c>
      <c r="E4332" s="11" t="s">
        <v>146</v>
      </c>
      <c r="F4332" t="s">
        <v>47</v>
      </c>
      <c r="G4332" s="2" t="s">
        <v>4</v>
      </c>
      <c r="H4332" s="1">
        <v>36.994</v>
      </c>
    </row>
    <row r="4333" spans="1:8" x14ac:dyDescent="0.3">
      <c r="A4333" s="2">
        <v>742</v>
      </c>
      <c r="B4333" t="s">
        <v>1492</v>
      </c>
      <c r="C4333" t="s">
        <v>3220</v>
      </c>
      <c r="D4333" s="2">
        <v>1</v>
      </c>
      <c r="E4333" s="11" t="s">
        <v>146</v>
      </c>
      <c r="F4333" t="s">
        <v>47</v>
      </c>
      <c r="G4333" s="2" t="s">
        <v>31</v>
      </c>
      <c r="H4333" s="1">
        <v>36.994</v>
      </c>
    </row>
    <row r="4334" spans="1:8" x14ac:dyDescent="0.3">
      <c r="A4334" s="2">
        <v>742</v>
      </c>
      <c r="B4334" t="s">
        <v>159</v>
      </c>
      <c r="C4334" t="s">
        <v>3220</v>
      </c>
      <c r="D4334" s="2">
        <v>1</v>
      </c>
      <c r="E4334" s="11" t="s">
        <v>146</v>
      </c>
      <c r="F4334" t="s">
        <v>47</v>
      </c>
      <c r="G4334" s="2" t="s">
        <v>23</v>
      </c>
      <c r="H4334" s="1">
        <v>36.994</v>
      </c>
    </row>
    <row r="4335" spans="1:8" x14ac:dyDescent="0.3">
      <c r="A4335" s="2">
        <v>742</v>
      </c>
      <c r="B4335" t="s">
        <v>206</v>
      </c>
      <c r="C4335" t="s">
        <v>3220</v>
      </c>
      <c r="D4335" s="2">
        <v>2</v>
      </c>
      <c r="E4335" s="11" t="s">
        <v>204</v>
      </c>
      <c r="F4335" t="s">
        <v>47</v>
      </c>
      <c r="G4335" s="2" t="s">
        <v>4</v>
      </c>
      <c r="H4335" s="1">
        <v>42.294000000000004</v>
      </c>
    </row>
    <row r="4336" spans="1:8" x14ac:dyDescent="0.3">
      <c r="A4336" s="2">
        <v>742</v>
      </c>
      <c r="B4336" t="s">
        <v>266</v>
      </c>
      <c r="C4336" t="s">
        <v>3220</v>
      </c>
      <c r="D4336" s="2">
        <v>2</v>
      </c>
      <c r="E4336" s="11" t="s">
        <v>204</v>
      </c>
      <c r="F4336" t="s">
        <v>47</v>
      </c>
      <c r="G4336" s="2" t="s">
        <v>31</v>
      </c>
      <c r="H4336" s="1">
        <v>42.294000000000004</v>
      </c>
    </row>
    <row r="4337" spans="1:8" x14ac:dyDescent="0.3">
      <c r="A4337" s="2">
        <v>742</v>
      </c>
      <c r="B4337" t="s">
        <v>1491</v>
      </c>
      <c r="C4337" t="s">
        <v>1</v>
      </c>
      <c r="D4337" s="2">
        <v>1</v>
      </c>
      <c r="E4337" s="11" t="s">
        <v>53</v>
      </c>
      <c r="F4337" t="s">
        <v>39</v>
      </c>
      <c r="G4337" s="2" t="s">
        <v>4</v>
      </c>
      <c r="H4337" s="1">
        <v>36.994</v>
      </c>
    </row>
    <row r="4338" spans="1:8" x14ac:dyDescent="0.3">
      <c r="A4338" s="2">
        <v>742</v>
      </c>
      <c r="B4338" t="s">
        <v>677</v>
      </c>
      <c r="C4338" t="s">
        <v>3365</v>
      </c>
      <c r="D4338" s="2">
        <v>1</v>
      </c>
      <c r="E4338" s="11" t="s">
        <v>373</v>
      </c>
      <c r="F4338" t="s">
        <v>39</v>
      </c>
      <c r="G4338" s="2" t="s">
        <v>31</v>
      </c>
      <c r="H4338" s="1">
        <v>164.19400000000002</v>
      </c>
    </row>
    <row r="4339" spans="1:8" x14ac:dyDescent="0.3">
      <c r="A4339" s="2">
        <v>742</v>
      </c>
      <c r="B4339" t="s">
        <v>1264</v>
      </c>
      <c r="C4339" t="s">
        <v>3220</v>
      </c>
      <c r="D4339" s="2">
        <v>1</v>
      </c>
      <c r="E4339" s="11" t="s">
        <v>204</v>
      </c>
      <c r="F4339" t="s">
        <v>39</v>
      </c>
      <c r="G4339" s="2" t="s">
        <v>4</v>
      </c>
      <c r="H4339" s="1">
        <v>42.294000000000004</v>
      </c>
    </row>
    <row r="4340" spans="1:8" x14ac:dyDescent="0.3">
      <c r="A4340" s="2">
        <v>742</v>
      </c>
      <c r="B4340" t="s">
        <v>708</v>
      </c>
      <c r="C4340" t="s">
        <v>3220</v>
      </c>
      <c r="D4340" s="2">
        <v>1</v>
      </c>
      <c r="E4340" s="11" t="s">
        <v>204</v>
      </c>
      <c r="F4340" t="s">
        <v>39</v>
      </c>
      <c r="G4340" s="2" t="s">
        <v>23</v>
      </c>
      <c r="H4340" s="1">
        <v>42.294000000000004</v>
      </c>
    </row>
    <row r="4341" spans="1:8" x14ac:dyDescent="0.3">
      <c r="A4341" s="2">
        <v>742</v>
      </c>
      <c r="B4341" t="s">
        <v>1490</v>
      </c>
      <c r="C4341" t="s">
        <v>1</v>
      </c>
      <c r="D4341" s="2">
        <v>1</v>
      </c>
      <c r="E4341" s="11" t="s">
        <v>279</v>
      </c>
      <c r="F4341" t="s">
        <v>39</v>
      </c>
      <c r="G4341" s="2" t="s">
        <v>4</v>
      </c>
      <c r="H4341" s="1">
        <v>47.594000000000001</v>
      </c>
    </row>
    <row r="4342" spans="1:8" x14ac:dyDescent="0.3">
      <c r="A4342" s="2">
        <v>742</v>
      </c>
      <c r="B4342" t="s">
        <v>743</v>
      </c>
      <c r="C4342" t="s">
        <v>1</v>
      </c>
      <c r="D4342" s="2">
        <v>1</v>
      </c>
      <c r="E4342" s="11" t="s">
        <v>53</v>
      </c>
      <c r="F4342" t="s">
        <v>28</v>
      </c>
      <c r="G4342" s="2" t="s">
        <v>4</v>
      </c>
      <c r="H4342" s="1">
        <v>36.994</v>
      </c>
    </row>
    <row r="4343" spans="1:8" x14ac:dyDescent="0.3">
      <c r="A4343" s="2">
        <v>742</v>
      </c>
      <c r="B4343" t="s">
        <v>1489</v>
      </c>
      <c r="C4343" t="s">
        <v>3365</v>
      </c>
      <c r="D4343" s="2">
        <v>1</v>
      </c>
      <c r="E4343" s="11" t="s">
        <v>1488</v>
      </c>
      <c r="F4343" t="s">
        <v>28</v>
      </c>
      <c r="G4343" s="2" t="s">
        <v>4</v>
      </c>
      <c r="H4343" s="1">
        <v>121.79400000000001</v>
      </c>
    </row>
    <row r="4344" spans="1:8" x14ac:dyDescent="0.3">
      <c r="A4344" s="2">
        <v>742</v>
      </c>
      <c r="B4344" t="s">
        <v>1487</v>
      </c>
      <c r="C4344" t="s">
        <v>3365</v>
      </c>
      <c r="D4344" s="2">
        <v>1</v>
      </c>
      <c r="E4344" s="11" t="s">
        <v>373</v>
      </c>
      <c r="F4344" t="s">
        <v>28</v>
      </c>
      <c r="G4344" s="2" t="s">
        <v>23</v>
      </c>
      <c r="H4344" s="1">
        <v>164.19400000000002</v>
      </c>
    </row>
    <row r="4345" spans="1:8" x14ac:dyDescent="0.3">
      <c r="A4345" s="2">
        <v>742</v>
      </c>
      <c r="B4345" t="s">
        <v>1486</v>
      </c>
      <c r="C4345" t="s">
        <v>3224</v>
      </c>
      <c r="D4345" s="2">
        <v>1</v>
      </c>
      <c r="E4345" s="11" t="s">
        <v>1426</v>
      </c>
      <c r="F4345" t="s">
        <v>28</v>
      </c>
      <c r="G4345" s="2" t="s">
        <v>23</v>
      </c>
      <c r="H4345" s="1">
        <v>63.494000000000007</v>
      </c>
    </row>
    <row r="4346" spans="1:8" x14ac:dyDescent="0.3">
      <c r="A4346" s="2">
        <v>742</v>
      </c>
      <c r="B4346" t="s">
        <v>1485</v>
      </c>
      <c r="C4346" t="s">
        <v>3220</v>
      </c>
      <c r="D4346" s="2">
        <v>1</v>
      </c>
      <c r="E4346" s="11" t="s">
        <v>146</v>
      </c>
      <c r="F4346" t="s">
        <v>28</v>
      </c>
      <c r="G4346" s="2" t="s">
        <v>4</v>
      </c>
      <c r="H4346" s="1">
        <v>36.994</v>
      </c>
    </row>
    <row r="4347" spans="1:8" x14ac:dyDescent="0.3">
      <c r="A4347" s="2">
        <v>742</v>
      </c>
      <c r="B4347" t="s">
        <v>147</v>
      </c>
      <c r="C4347" t="s">
        <v>3220</v>
      </c>
      <c r="D4347" s="2">
        <v>1</v>
      </c>
      <c r="E4347" s="11" t="s">
        <v>146</v>
      </c>
      <c r="F4347" t="s">
        <v>28</v>
      </c>
      <c r="G4347" s="2" t="s">
        <v>31</v>
      </c>
      <c r="H4347" s="1">
        <v>36.994</v>
      </c>
    </row>
    <row r="4348" spans="1:8" x14ac:dyDescent="0.3">
      <c r="A4348" s="2">
        <v>742</v>
      </c>
      <c r="B4348" t="s">
        <v>688</v>
      </c>
      <c r="C4348" t="s">
        <v>3220</v>
      </c>
      <c r="D4348" s="2">
        <v>1</v>
      </c>
      <c r="E4348" s="11" t="s">
        <v>204</v>
      </c>
      <c r="F4348" t="s">
        <v>28</v>
      </c>
      <c r="G4348" s="2" t="s">
        <v>4</v>
      </c>
      <c r="H4348" s="1">
        <v>42.294000000000004</v>
      </c>
    </row>
    <row r="4349" spans="1:8" x14ac:dyDescent="0.3">
      <c r="A4349" s="2">
        <v>743</v>
      </c>
      <c r="B4349" t="s">
        <v>1451</v>
      </c>
      <c r="C4349" t="s">
        <v>3238</v>
      </c>
      <c r="D4349" s="2">
        <v>1</v>
      </c>
      <c r="E4349" s="11" t="s">
        <v>871</v>
      </c>
      <c r="F4349" t="s">
        <v>55</v>
      </c>
      <c r="G4349" s="2" t="s">
        <v>4</v>
      </c>
      <c r="H4349" s="1">
        <v>68.794000000000011</v>
      </c>
    </row>
    <row r="4350" spans="1:8" x14ac:dyDescent="0.3">
      <c r="A4350" s="2">
        <v>743</v>
      </c>
      <c r="B4350" t="s">
        <v>1218</v>
      </c>
      <c r="C4350" t="s">
        <v>3219</v>
      </c>
      <c r="D4350" s="2">
        <v>1</v>
      </c>
      <c r="E4350" s="11" t="s">
        <v>1173</v>
      </c>
      <c r="F4350" t="s">
        <v>81</v>
      </c>
      <c r="G4350" s="2" t="s">
        <v>4</v>
      </c>
      <c r="H4350" s="1">
        <v>116.49400000000001</v>
      </c>
    </row>
    <row r="4351" spans="1:8" x14ac:dyDescent="0.3">
      <c r="A4351" s="2">
        <v>743</v>
      </c>
      <c r="B4351" t="s">
        <v>1484</v>
      </c>
      <c r="C4351" t="s">
        <v>3224</v>
      </c>
      <c r="D4351" s="2">
        <v>1</v>
      </c>
      <c r="E4351" s="11" t="s">
        <v>1444</v>
      </c>
      <c r="F4351" t="s">
        <v>81</v>
      </c>
      <c r="G4351" s="2" t="s">
        <v>4</v>
      </c>
      <c r="H4351" s="1">
        <v>95.294000000000011</v>
      </c>
    </row>
    <row r="4352" spans="1:8" x14ac:dyDescent="0.3">
      <c r="A4352" s="2">
        <v>743</v>
      </c>
      <c r="B4352" t="s">
        <v>1483</v>
      </c>
      <c r="C4352" t="s">
        <v>3225</v>
      </c>
      <c r="D4352" s="2">
        <v>1</v>
      </c>
      <c r="E4352" s="11" t="s">
        <v>831</v>
      </c>
      <c r="F4352" t="s">
        <v>81</v>
      </c>
      <c r="G4352" s="2" t="s">
        <v>31</v>
      </c>
      <c r="H4352" s="1">
        <v>190.69400000000002</v>
      </c>
    </row>
    <row r="4353" spans="1:8" x14ac:dyDescent="0.3">
      <c r="A4353" s="2">
        <v>743</v>
      </c>
      <c r="B4353" t="s">
        <v>1482</v>
      </c>
      <c r="C4353" t="s">
        <v>0</v>
      </c>
      <c r="D4353" s="2">
        <v>1</v>
      </c>
      <c r="E4353" s="11" t="s">
        <v>1481</v>
      </c>
      <c r="F4353" t="s">
        <v>28</v>
      </c>
      <c r="G4353" s="2" t="s">
        <v>4</v>
      </c>
      <c r="H4353" s="1">
        <v>195.99400000000003</v>
      </c>
    </row>
    <row r="4354" spans="1:8" x14ac:dyDescent="0.3">
      <c r="A4354" s="2">
        <v>743</v>
      </c>
      <c r="B4354" t="s">
        <v>1480</v>
      </c>
      <c r="C4354" t="s">
        <v>3224</v>
      </c>
      <c r="D4354" s="2">
        <v>1</v>
      </c>
      <c r="E4354" s="11" t="s">
        <v>1444</v>
      </c>
      <c r="F4354" t="s">
        <v>47</v>
      </c>
      <c r="G4354" s="2" t="s">
        <v>4</v>
      </c>
      <c r="H4354" s="1">
        <v>95.294000000000011</v>
      </c>
    </row>
    <row r="4355" spans="1:8" x14ac:dyDescent="0.3">
      <c r="A4355" s="2">
        <v>743</v>
      </c>
      <c r="B4355" t="s">
        <v>226</v>
      </c>
      <c r="C4355" t="s">
        <v>3224</v>
      </c>
      <c r="D4355" s="2">
        <v>1</v>
      </c>
      <c r="E4355" s="11" t="s">
        <v>193</v>
      </c>
      <c r="F4355" t="s">
        <v>47</v>
      </c>
      <c r="G4355" s="2" t="s">
        <v>31</v>
      </c>
      <c r="H4355" s="1">
        <v>100.59400000000001</v>
      </c>
    </row>
    <row r="4356" spans="1:8" x14ac:dyDescent="0.3">
      <c r="A4356" s="2">
        <v>743</v>
      </c>
      <c r="B4356" t="s">
        <v>1479</v>
      </c>
      <c r="C4356" t="s">
        <v>3224</v>
      </c>
      <c r="D4356" s="2">
        <v>1</v>
      </c>
      <c r="E4356" s="11" t="s">
        <v>1478</v>
      </c>
      <c r="F4356" t="s">
        <v>47</v>
      </c>
      <c r="G4356" s="2" t="s">
        <v>4</v>
      </c>
      <c r="H4356" s="1">
        <v>116.49400000000001</v>
      </c>
    </row>
    <row r="4357" spans="1:8" x14ac:dyDescent="0.3">
      <c r="A4357" s="2">
        <v>743</v>
      </c>
      <c r="B4357" t="s">
        <v>1477</v>
      </c>
      <c r="C4357" t="s">
        <v>3219</v>
      </c>
      <c r="D4357" s="2">
        <v>1</v>
      </c>
      <c r="E4357" s="11" t="s">
        <v>1214</v>
      </c>
      <c r="F4357" t="s">
        <v>47</v>
      </c>
      <c r="G4357" s="2" t="s">
        <v>31</v>
      </c>
      <c r="H4357" s="1">
        <v>127.09400000000001</v>
      </c>
    </row>
    <row r="4358" spans="1:8" x14ac:dyDescent="0.3">
      <c r="A4358" s="2">
        <v>743</v>
      </c>
      <c r="B4358" t="s">
        <v>1476</v>
      </c>
      <c r="C4358" t="s">
        <v>3219</v>
      </c>
      <c r="D4358" s="2">
        <v>1</v>
      </c>
      <c r="E4358" s="11" t="s">
        <v>892</v>
      </c>
      <c r="F4358" t="s">
        <v>47</v>
      </c>
      <c r="G4358" s="2" t="s">
        <v>4</v>
      </c>
      <c r="H4358" s="1">
        <v>158.89400000000001</v>
      </c>
    </row>
    <row r="4359" spans="1:8" x14ac:dyDescent="0.3">
      <c r="A4359" s="2">
        <v>743</v>
      </c>
      <c r="B4359" t="s">
        <v>1475</v>
      </c>
      <c r="C4359" t="s">
        <v>3225</v>
      </c>
      <c r="D4359" s="2">
        <v>1</v>
      </c>
      <c r="E4359" s="11" t="s">
        <v>239</v>
      </c>
      <c r="F4359" t="s">
        <v>39</v>
      </c>
      <c r="G4359" s="2" t="s">
        <v>4</v>
      </c>
      <c r="H4359" s="1">
        <v>148.29400000000001</v>
      </c>
    </row>
    <row r="4360" spans="1:8" x14ac:dyDescent="0.3">
      <c r="A4360" s="2">
        <v>743</v>
      </c>
      <c r="B4360" t="s">
        <v>1474</v>
      </c>
      <c r="C4360" t="s">
        <v>3224</v>
      </c>
      <c r="D4360" s="2">
        <v>1</v>
      </c>
      <c r="E4360" s="11" t="s">
        <v>1399</v>
      </c>
      <c r="F4360" t="s">
        <v>36</v>
      </c>
      <c r="G4360" s="2" t="s">
        <v>31</v>
      </c>
      <c r="H4360" s="1">
        <v>63.494000000000007</v>
      </c>
    </row>
    <row r="4361" spans="1:8" x14ac:dyDescent="0.3">
      <c r="A4361" s="2">
        <v>743</v>
      </c>
      <c r="B4361" t="s">
        <v>1473</v>
      </c>
      <c r="C4361" t="s">
        <v>0</v>
      </c>
      <c r="D4361" s="2">
        <v>1</v>
      </c>
      <c r="E4361" s="11" t="s">
        <v>246</v>
      </c>
      <c r="F4361" t="s">
        <v>28</v>
      </c>
      <c r="G4361" s="2" t="s">
        <v>4</v>
      </c>
      <c r="H4361" s="1">
        <v>158.89400000000001</v>
      </c>
    </row>
    <row r="4362" spans="1:8" x14ac:dyDescent="0.3">
      <c r="A4362" s="2">
        <v>744</v>
      </c>
      <c r="B4362" t="s">
        <v>761</v>
      </c>
      <c r="C4362" t="s">
        <v>1</v>
      </c>
      <c r="D4362" s="2">
        <v>2</v>
      </c>
      <c r="E4362" s="11" t="s">
        <v>53</v>
      </c>
      <c r="F4362" t="s">
        <v>55</v>
      </c>
      <c r="G4362" s="2" t="s">
        <v>23</v>
      </c>
      <c r="H4362" s="1">
        <v>36.994</v>
      </c>
    </row>
    <row r="4363" spans="1:8" x14ac:dyDescent="0.3">
      <c r="A4363" s="2">
        <v>744</v>
      </c>
      <c r="B4363" t="s">
        <v>1472</v>
      </c>
      <c r="C4363" t="s">
        <v>3220</v>
      </c>
      <c r="D4363" s="2">
        <v>1</v>
      </c>
      <c r="E4363" s="11" t="s">
        <v>204</v>
      </c>
      <c r="F4363" t="s">
        <v>126</v>
      </c>
      <c r="G4363" s="2" t="s">
        <v>31</v>
      </c>
      <c r="H4363" s="1">
        <v>42.294000000000004</v>
      </c>
    </row>
    <row r="4364" spans="1:8" x14ac:dyDescent="0.3">
      <c r="A4364" s="2">
        <v>744</v>
      </c>
      <c r="B4364" t="s">
        <v>242</v>
      </c>
      <c r="C4364" t="s">
        <v>3220</v>
      </c>
      <c r="D4364" s="2">
        <v>1</v>
      </c>
      <c r="E4364" s="11" t="s">
        <v>204</v>
      </c>
      <c r="F4364" t="s">
        <v>241</v>
      </c>
      <c r="G4364" s="2" t="s">
        <v>4</v>
      </c>
      <c r="H4364" s="1">
        <v>42.294000000000004</v>
      </c>
    </row>
    <row r="4365" spans="1:8" x14ac:dyDescent="0.3">
      <c r="A4365" s="2">
        <v>744</v>
      </c>
      <c r="B4365" t="s">
        <v>719</v>
      </c>
      <c r="C4365" t="s">
        <v>3220</v>
      </c>
      <c r="D4365" s="2">
        <v>1</v>
      </c>
      <c r="E4365" s="11" t="s">
        <v>204</v>
      </c>
      <c r="F4365" t="s">
        <v>241</v>
      </c>
      <c r="G4365" s="2" t="s">
        <v>23</v>
      </c>
      <c r="H4365" s="1">
        <v>42.294000000000004</v>
      </c>
    </row>
    <row r="4366" spans="1:8" x14ac:dyDescent="0.3">
      <c r="A4366" s="2">
        <v>744</v>
      </c>
      <c r="B4366" t="s">
        <v>1323</v>
      </c>
      <c r="C4366" t="s">
        <v>1</v>
      </c>
      <c r="D4366" s="2">
        <v>1</v>
      </c>
      <c r="E4366" s="11" t="s">
        <v>53</v>
      </c>
      <c r="F4366" t="s">
        <v>114</v>
      </c>
      <c r="G4366" s="2" t="s">
        <v>23</v>
      </c>
      <c r="H4366" s="1">
        <v>36.994</v>
      </c>
    </row>
    <row r="4367" spans="1:8" x14ac:dyDescent="0.3">
      <c r="A4367" s="2">
        <v>744</v>
      </c>
      <c r="B4367" t="s">
        <v>1019</v>
      </c>
      <c r="C4367" t="s">
        <v>3220</v>
      </c>
      <c r="D4367" s="2">
        <v>1</v>
      </c>
      <c r="E4367" s="11" t="s">
        <v>204</v>
      </c>
      <c r="F4367" t="s">
        <v>683</v>
      </c>
      <c r="G4367" s="2" t="s">
        <v>31</v>
      </c>
      <c r="H4367" s="1">
        <v>42.294000000000004</v>
      </c>
    </row>
    <row r="4368" spans="1:8" x14ac:dyDescent="0.3">
      <c r="A4368" s="2">
        <v>744</v>
      </c>
      <c r="B4368" t="s">
        <v>1018</v>
      </c>
      <c r="C4368" t="s">
        <v>3220</v>
      </c>
      <c r="D4368" s="2">
        <v>1</v>
      </c>
      <c r="E4368" s="11" t="s">
        <v>204</v>
      </c>
      <c r="F4368" t="s">
        <v>683</v>
      </c>
      <c r="G4368" s="2" t="s">
        <v>23</v>
      </c>
      <c r="H4368" s="1">
        <v>42.294000000000004</v>
      </c>
    </row>
    <row r="4369" spans="1:8" x14ac:dyDescent="0.3">
      <c r="A4369" s="2">
        <v>744</v>
      </c>
      <c r="B4369" t="s">
        <v>288</v>
      </c>
      <c r="C4369" t="s">
        <v>1</v>
      </c>
      <c r="D4369" s="2">
        <v>1</v>
      </c>
      <c r="E4369" s="11" t="s">
        <v>53</v>
      </c>
      <c r="F4369" t="s">
        <v>47</v>
      </c>
      <c r="G4369" s="2" t="s">
        <v>23</v>
      </c>
      <c r="H4369" s="1">
        <v>36.994</v>
      </c>
    </row>
    <row r="4370" spans="1:8" x14ac:dyDescent="0.3">
      <c r="A4370" s="2">
        <v>744</v>
      </c>
      <c r="B4370" t="s">
        <v>1012</v>
      </c>
      <c r="C4370" t="s">
        <v>3220</v>
      </c>
      <c r="D4370" s="2">
        <v>1</v>
      </c>
      <c r="E4370" s="11" t="s">
        <v>204</v>
      </c>
      <c r="F4370" t="s">
        <v>39</v>
      </c>
      <c r="G4370" s="2" t="s">
        <v>203</v>
      </c>
      <c r="H4370" s="1">
        <v>42.294000000000004</v>
      </c>
    </row>
    <row r="4371" spans="1:8" x14ac:dyDescent="0.3">
      <c r="A4371" s="2">
        <v>744</v>
      </c>
      <c r="B4371" t="s">
        <v>1121</v>
      </c>
      <c r="C4371" t="s">
        <v>3220</v>
      </c>
      <c r="D4371" s="2">
        <v>1</v>
      </c>
      <c r="E4371" s="11" t="s">
        <v>204</v>
      </c>
      <c r="F4371" t="s">
        <v>39</v>
      </c>
      <c r="G4371" s="2" t="s">
        <v>31</v>
      </c>
      <c r="H4371" s="1">
        <v>42.294000000000004</v>
      </c>
    </row>
    <row r="4372" spans="1:8" x14ac:dyDescent="0.3">
      <c r="A4372" s="2">
        <v>744</v>
      </c>
      <c r="B4372" t="s">
        <v>708</v>
      </c>
      <c r="C4372" t="s">
        <v>3220</v>
      </c>
      <c r="D4372" s="2">
        <v>1</v>
      </c>
      <c r="E4372" s="11" t="s">
        <v>204</v>
      </c>
      <c r="F4372" t="s">
        <v>39</v>
      </c>
      <c r="G4372" s="2" t="s">
        <v>23</v>
      </c>
      <c r="H4372" s="1">
        <v>42.294000000000004</v>
      </c>
    </row>
    <row r="4373" spans="1:8" x14ac:dyDescent="0.3">
      <c r="A4373" s="2">
        <v>744</v>
      </c>
      <c r="B4373" t="s">
        <v>1136</v>
      </c>
      <c r="C4373" t="s">
        <v>1</v>
      </c>
      <c r="D4373" s="2">
        <v>1</v>
      </c>
      <c r="E4373" s="11" t="s">
        <v>53</v>
      </c>
      <c r="F4373" t="s">
        <v>36</v>
      </c>
      <c r="G4373" s="2" t="s">
        <v>31</v>
      </c>
      <c r="H4373" s="1">
        <v>36.994</v>
      </c>
    </row>
    <row r="4374" spans="1:8" x14ac:dyDescent="0.3">
      <c r="A4374" s="2">
        <v>744</v>
      </c>
      <c r="B4374" t="s">
        <v>1261</v>
      </c>
      <c r="C4374" t="s">
        <v>3220</v>
      </c>
      <c r="D4374" s="2">
        <v>1</v>
      </c>
      <c r="E4374" s="11" t="s">
        <v>204</v>
      </c>
      <c r="F4374" t="s">
        <v>36</v>
      </c>
      <c r="G4374" s="2" t="s">
        <v>4</v>
      </c>
      <c r="H4374" s="1">
        <v>42.294000000000004</v>
      </c>
    </row>
    <row r="4375" spans="1:8" x14ac:dyDescent="0.3">
      <c r="A4375" s="2">
        <v>744</v>
      </c>
      <c r="B4375" t="s">
        <v>1471</v>
      </c>
      <c r="C4375" t="s">
        <v>3220</v>
      </c>
      <c r="D4375" s="2">
        <v>1</v>
      </c>
      <c r="E4375" s="11" t="s">
        <v>204</v>
      </c>
      <c r="F4375" t="s">
        <v>1116</v>
      </c>
      <c r="G4375" s="2" t="s">
        <v>203</v>
      </c>
      <c r="H4375" s="1">
        <v>42.294000000000004</v>
      </c>
    </row>
    <row r="4376" spans="1:8" x14ac:dyDescent="0.3">
      <c r="A4376" s="2">
        <v>744</v>
      </c>
      <c r="B4376" t="s">
        <v>1117</v>
      </c>
      <c r="C4376" t="s">
        <v>3220</v>
      </c>
      <c r="D4376" s="2">
        <v>1</v>
      </c>
      <c r="E4376" s="11" t="s">
        <v>204</v>
      </c>
      <c r="F4376" t="s">
        <v>1116</v>
      </c>
      <c r="G4376" s="2" t="s">
        <v>23</v>
      </c>
      <c r="H4376" s="1">
        <v>42.294000000000004</v>
      </c>
    </row>
    <row r="4377" spans="1:8" x14ac:dyDescent="0.3">
      <c r="A4377" s="2">
        <v>744</v>
      </c>
      <c r="B4377" t="s">
        <v>742</v>
      </c>
      <c r="C4377" t="s">
        <v>1</v>
      </c>
      <c r="D4377" s="2">
        <v>1</v>
      </c>
      <c r="E4377" s="11" t="s">
        <v>53</v>
      </c>
      <c r="F4377" t="s">
        <v>28</v>
      </c>
      <c r="G4377" s="2" t="s">
        <v>23</v>
      </c>
      <c r="H4377" s="1">
        <v>36.994</v>
      </c>
    </row>
    <row r="4378" spans="1:8" x14ac:dyDescent="0.3">
      <c r="A4378" s="2">
        <v>744</v>
      </c>
      <c r="B4378" t="s">
        <v>1272</v>
      </c>
      <c r="C4378" t="s">
        <v>1</v>
      </c>
      <c r="D4378" s="2">
        <v>1</v>
      </c>
      <c r="E4378" s="11" t="s">
        <v>53</v>
      </c>
      <c r="F4378" t="s">
        <v>28</v>
      </c>
      <c r="G4378" s="2" t="s">
        <v>31</v>
      </c>
      <c r="H4378" s="1">
        <v>36.994</v>
      </c>
    </row>
    <row r="4379" spans="1:8" x14ac:dyDescent="0.3">
      <c r="A4379" s="2">
        <v>744</v>
      </c>
      <c r="B4379" t="s">
        <v>1003</v>
      </c>
      <c r="C4379" t="s">
        <v>3220</v>
      </c>
      <c r="D4379" s="2">
        <v>1</v>
      </c>
      <c r="E4379" s="11" t="s">
        <v>204</v>
      </c>
      <c r="F4379" t="s">
        <v>28</v>
      </c>
      <c r="G4379" s="2" t="s">
        <v>203</v>
      </c>
      <c r="H4379" s="1">
        <v>42.294000000000004</v>
      </c>
    </row>
    <row r="4380" spans="1:8" x14ac:dyDescent="0.3">
      <c r="A4380" s="2">
        <v>744</v>
      </c>
      <c r="B4380" t="s">
        <v>717</v>
      </c>
      <c r="C4380" t="s">
        <v>3220</v>
      </c>
      <c r="D4380" s="2">
        <v>1</v>
      </c>
      <c r="E4380" s="11" t="s">
        <v>204</v>
      </c>
      <c r="F4380" t="s">
        <v>28</v>
      </c>
      <c r="G4380" s="2" t="s">
        <v>31</v>
      </c>
      <c r="H4380" s="1">
        <v>42.294000000000004</v>
      </c>
    </row>
    <row r="4381" spans="1:8" x14ac:dyDescent="0.3">
      <c r="A4381" s="2">
        <v>744</v>
      </c>
      <c r="B4381" t="s">
        <v>289</v>
      </c>
      <c r="C4381" t="s">
        <v>3220</v>
      </c>
      <c r="D4381" s="2">
        <v>1</v>
      </c>
      <c r="E4381" s="11" t="s">
        <v>204</v>
      </c>
      <c r="F4381" t="s">
        <v>28</v>
      </c>
      <c r="G4381" s="2" t="s">
        <v>23</v>
      </c>
      <c r="H4381" s="1">
        <v>42.294000000000004</v>
      </c>
    </row>
    <row r="4382" spans="1:8" x14ac:dyDescent="0.3">
      <c r="A4382" s="2">
        <v>745</v>
      </c>
      <c r="B4382" t="s">
        <v>729</v>
      </c>
      <c r="C4382" t="s">
        <v>1</v>
      </c>
      <c r="D4382" s="2">
        <v>1</v>
      </c>
      <c r="E4382" s="11" t="s">
        <v>281</v>
      </c>
      <c r="F4382" t="s">
        <v>65</v>
      </c>
      <c r="G4382" s="2" t="s">
        <v>31</v>
      </c>
      <c r="H4382" s="1">
        <v>58.194000000000003</v>
      </c>
    </row>
    <row r="4383" spans="1:8" x14ac:dyDescent="0.3">
      <c r="A4383" s="2">
        <v>745</v>
      </c>
      <c r="B4383" t="s">
        <v>295</v>
      </c>
      <c r="C4383" t="s">
        <v>1</v>
      </c>
      <c r="D4383" s="2">
        <v>1</v>
      </c>
      <c r="E4383" s="11" t="s">
        <v>243</v>
      </c>
      <c r="F4383" t="s">
        <v>65</v>
      </c>
      <c r="G4383" s="2" t="s">
        <v>203</v>
      </c>
      <c r="H4383" s="1">
        <v>31.693999999999999</v>
      </c>
    </row>
    <row r="4384" spans="1:8" x14ac:dyDescent="0.3">
      <c r="A4384" s="2">
        <v>745</v>
      </c>
      <c r="B4384" t="s">
        <v>729</v>
      </c>
      <c r="C4384" t="s">
        <v>1</v>
      </c>
      <c r="D4384" s="2">
        <v>1</v>
      </c>
      <c r="E4384" s="11" t="s">
        <v>281</v>
      </c>
      <c r="F4384" t="s">
        <v>65</v>
      </c>
      <c r="G4384" s="2" t="s">
        <v>31</v>
      </c>
      <c r="H4384" s="1">
        <v>58.194000000000003</v>
      </c>
    </row>
    <row r="4385" spans="1:8" x14ac:dyDescent="0.3">
      <c r="A4385" s="2">
        <v>745</v>
      </c>
      <c r="B4385" t="s">
        <v>757</v>
      </c>
      <c r="C4385" t="s">
        <v>1</v>
      </c>
      <c r="D4385" s="2">
        <v>1</v>
      </c>
      <c r="E4385" s="11" t="s">
        <v>53</v>
      </c>
      <c r="F4385" t="s">
        <v>65</v>
      </c>
      <c r="G4385" s="2" t="s">
        <v>4</v>
      </c>
      <c r="H4385" s="1">
        <v>36.994</v>
      </c>
    </row>
    <row r="4386" spans="1:8" x14ac:dyDescent="0.3">
      <c r="A4386" s="2">
        <v>745</v>
      </c>
      <c r="B4386" t="s">
        <v>756</v>
      </c>
      <c r="C4386" t="s">
        <v>1</v>
      </c>
      <c r="D4386" s="2">
        <v>1</v>
      </c>
      <c r="E4386" s="11" t="s">
        <v>53</v>
      </c>
      <c r="F4386" t="s">
        <v>65</v>
      </c>
      <c r="G4386" s="2" t="s">
        <v>203</v>
      </c>
      <c r="H4386" s="1">
        <v>36.994</v>
      </c>
    </row>
    <row r="4387" spans="1:8" x14ac:dyDescent="0.3">
      <c r="A4387" s="2">
        <v>745</v>
      </c>
      <c r="B4387" t="s">
        <v>1053</v>
      </c>
      <c r="C4387" t="s">
        <v>1</v>
      </c>
      <c r="D4387" s="2">
        <v>1</v>
      </c>
      <c r="E4387" s="11" t="s">
        <v>222</v>
      </c>
      <c r="F4387" t="s">
        <v>65</v>
      </c>
      <c r="G4387" s="2" t="s">
        <v>31</v>
      </c>
      <c r="H4387" s="1">
        <v>52.893999999999998</v>
      </c>
    </row>
    <row r="4388" spans="1:8" x14ac:dyDescent="0.3">
      <c r="A4388" s="2">
        <v>745</v>
      </c>
      <c r="B4388" t="s">
        <v>1470</v>
      </c>
      <c r="C4388" t="s">
        <v>1</v>
      </c>
      <c r="D4388" s="2">
        <v>1</v>
      </c>
      <c r="E4388" s="11" t="s">
        <v>58</v>
      </c>
      <c r="F4388" t="s">
        <v>65</v>
      </c>
      <c r="G4388" s="2" t="s">
        <v>4</v>
      </c>
      <c r="H4388" s="1">
        <v>52.893999999999998</v>
      </c>
    </row>
    <row r="4389" spans="1:8" x14ac:dyDescent="0.3">
      <c r="A4389" s="2">
        <v>745</v>
      </c>
      <c r="B4389" t="s">
        <v>1125</v>
      </c>
      <c r="C4389" t="s">
        <v>1</v>
      </c>
      <c r="D4389" s="2">
        <v>1</v>
      </c>
      <c r="E4389" s="11" t="s">
        <v>281</v>
      </c>
      <c r="F4389" t="s">
        <v>65</v>
      </c>
      <c r="G4389" s="2" t="s">
        <v>23</v>
      </c>
      <c r="H4389" s="1">
        <v>58.194000000000003</v>
      </c>
    </row>
    <row r="4390" spans="1:8" x14ac:dyDescent="0.3">
      <c r="A4390" s="2">
        <v>745</v>
      </c>
      <c r="B4390" t="s">
        <v>1469</v>
      </c>
      <c r="C4390" t="s">
        <v>1</v>
      </c>
      <c r="D4390" s="2">
        <v>1</v>
      </c>
      <c r="E4390" s="11" t="s">
        <v>1454</v>
      </c>
      <c r="F4390" t="s">
        <v>62</v>
      </c>
      <c r="G4390" s="2" t="s">
        <v>31</v>
      </c>
      <c r="H4390" s="1">
        <v>79.394000000000005</v>
      </c>
    </row>
    <row r="4391" spans="1:8" x14ac:dyDescent="0.3">
      <c r="A4391" s="2">
        <v>745</v>
      </c>
      <c r="B4391" t="s">
        <v>721</v>
      </c>
      <c r="C4391" t="s">
        <v>1</v>
      </c>
      <c r="D4391" s="2">
        <v>1</v>
      </c>
      <c r="E4391" s="11" t="s">
        <v>285</v>
      </c>
      <c r="F4391" t="s">
        <v>62</v>
      </c>
      <c r="G4391" s="2" t="s">
        <v>31</v>
      </c>
      <c r="H4391" s="1">
        <v>68.794000000000011</v>
      </c>
    </row>
    <row r="4392" spans="1:8" x14ac:dyDescent="0.3">
      <c r="A4392" s="2">
        <v>745</v>
      </c>
      <c r="B4392" t="s">
        <v>80</v>
      </c>
      <c r="C4392" t="s">
        <v>1</v>
      </c>
      <c r="D4392" s="2">
        <v>1</v>
      </c>
      <c r="E4392" s="11" t="s">
        <v>76</v>
      </c>
      <c r="F4392" t="s">
        <v>62</v>
      </c>
      <c r="G4392" s="2" t="s">
        <v>4</v>
      </c>
      <c r="H4392" s="1">
        <v>63.494</v>
      </c>
    </row>
    <row r="4393" spans="1:8" x14ac:dyDescent="0.3">
      <c r="A4393" s="2">
        <v>745</v>
      </c>
      <c r="B4393" t="s">
        <v>1468</v>
      </c>
      <c r="C4393" t="s">
        <v>1</v>
      </c>
      <c r="D4393" s="2">
        <v>1</v>
      </c>
      <c r="E4393" s="11" t="s">
        <v>222</v>
      </c>
      <c r="F4393" t="s">
        <v>55</v>
      </c>
      <c r="G4393" s="2" t="s">
        <v>23</v>
      </c>
      <c r="H4393" s="1">
        <v>52.893999999999998</v>
      </c>
    </row>
    <row r="4394" spans="1:8" x14ac:dyDescent="0.3">
      <c r="A4394" s="2">
        <v>745</v>
      </c>
      <c r="B4394" t="s">
        <v>1467</v>
      </c>
      <c r="C4394" t="s">
        <v>1</v>
      </c>
      <c r="D4394" s="2">
        <v>1</v>
      </c>
      <c r="E4394" s="11" t="s">
        <v>281</v>
      </c>
      <c r="F4394" t="s">
        <v>241</v>
      </c>
      <c r="G4394" s="2" t="s">
        <v>23</v>
      </c>
      <c r="H4394" s="1">
        <v>58.194000000000003</v>
      </c>
    </row>
    <row r="4395" spans="1:8" x14ac:dyDescent="0.3">
      <c r="A4395" s="2">
        <v>745</v>
      </c>
      <c r="B4395" t="s">
        <v>1123</v>
      </c>
      <c r="C4395" t="s">
        <v>1</v>
      </c>
      <c r="D4395" s="2">
        <v>1</v>
      </c>
      <c r="E4395" s="11" t="s">
        <v>281</v>
      </c>
      <c r="F4395" t="s">
        <v>55</v>
      </c>
      <c r="G4395" s="2" t="s">
        <v>23</v>
      </c>
      <c r="H4395" s="1">
        <v>58.194000000000003</v>
      </c>
    </row>
    <row r="4396" spans="1:8" x14ac:dyDescent="0.3">
      <c r="A4396" s="2">
        <v>745</v>
      </c>
      <c r="B4396" t="s">
        <v>1466</v>
      </c>
      <c r="C4396" t="s">
        <v>1</v>
      </c>
      <c r="D4396" s="2">
        <v>1</v>
      </c>
      <c r="E4396" s="11" t="s">
        <v>53</v>
      </c>
      <c r="F4396" t="s">
        <v>114</v>
      </c>
      <c r="G4396" s="2" t="s">
        <v>203</v>
      </c>
      <c r="H4396" s="1">
        <v>36.994</v>
      </c>
    </row>
    <row r="4397" spans="1:8" x14ac:dyDescent="0.3">
      <c r="A4397" s="2">
        <v>745</v>
      </c>
      <c r="B4397" t="s">
        <v>686</v>
      </c>
      <c r="C4397" t="s">
        <v>1</v>
      </c>
      <c r="D4397" s="2">
        <v>1</v>
      </c>
      <c r="E4397" s="11" t="s">
        <v>76</v>
      </c>
      <c r="F4397" t="s">
        <v>114</v>
      </c>
      <c r="G4397" s="2" t="s">
        <v>23</v>
      </c>
      <c r="H4397" s="1">
        <v>63.494</v>
      </c>
    </row>
    <row r="4398" spans="1:8" x14ac:dyDescent="0.3">
      <c r="A4398" s="2">
        <v>745</v>
      </c>
      <c r="B4398" t="s">
        <v>715</v>
      </c>
      <c r="C4398" t="s">
        <v>1</v>
      </c>
      <c r="D4398" s="2">
        <v>1</v>
      </c>
      <c r="E4398" s="11" t="s">
        <v>281</v>
      </c>
      <c r="F4398" t="s">
        <v>114</v>
      </c>
      <c r="G4398" s="2" t="s">
        <v>23</v>
      </c>
      <c r="H4398" s="1">
        <v>58.194000000000003</v>
      </c>
    </row>
    <row r="4399" spans="1:8" x14ac:dyDescent="0.3">
      <c r="A4399" s="2">
        <v>745</v>
      </c>
      <c r="B4399" t="s">
        <v>1160</v>
      </c>
      <c r="C4399" t="s">
        <v>1</v>
      </c>
      <c r="D4399" s="2">
        <v>1</v>
      </c>
      <c r="E4399" s="11" t="s">
        <v>285</v>
      </c>
      <c r="F4399" t="s">
        <v>47</v>
      </c>
      <c r="G4399" s="2" t="s">
        <v>23</v>
      </c>
      <c r="H4399" s="1">
        <v>68.794000000000011</v>
      </c>
    </row>
    <row r="4400" spans="1:8" x14ac:dyDescent="0.3">
      <c r="A4400" s="2">
        <v>745</v>
      </c>
      <c r="B4400" t="s">
        <v>1465</v>
      </c>
      <c r="C4400" t="s">
        <v>3221</v>
      </c>
      <c r="D4400" s="2">
        <v>1</v>
      </c>
      <c r="E4400" s="11" t="s">
        <v>1462</v>
      </c>
      <c r="F4400" t="s">
        <v>47</v>
      </c>
      <c r="G4400" s="2" t="s">
        <v>4</v>
      </c>
      <c r="H4400" s="1">
        <v>116.49400000000001</v>
      </c>
    </row>
    <row r="4401" spans="1:8" x14ac:dyDescent="0.3">
      <c r="A4401" s="2">
        <v>745</v>
      </c>
      <c r="B4401" t="s">
        <v>1464</v>
      </c>
      <c r="C4401" t="s">
        <v>3221</v>
      </c>
      <c r="D4401" s="2">
        <v>1</v>
      </c>
      <c r="E4401" s="11" t="s">
        <v>1462</v>
      </c>
      <c r="F4401" t="s">
        <v>47</v>
      </c>
      <c r="G4401" s="2" t="s">
        <v>31</v>
      </c>
      <c r="H4401" s="1">
        <v>116.49400000000001</v>
      </c>
    </row>
    <row r="4402" spans="1:8" x14ac:dyDescent="0.3">
      <c r="A4402" s="2">
        <v>745</v>
      </c>
      <c r="B4402" t="s">
        <v>1463</v>
      </c>
      <c r="C4402" t="s">
        <v>3221</v>
      </c>
      <c r="D4402" s="2">
        <v>1</v>
      </c>
      <c r="E4402" s="11" t="s">
        <v>1462</v>
      </c>
      <c r="F4402" t="s">
        <v>47</v>
      </c>
      <c r="G4402" s="2" t="s">
        <v>23</v>
      </c>
      <c r="H4402" s="1">
        <v>116.49400000000001</v>
      </c>
    </row>
    <row r="4403" spans="1:8" x14ac:dyDescent="0.3">
      <c r="A4403" s="2">
        <v>745</v>
      </c>
      <c r="B4403" t="s">
        <v>533</v>
      </c>
      <c r="C4403" t="s">
        <v>1</v>
      </c>
      <c r="D4403" s="2">
        <v>1</v>
      </c>
      <c r="E4403" s="11" t="s">
        <v>76</v>
      </c>
      <c r="F4403" t="s">
        <v>47</v>
      </c>
      <c r="G4403" s="2" t="s">
        <v>31</v>
      </c>
      <c r="H4403" s="1">
        <v>63.494</v>
      </c>
    </row>
    <row r="4404" spans="1:8" x14ac:dyDescent="0.3">
      <c r="A4404" s="2">
        <v>745</v>
      </c>
      <c r="B4404" t="s">
        <v>223</v>
      </c>
      <c r="C4404" t="s">
        <v>1</v>
      </c>
      <c r="D4404" s="2">
        <v>1</v>
      </c>
      <c r="E4404" s="11" t="s">
        <v>222</v>
      </c>
      <c r="F4404" t="s">
        <v>47</v>
      </c>
      <c r="G4404" s="2" t="s">
        <v>203</v>
      </c>
      <c r="H4404" s="1">
        <v>52.893999999999998</v>
      </c>
    </row>
    <row r="4405" spans="1:8" x14ac:dyDescent="0.3">
      <c r="A4405" s="2">
        <v>745</v>
      </c>
      <c r="B4405" t="s">
        <v>1447</v>
      </c>
      <c r="C4405" t="s">
        <v>3224</v>
      </c>
      <c r="D4405" s="2">
        <v>1</v>
      </c>
      <c r="E4405" s="11" t="s">
        <v>1223</v>
      </c>
      <c r="F4405" t="s">
        <v>47</v>
      </c>
      <c r="G4405" s="2" t="s">
        <v>23</v>
      </c>
      <c r="H4405" s="1">
        <v>52.893999999999998</v>
      </c>
    </row>
    <row r="4406" spans="1:8" x14ac:dyDescent="0.3">
      <c r="A4406" s="2">
        <v>745</v>
      </c>
      <c r="B4406" t="s">
        <v>1461</v>
      </c>
      <c r="C4406" t="s">
        <v>3219</v>
      </c>
      <c r="D4406" s="2">
        <v>1</v>
      </c>
      <c r="E4406" s="11" t="s">
        <v>1460</v>
      </c>
      <c r="F4406" t="s">
        <v>47</v>
      </c>
      <c r="G4406" s="2" t="s">
        <v>31</v>
      </c>
      <c r="H4406" s="1">
        <v>142.994</v>
      </c>
    </row>
    <row r="4407" spans="1:8" x14ac:dyDescent="0.3">
      <c r="A4407" s="2">
        <v>745</v>
      </c>
      <c r="B4407" t="s">
        <v>711</v>
      </c>
      <c r="C4407" t="s">
        <v>1</v>
      </c>
      <c r="D4407" s="2">
        <v>1</v>
      </c>
      <c r="E4407" s="11" t="s">
        <v>281</v>
      </c>
      <c r="F4407" t="s">
        <v>47</v>
      </c>
      <c r="G4407" s="2" t="s">
        <v>23</v>
      </c>
      <c r="H4407" s="1">
        <v>58.194000000000003</v>
      </c>
    </row>
    <row r="4408" spans="1:8" x14ac:dyDescent="0.3">
      <c r="A4408" s="2">
        <v>745</v>
      </c>
      <c r="B4408" t="s">
        <v>709</v>
      </c>
      <c r="C4408" t="s">
        <v>1</v>
      </c>
      <c r="D4408" s="2">
        <v>1</v>
      </c>
      <c r="E4408" s="11" t="s">
        <v>285</v>
      </c>
      <c r="F4408" t="s">
        <v>39</v>
      </c>
      <c r="G4408" s="2" t="s">
        <v>23</v>
      </c>
      <c r="H4408" s="1">
        <v>68.794000000000011</v>
      </c>
    </row>
    <row r="4409" spans="1:8" x14ac:dyDescent="0.3">
      <c r="A4409" s="2">
        <v>745</v>
      </c>
      <c r="B4409" t="s">
        <v>1459</v>
      </c>
      <c r="C4409" t="s">
        <v>1</v>
      </c>
      <c r="D4409" s="2">
        <v>1</v>
      </c>
      <c r="E4409" s="11" t="s">
        <v>285</v>
      </c>
      <c r="F4409" t="s">
        <v>39</v>
      </c>
      <c r="G4409" s="2" t="s">
        <v>4</v>
      </c>
      <c r="H4409" s="1">
        <v>68.794000000000011</v>
      </c>
    </row>
    <row r="4410" spans="1:8" x14ac:dyDescent="0.3">
      <c r="A4410" s="2">
        <v>745</v>
      </c>
      <c r="B4410" t="s">
        <v>1224</v>
      </c>
      <c r="C4410" t="s">
        <v>3224</v>
      </c>
      <c r="D4410" s="2">
        <v>1</v>
      </c>
      <c r="E4410" s="11" t="s">
        <v>1223</v>
      </c>
      <c r="F4410" t="s">
        <v>39</v>
      </c>
      <c r="G4410" s="2" t="s">
        <v>31</v>
      </c>
      <c r="H4410" s="1">
        <v>52.893999999999998</v>
      </c>
    </row>
    <row r="4411" spans="1:8" x14ac:dyDescent="0.3">
      <c r="A4411" s="2">
        <v>745</v>
      </c>
      <c r="B4411" t="s">
        <v>1458</v>
      </c>
      <c r="C4411" t="s">
        <v>3224</v>
      </c>
      <c r="D4411" s="2">
        <v>1</v>
      </c>
      <c r="E4411" s="11" t="s">
        <v>1223</v>
      </c>
      <c r="F4411" t="s">
        <v>39</v>
      </c>
      <c r="G4411" s="2" t="s">
        <v>23</v>
      </c>
      <c r="H4411" s="1">
        <v>52.893999999999998</v>
      </c>
    </row>
    <row r="4412" spans="1:8" x14ac:dyDescent="0.3">
      <c r="A4412" s="2">
        <v>745</v>
      </c>
      <c r="B4412" t="s">
        <v>1283</v>
      </c>
      <c r="C4412" t="s">
        <v>1</v>
      </c>
      <c r="D4412" s="2">
        <v>1</v>
      </c>
      <c r="E4412" s="11" t="s">
        <v>58</v>
      </c>
      <c r="F4412" t="s">
        <v>39</v>
      </c>
      <c r="G4412" s="2" t="s">
        <v>31</v>
      </c>
      <c r="H4412" s="1">
        <v>52.893999999999998</v>
      </c>
    </row>
    <row r="4413" spans="1:8" x14ac:dyDescent="0.3">
      <c r="A4413" s="2">
        <v>745</v>
      </c>
      <c r="B4413" t="s">
        <v>1418</v>
      </c>
      <c r="C4413" t="s">
        <v>3224</v>
      </c>
      <c r="D4413" s="2">
        <v>1</v>
      </c>
      <c r="E4413" s="11" t="s">
        <v>656</v>
      </c>
      <c r="F4413" t="s">
        <v>39</v>
      </c>
      <c r="G4413" s="2" t="s">
        <v>31</v>
      </c>
      <c r="H4413" s="1">
        <v>74.094000000000008</v>
      </c>
    </row>
    <row r="4414" spans="1:8" x14ac:dyDescent="0.3">
      <c r="A4414" s="2">
        <v>745</v>
      </c>
      <c r="B4414" t="s">
        <v>1457</v>
      </c>
      <c r="C4414" t="s">
        <v>1</v>
      </c>
      <c r="D4414" s="2">
        <v>1</v>
      </c>
      <c r="E4414" s="11" t="s">
        <v>281</v>
      </c>
      <c r="F4414" t="s">
        <v>39</v>
      </c>
      <c r="G4414" s="2" t="s">
        <v>4</v>
      </c>
      <c r="H4414" s="1">
        <v>58.194000000000003</v>
      </c>
    </row>
    <row r="4415" spans="1:8" x14ac:dyDescent="0.3">
      <c r="A4415" s="2">
        <v>745</v>
      </c>
      <c r="B4415" t="s">
        <v>1235</v>
      </c>
      <c r="C4415" t="s">
        <v>1</v>
      </c>
      <c r="D4415" s="2">
        <v>1</v>
      </c>
      <c r="E4415" s="11" t="s">
        <v>281</v>
      </c>
      <c r="F4415" t="s">
        <v>39</v>
      </c>
      <c r="G4415" s="2" t="s">
        <v>23</v>
      </c>
      <c r="H4415" s="1">
        <v>58.194000000000003</v>
      </c>
    </row>
    <row r="4416" spans="1:8" x14ac:dyDescent="0.3">
      <c r="A4416" s="2">
        <v>745</v>
      </c>
      <c r="B4416" t="s">
        <v>284</v>
      </c>
      <c r="C4416" t="s">
        <v>1</v>
      </c>
      <c r="D4416" s="2">
        <v>1</v>
      </c>
      <c r="E4416" s="11" t="s">
        <v>281</v>
      </c>
      <c r="F4416" t="s">
        <v>39</v>
      </c>
      <c r="G4416" s="2" t="s">
        <v>203</v>
      </c>
      <c r="H4416" s="1">
        <v>58.194000000000003</v>
      </c>
    </row>
    <row r="4417" spans="1:8" x14ac:dyDescent="0.3">
      <c r="A4417" s="2">
        <v>745</v>
      </c>
      <c r="B4417" t="s">
        <v>443</v>
      </c>
      <c r="C4417" t="s">
        <v>1</v>
      </c>
      <c r="D4417" s="2">
        <v>1</v>
      </c>
      <c r="E4417" s="11" t="s">
        <v>172</v>
      </c>
      <c r="F4417" t="s">
        <v>36</v>
      </c>
      <c r="G4417" s="2" t="s">
        <v>31</v>
      </c>
      <c r="H4417" s="1">
        <v>47.594000000000001</v>
      </c>
    </row>
    <row r="4418" spans="1:8" x14ac:dyDescent="0.3">
      <c r="A4418" s="2">
        <v>745</v>
      </c>
      <c r="B4418" t="s">
        <v>1456</v>
      </c>
      <c r="C4418" t="s">
        <v>1</v>
      </c>
      <c r="D4418" s="2">
        <v>1</v>
      </c>
      <c r="E4418" s="11" t="s">
        <v>281</v>
      </c>
      <c r="F4418" t="s">
        <v>36</v>
      </c>
      <c r="G4418" s="2" t="s">
        <v>4</v>
      </c>
      <c r="H4418" s="1">
        <v>58.194000000000003</v>
      </c>
    </row>
    <row r="4419" spans="1:8" x14ac:dyDescent="0.3">
      <c r="A4419" s="2">
        <v>745</v>
      </c>
      <c r="B4419" t="s">
        <v>1272</v>
      </c>
      <c r="C4419" t="s">
        <v>1</v>
      </c>
      <c r="D4419" s="2">
        <v>1</v>
      </c>
      <c r="E4419" s="11" t="s">
        <v>53</v>
      </c>
      <c r="F4419" t="s">
        <v>28</v>
      </c>
      <c r="G4419" s="2" t="s">
        <v>31</v>
      </c>
      <c r="H4419" s="1">
        <v>36.994</v>
      </c>
    </row>
    <row r="4420" spans="1:8" x14ac:dyDescent="0.3">
      <c r="A4420" s="2">
        <v>745</v>
      </c>
      <c r="B4420" t="s">
        <v>1455</v>
      </c>
      <c r="C4420" t="s">
        <v>1</v>
      </c>
      <c r="D4420" s="2">
        <v>1</v>
      </c>
      <c r="E4420" s="11" t="s">
        <v>1454</v>
      </c>
      <c r="F4420" t="s">
        <v>28</v>
      </c>
      <c r="G4420" s="2" t="s">
        <v>23</v>
      </c>
      <c r="H4420" s="1">
        <v>79.394000000000005</v>
      </c>
    </row>
    <row r="4421" spans="1:8" x14ac:dyDescent="0.3">
      <c r="A4421" s="2">
        <v>745</v>
      </c>
      <c r="B4421" t="s">
        <v>1315</v>
      </c>
      <c r="C4421" t="s">
        <v>1</v>
      </c>
      <c r="D4421" s="2">
        <v>1</v>
      </c>
      <c r="E4421" s="11" t="s">
        <v>740</v>
      </c>
      <c r="F4421" t="s">
        <v>28</v>
      </c>
      <c r="G4421" s="2" t="s">
        <v>23</v>
      </c>
      <c r="H4421" s="1">
        <v>52.893999999999998</v>
      </c>
    </row>
    <row r="4422" spans="1:8" x14ac:dyDescent="0.3">
      <c r="A4422" s="2">
        <v>745</v>
      </c>
      <c r="B4422" t="s">
        <v>1114</v>
      </c>
      <c r="C4422" t="s">
        <v>1</v>
      </c>
      <c r="D4422" s="2">
        <v>1</v>
      </c>
      <c r="E4422" s="11" t="s">
        <v>281</v>
      </c>
      <c r="F4422" t="s">
        <v>28</v>
      </c>
      <c r="G4422" s="2" t="s">
        <v>23</v>
      </c>
      <c r="H4422" s="1">
        <v>58.194000000000003</v>
      </c>
    </row>
    <row r="4423" spans="1:8" x14ac:dyDescent="0.3">
      <c r="A4423" s="2">
        <v>745</v>
      </c>
      <c r="B4423" t="s">
        <v>1453</v>
      </c>
      <c r="C4423" t="s">
        <v>1</v>
      </c>
      <c r="D4423" s="2">
        <v>1</v>
      </c>
      <c r="E4423" s="11" t="s">
        <v>285</v>
      </c>
      <c r="F4423" t="s">
        <v>24</v>
      </c>
      <c r="G4423" s="2" t="s">
        <v>23</v>
      </c>
      <c r="H4423" s="1">
        <v>68.794000000000011</v>
      </c>
    </row>
    <row r="4424" spans="1:8" x14ac:dyDescent="0.3">
      <c r="A4424" s="2">
        <v>745</v>
      </c>
      <c r="B4424" t="s">
        <v>1150</v>
      </c>
      <c r="C4424" t="s">
        <v>1</v>
      </c>
      <c r="D4424" s="2">
        <v>1</v>
      </c>
      <c r="E4424" s="11" t="s">
        <v>222</v>
      </c>
      <c r="F4424" t="s">
        <v>24</v>
      </c>
      <c r="G4424" s="2" t="s">
        <v>4</v>
      </c>
      <c r="H4424" s="1">
        <v>52.893999999999998</v>
      </c>
    </row>
    <row r="4425" spans="1:8" x14ac:dyDescent="0.3">
      <c r="A4425" s="2">
        <v>745</v>
      </c>
      <c r="B4425" t="s">
        <v>1452</v>
      </c>
      <c r="C4425" t="s">
        <v>1</v>
      </c>
      <c r="D4425" s="2">
        <v>1</v>
      </c>
      <c r="E4425" s="11" t="s">
        <v>281</v>
      </c>
      <c r="F4425" t="s">
        <v>24</v>
      </c>
      <c r="G4425" s="2" t="s">
        <v>31</v>
      </c>
      <c r="H4425" s="1">
        <v>58.194000000000003</v>
      </c>
    </row>
    <row r="4426" spans="1:8" x14ac:dyDescent="0.3">
      <c r="A4426" s="2">
        <v>746</v>
      </c>
      <c r="B4426" t="s">
        <v>1451</v>
      </c>
      <c r="C4426" t="s">
        <v>3238</v>
      </c>
      <c r="D4426" s="2">
        <v>1</v>
      </c>
      <c r="E4426" s="11" t="s">
        <v>871</v>
      </c>
      <c r="F4426" t="s">
        <v>55</v>
      </c>
      <c r="G4426" s="2" t="s">
        <v>4</v>
      </c>
      <c r="H4426" s="1">
        <v>68.794000000000011</v>
      </c>
    </row>
    <row r="4427" spans="1:8" x14ac:dyDescent="0.3">
      <c r="A4427" s="2">
        <v>746</v>
      </c>
      <c r="B4427" t="s">
        <v>872</v>
      </c>
      <c r="C4427" t="s">
        <v>3238</v>
      </c>
      <c r="D4427" s="2">
        <v>1</v>
      </c>
      <c r="E4427" s="11" t="s">
        <v>871</v>
      </c>
      <c r="F4427" t="s">
        <v>55</v>
      </c>
      <c r="G4427" s="2" t="s">
        <v>31</v>
      </c>
      <c r="H4427" s="1">
        <v>68.794000000000011</v>
      </c>
    </row>
    <row r="4428" spans="1:8" x14ac:dyDescent="0.3">
      <c r="A4428" s="2">
        <v>746</v>
      </c>
      <c r="B4428" t="s">
        <v>1206</v>
      </c>
      <c r="C4428" t="s">
        <v>3238</v>
      </c>
      <c r="D4428" s="2">
        <v>1</v>
      </c>
      <c r="E4428" s="11" t="s">
        <v>871</v>
      </c>
      <c r="F4428" t="s">
        <v>55</v>
      </c>
      <c r="G4428" s="2" t="s">
        <v>23</v>
      </c>
      <c r="H4428" s="1">
        <v>68.794000000000011</v>
      </c>
    </row>
    <row r="4429" spans="1:8" x14ac:dyDescent="0.3">
      <c r="A4429" s="2">
        <v>746</v>
      </c>
      <c r="B4429" t="s">
        <v>1450</v>
      </c>
      <c r="C4429" t="s">
        <v>3224</v>
      </c>
      <c r="D4429" s="2">
        <v>1</v>
      </c>
      <c r="E4429" s="11" t="s">
        <v>1444</v>
      </c>
      <c r="F4429" t="s">
        <v>55</v>
      </c>
      <c r="G4429" s="2" t="s">
        <v>23</v>
      </c>
      <c r="H4429" s="1">
        <v>95.294000000000011</v>
      </c>
    </row>
    <row r="4430" spans="1:8" x14ac:dyDescent="0.3">
      <c r="A4430" s="2">
        <v>746</v>
      </c>
      <c r="B4430" t="s">
        <v>1420</v>
      </c>
      <c r="C4430" t="s">
        <v>3224</v>
      </c>
      <c r="D4430" s="2">
        <v>1</v>
      </c>
      <c r="E4430" s="11" t="s">
        <v>1248</v>
      </c>
      <c r="F4430" t="s">
        <v>114</v>
      </c>
      <c r="G4430" s="2" t="s">
        <v>31</v>
      </c>
      <c r="H4430" s="1">
        <v>95.294000000000011</v>
      </c>
    </row>
    <row r="4431" spans="1:8" x14ac:dyDescent="0.3">
      <c r="A4431" s="2">
        <v>746</v>
      </c>
      <c r="B4431" t="s">
        <v>1416</v>
      </c>
      <c r="C4431" t="s">
        <v>3224</v>
      </c>
      <c r="D4431" s="2">
        <v>1</v>
      </c>
      <c r="E4431" s="11" t="s">
        <v>1248</v>
      </c>
      <c r="F4431" t="s">
        <v>114</v>
      </c>
      <c r="G4431" s="2" t="s">
        <v>23</v>
      </c>
      <c r="H4431" s="1">
        <v>95.294000000000011</v>
      </c>
    </row>
    <row r="4432" spans="1:8" x14ac:dyDescent="0.3">
      <c r="A4432" s="2">
        <v>746</v>
      </c>
      <c r="B4432" t="s">
        <v>1449</v>
      </c>
      <c r="C4432" t="s">
        <v>3224</v>
      </c>
      <c r="D4432" s="2">
        <v>1</v>
      </c>
      <c r="E4432" s="11" t="s">
        <v>1248</v>
      </c>
      <c r="F4432" t="s">
        <v>47</v>
      </c>
      <c r="G4432" s="2" t="s">
        <v>4</v>
      </c>
      <c r="H4432" s="1">
        <v>95.294000000000011</v>
      </c>
    </row>
    <row r="4433" spans="1:8" x14ac:dyDescent="0.3">
      <c r="A4433" s="2">
        <v>746</v>
      </c>
      <c r="B4433" t="s">
        <v>1448</v>
      </c>
      <c r="C4433" t="s">
        <v>3224</v>
      </c>
      <c r="D4433" s="2">
        <v>1</v>
      </c>
      <c r="E4433" s="11" t="s">
        <v>1248</v>
      </c>
      <c r="F4433" t="s">
        <v>47</v>
      </c>
      <c r="G4433" s="2" t="s">
        <v>31</v>
      </c>
      <c r="H4433" s="1">
        <v>95.294000000000011</v>
      </c>
    </row>
    <row r="4434" spans="1:8" x14ac:dyDescent="0.3">
      <c r="A4434" s="2">
        <v>746</v>
      </c>
      <c r="B4434" t="s">
        <v>1419</v>
      </c>
      <c r="C4434" t="s">
        <v>3224</v>
      </c>
      <c r="D4434" s="2">
        <v>1</v>
      </c>
      <c r="E4434" s="11" t="s">
        <v>1248</v>
      </c>
      <c r="F4434" t="s">
        <v>47</v>
      </c>
      <c r="G4434" s="2" t="s">
        <v>23</v>
      </c>
      <c r="H4434" s="1">
        <v>95.294000000000011</v>
      </c>
    </row>
    <row r="4435" spans="1:8" x14ac:dyDescent="0.3">
      <c r="A4435" s="2">
        <v>746</v>
      </c>
      <c r="B4435" t="s">
        <v>1447</v>
      </c>
      <c r="C4435" t="s">
        <v>3224</v>
      </c>
      <c r="D4435" s="2">
        <v>1</v>
      </c>
      <c r="E4435" s="11" t="s">
        <v>1223</v>
      </c>
      <c r="F4435" t="s">
        <v>47</v>
      </c>
      <c r="G4435" s="2" t="s">
        <v>23</v>
      </c>
      <c r="H4435" s="1">
        <v>52.893999999999998</v>
      </c>
    </row>
    <row r="4436" spans="1:8" x14ac:dyDescent="0.3">
      <c r="A4436" s="2">
        <v>746</v>
      </c>
      <c r="B4436" t="s">
        <v>1446</v>
      </c>
      <c r="C4436" t="s">
        <v>3224</v>
      </c>
      <c r="D4436" s="2">
        <v>1</v>
      </c>
      <c r="E4436" s="11" t="s">
        <v>1444</v>
      </c>
      <c r="F4436" t="s">
        <v>39</v>
      </c>
      <c r="G4436" s="2" t="s">
        <v>31</v>
      </c>
      <c r="H4436" s="1">
        <v>95.294000000000011</v>
      </c>
    </row>
    <row r="4437" spans="1:8" x14ac:dyDescent="0.3">
      <c r="A4437" s="2">
        <v>746</v>
      </c>
      <c r="B4437" t="s">
        <v>1445</v>
      </c>
      <c r="C4437" t="s">
        <v>3224</v>
      </c>
      <c r="D4437" s="2">
        <v>1</v>
      </c>
      <c r="E4437" s="11" t="s">
        <v>1444</v>
      </c>
      <c r="F4437" t="s">
        <v>39</v>
      </c>
      <c r="G4437" s="2" t="s">
        <v>23</v>
      </c>
      <c r="H4437" s="1">
        <v>95.294000000000011</v>
      </c>
    </row>
    <row r="4438" spans="1:8" x14ac:dyDescent="0.3">
      <c r="A4438" s="2">
        <v>746</v>
      </c>
      <c r="B4438" t="s">
        <v>1443</v>
      </c>
      <c r="C4438" t="s">
        <v>3224</v>
      </c>
      <c r="D4438" s="2">
        <v>1</v>
      </c>
      <c r="E4438" s="11" t="s">
        <v>1223</v>
      </c>
      <c r="F4438" t="s">
        <v>39</v>
      </c>
      <c r="G4438" s="2" t="s">
        <v>4</v>
      </c>
      <c r="H4438" s="1">
        <v>52.893999999999998</v>
      </c>
    </row>
    <row r="4439" spans="1:8" x14ac:dyDescent="0.3">
      <c r="A4439" s="2">
        <v>746</v>
      </c>
      <c r="B4439" t="s">
        <v>1224</v>
      </c>
      <c r="C4439" t="s">
        <v>3224</v>
      </c>
      <c r="D4439" s="2">
        <v>1</v>
      </c>
      <c r="E4439" s="11" t="s">
        <v>1223</v>
      </c>
      <c r="F4439" t="s">
        <v>39</v>
      </c>
      <c r="G4439" s="2" t="s">
        <v>31</v>
      </c>
      <c r="H4439" s="1">
        <v>52.893999999999998</v>
      </c>
    </row>
    <row r="4440" spans="1:8" x14ac:dyDescent="0.3">
      <c r="A4440" s="2">
        <v>746</v>
      </c>
      <c r="B4440" t="s">
        <v>1014</v>
      </c>
      <c r="C4440" t="s">
        <v>1</v>
      </c>
      <c r="D4440" s="2">
        <v>1</v>
      </c>
      <c r="E4440" s="11" t="s">
        <v>1008</v>
      </c>
      <c r="F4440" t="s">
        <v>39</v>
      </c>
      <c r="G4440" s="2" t="s">
        <v>31</v>
      </c>
      <c r="H4440" s="1">
        <v>95.294000000000011</v>
      </c>
    </row>
    <row r="4441" spans="1:8" x14ac:dyDescent="0.3">
      <c r="A4441" s="2">
        <v>746</v>
      </c>
      <c r="B4441" t="s">
        <v>1013</v>
      </c>
      <c r="C4441" t="s">
        <v>1</v>
      </c>
      <c r="D4441" s="2">
        <v>1</v>
      </c>
      <c r="E4441" s="11" t="s">
        <v>1008</v>
      </c>
      <c r="F4441" t="s">
        <v>39</v>
      </c>
      <c r="G4441" s="2" t="s">
        <v>23</v>
      </c>
      <c r="H4441" s="1">
        <v>95.294000000000011</v>
      </c>
    </row>
    <row r="4442" spans="1:8" x14ac:dyDescent="0.3">
      <c r="A4442" s="2">
        <v>746</v>
      </c>
      <c r="B4442" t="s">
        <v>1279</v>
      </c>
      <c r="C4442" t="s">
        <v>3233</v>
      </c>
      <c r="D4442" s="2">
        <v>1</v>
      </c>
      <c r="E4442" s="11" t="s">
        <v>1278</v>
      </c>
      <c r="F4442" t="s">
        <v>36</v>
      </c>
      <c r="G4442" s="2" t="s">
        <v>31</v>
      </c>
      <c r="H4442" s="1">
        <v>100.59400000000001</v>
      </c>
    </row>
    <row r="4443" spans="1:8" x14ac:dyDescent="0.3">
      <c r="A4443" s="2">
        <v>746</v>
      </c>
      <c r="B4443" t="s">
        <v>1442</v>
      </c>
      <c r="C4443" t="s">
        <v>3233</v>
      </c>
      <c r="D4443" s="2">
        <v>1</v>
      </c>
      <c r="E4443" s="11" t="s">
        <v>1278</v>
      </c>
      <c r="F4443" t="s">
        <v>36</v>
      </c>
      <c r="G4443" s="2" t="s">
        <v>23</v>
      </c>
      <c r="H4443" s="1">
        <v>100.59400000000001</v>
      </c>
    </row>
    <row r="4444" spans="1:8" x14ac:dyDescent="0.3">
      <c r="A4444" s="2">
        <v>746</v>
      </c>
      <c r="B4444" t="s">
        <v>1441</v>
      </c>
      <c r="C4444" t="s">
        <v>3224</v>
      </c>
      <c r="D4444" s="2">
        <v>1</v>
      </c>
      <c r="E4444" s="11" t="s">
        <v>1223</v>
      </c>
      <c r="F4444" t="s">
        <v>28</v>
      </c>
      <c r="G4444" s="2" t="s">
        <v>31</v>
      </c>
      <c r="H4444" s="1">
        <v>52.893999999999998</v>
      </c>
    </row>
    <row r="4445" spans="1:8" x14ac:dyDescent="0.3">
      <c r="A4445" s="2">
        <v>746</v>
      </c>
      <c r="B4445" t="s">
        <v>1434</v>
      </c>
      <c r="C4445" t="s">
        <v>3238</v>
      </c>
      <c r="D4445" s="2">
        <v>1</v>
      </c>
      <c r="E4445" s="11" t="s">
        <v>871</v>
      </c>
      <c r="F4445" t="s">
        <v>28</v>
      </c>
      <c r="G4445" s="2" t="s">
        <v>4</v>
      </c>
      <c r="H4445" s="1">
        <v>68.794000000000011</v>
      </c>
    </row>
    <row r="4446" spans="1:8" x14ac:dyDescent="0.3">
      <c r="A4446" s="2">
        <v>746</v>
      </c>
      <c r="B4446" t="s">
        <v>1440</v>
      </c>
      <c r="C4446" t="s">
        <v>3238</v>
      </c>
      <c r="D4446" s="2">
        <v>1</v>
      </c>
      <c r="E4446" s="11" t="s">
        <v>871</v>
      </c>
      <c r="F4446" t="s">
        <v>28</v>
      </c>
      <c r="G4446" s="2" t="s">
        <v>31</v>
      </c>
      <c r="H4446" s="1">
        <v>68.794000000000011</v>
      </c>
    </row>
    <row r="4447" spans="1:8" x14ac:dyDescent="0.3">
      <c r="A4447" s="2">
        <v>746</v>
      </c>
      <c r="B4447" t="s">
        <v>1258</v>
      </c>
      <c r="C4447" t="s">
        <v>3238</v>
      </c>
      <c r="D4447" s="2">
        <v>1</v>
      </c>
      <c r="E4447" s="11" t="s">
        <v>871</v>
      </c>
      <c r="F4447" t="s">
        <v>28</v>
      </c>
      <c r="G4447" s="2" t="s">
        <v>23</v>
      </c>
      <c r="H4447" s="1">
        <v>68.794000000000011</v>
      </c>
    </row>
    <row r="4448" spans="1:8" x14ac:dyDescent="0.3">
      <c r="A4448" s="2">
        <v>746</v>
      </c>
      <c r="B4448" t="s">
        <v>1257</v>
      </c>
      <c r="C4448" t="s">
        <v>1</v>
      </c>
      <c r="D4448" s="2">
        <v>1</v>
      </c>
      <c r="E4448" s="11" t="s">
        <v>1008</v>
      </c>
      <c r="F4448" t="s">
        <v>28</v>
      </c>
      <c r="G4448" s="2" t="s">
        <v>31</v>
      </c>
      <c r="H4448" s="1">
        <v>95.294000000000011</v>
      </c>
    </row>
    <row r="4449" spans="1:8" x14ac:dyDescent="0.3">
      <c r="A4449" s="2">
        <v>746</v>
      </c>
      <c r="B4449" t="s">
        <v>1439</v>
      </c>
      <c r="C4449" t="s">
        <v>1</v>
      </c>
      <c r="D4449" s="2">
        <v>1</v>
      </c>
      <c r="E4449" s="11" t="s">
        <v>1008</v>
      </c>
      <c r="F4449" t="s">
        <v>28</v>
      </c>
      <c r="G4449" s="2" t="s">
        <v>23</v>
      </c>
      <c r="H4449" s="1">
        <v>95.294000000000011</v>
      </c>
    </row>
    <row r="4450" spans="1:8" x14ac:dyDescent="0.3">
      <c r="A4450" s="2">
        <v>746</v>
      </c>
      <c r="B4450" t="s">
        <v>521</v>
      </c>
      <c r="C4450" t="s">
        <v>3224</v>
      </c>
      <c r="D4450" s="2">
        <v>1</v>
      </c>
      <c r="E4450" s="11" t="s">
        <v>520</v>
      </c>
      <c r="F4450" t="s">
        <v>24</v>
      </c>
      <c r="G4450" s="2" t="s">
        <v>4</v>
      </c>
      <c r="H4450" s="1">
        <v>68.794000000000011</v>
      </c>
    </row>
    <row r="4451" spans="1:8" x14ac:dyDescent="0.3">
      <c r="A4451" s="2">
        <v>746</v>
      </c>
      <c r="B4451" t="s">
        <v>1438</v>
      </c>
      <c r="C4451" t="s">
        <v>3224</v>
      </c>
      <c r="D4451" s="2">
        <v>1</v>
      </c>
      <c r="E4451" s="11" t="s">
        <v>520</v>
      </c>
      <c r="F4451" t="s">
        <v>24</v>
      </c>
      <c r="G4451" s="2" t="s">
        <v>31</v>
      </c>
      <c r="H4451" s="1">
        <v>68.794000000000011</v>
      </c>
    </row>
    <row r="4452" spans="1:8" x14ac:dyDescent="0.3">
      <c r="A4452" s="2">
        <v>746</v>
      </c>
      <c r="B4452" t="s">
        <v>1256</v>
      </c>
      <c r="C4452" t="s">
        <v>3224</v>
      </c>
      <c r="D4452" s="2">
        <v>1</v>
      </c>
      <c r="E4452" s="11" t="s">
        <v>520</v>
      </c>
      <c r="F4452" t="s">
        <v>24</v>
      </c>
      <c r="G4452" s="2" t="s">
        <v>23</v>
      </c>
      <c r="H4452" s="1">
        <v>68.794000000000011</v>
      </c>
    </row>
    <row r="4453" spans="1:8" x14ac:dyDescent="0.3">
      <c r="A4453" s="2">
        <v>747</v>
      </c>
      <c r="B4453" t="s">
        <v>613</v>
      </c>
      <c r="C4453" t="s">
        <v>1</v>
      </c>
      <c r="D4453" s="2">
        <v>1</v>
      </c>
      <c r="E4453" s="11" t="s">
        <v>172</v>
      </c>
      <c r="F4453" t="s">
        <v>114</v>
      </c>
      <c r="G4453" s="2" t="s">
        <v>4</v>
      </c>
      <c r="H4453" s="1">
        <v>47.594000000000001</v>
      </c>
    </row>
    <row r="4454" spans="1:8" x14ac:dyDescent="0.3">
      <c r="A4454" s="2">
        <v>747</v>
      </c>
      <c r="B4454" t="s">
        <v>382</v>
      </c>
      <c r="C4454" t="s">
        <v>3224</v>
      </c>
      <c r="D4454" s="2">
        <v>1</v>
      </c>
      <c r="E4454" s="11" t="s">
        <v>34</v>
      </c>
      <c r="F4454" t="s">
        <v>47</v>
      </c>
      <c r="G4454" s="2" t="s">
        <v>31</v>
      </c>
      <c r="H4454" s="1">
        <v>100.59400000000001</v>
      </c>
    </row>
    <row r="4455" spans="1:8" x14ac:dyDescent="0.3">
      <c r="A4455" s="2">
        <v>747</v>
      </c>
      <c r="B4455" t="s">
        <v>104</v>
      </c>
      <c r="C4455" t="s">
        <v>3219</v>
      </c>
      <c r="D4455" s="2">
        <v>1</v>
      </c>
      <c r="E4455" s="11" t="s">
        <v>102</v>
      </c>
      <c r="F4455" t="s">
        <v>39</v>
      </c>
      <c r="G4455" s="2" t="s">
        <v>4</v>
      </c>
      <c r="H4455" s="1">
        <v>121.79400000000001</v>
      </c>
    </row>
    <row r="4456" spans="1:8" x14ac:dyDescent="0.3">
      <c r="A4456" s="2">
        <v>747</v>
      </c>
      <c r="B4456" t="s">
        <v>1437</v>
      </c>
      <c r="C4456" t="s">
        <v>3221</v>
      </c>
      <c r="D4456" s="2">
        <v>1</v>
      </c>
      <c r="E4456" s="11" t="s">
        <v>383</v>
      </c>
      <c r="F4456" t="s">
        <v>39</v>
      </c>
      <c r="G4456" s="2" t="s">
        <v>4</v>
      </c>
      <c r="H4456" s="1">
        <v>164.19400000000002</v>
      </c>
    </row>
    <row r="4457" spans="1:8" x14ac:dyDescent="0.3">
      <c r="A4457" s="2">
        <v>747</v>
      </c>
      <c r="B4457" t="s">
        <v>1436</v>
      </c>
      <c r="C4457" t="s">
        <v>1</v>
      </c>
      <c r="D4457" s="2">
        <v>1</v>
      </c>
      <c r="E4457" s="11" t="s">
        <v>172</v>
      </c>
      <c r="F4457" t="s">
        <v>39</v>
      </c>
      <c r="G4457" s="2" t="s">
        <v>4</v>
      </c>
      <c r="H4457" s="1">
        <v>47.594000000000001</v>
      </c>
    </row>
    <row r="4458" spans="1:8" x14ac:dyDescent="0.3">
      <c r="A4458" s="2">
        <v>747</v>
      </c>
      <c r="B4458" t="s">
        <v>1263</v>
      </c>
      <c r="C4458" t="s">
        <v>3220</v>
      </c>
      <c r="D4458" s="2">
        <v>1</v>
      </c>
      <c r="E4458" s="11" t="s">
        <v>174</v>
      </c>
      <c r="F4458" t="s">
        <v>36</v>
      </c>
      <c r="G4458" s="2" t="s">
        <v>23</v>
      </c>
      <c r="H4458" s="1">
        <v>74.094000000000008</v>
      </c>
    </row>
    <row r="4459" spans="1:8" x14ac:dyDescent="0.3">
      <c r="A4459" s="2">
        <v>747</v>
      </c>
      <c r="B4459" t="s">
        <v>1435</v>
      </c>
      <c r="C4459" t="s">
        <v>1</v>
      </c>
      <c r="D4459" s="2">
        <v>1</v>
      </c>
      <c r="E4459" s="11" t="s">
        <v>285</v>
      </c>
      <c r="F4459" t="s">
        <v>28</v>
      </c>
      <c r="G4459" s="2" t="s">
        <v>23</v>
      </c>
      <c r="H4459" s="1">
        <v>68.794000000000011</v>
      </c>
    </row>
    <row r="4460" spans="1:8" x14ac:dyDescent="0.3">
      <c r="A4460" s="2">
        <v>747</v>
      </c>
      <c r="B4460" t="s">
        <v>1434</v>
      </c>
      <c r="C4460" t="s">
        <v>3238</v>
      </c>
      <c r="D4460" s="2">
        <v>1</v>
      </c>
      <c r="E4460" s="11" t="s">
        <v>871</v>
      </c>
      <c r="F4460" t="s">
        <v>28</v>
      </c>
      <c r="G4460" s="2" t="s">
        <v>4</v>
      </c>
      <c r="H4460" s="1">
        <v>68.794000000000011</v>
      </c>
    </row>
    <row r="4461" spans="1:8" x14ac:dyDescent="0.3">
      <c r="A4461" s="2">
        <v>748</v>
      </c>
      <c r="B4461" t="s">
        <v>652</v>
      </c>
      <c r="C4461" t="s">
        <v>3220</v>
      </c>
      <c r="D4461" s="2">
        <v>1</v>
      </c>
      <c r="E4461" s="11" t="s">
        <v>640</v>
      </c>
      <c r="F4461" t="s">
        <v>55</v>
      </c>
      <c r="G4461" s="2" t="s">
        <v>23</v>
      </c>
      <c r="H4461" s="1">
        <v>21.094000000000001</v>
      </c>
    </row>
    <row r="4462" spans="1:8" x14ac:dyDescent="0.3">
      <c r="A4462" s="2">
        <v>748</v>
      </c>
      <c r="B4462" t="s">
        <v>934</v>
      </c>
      <c r="C4462" t="s">
        <v>3219</v>
      </c>
      <c r="D4462" s="2">
        <v>1</v>
      </c>
      <c r="E4462" s="11" t="s">
        <v>892</v>
      </c>
      <c r="F4462" t="s">
        <v>55</v>
      </c>
      <c r="G4462" s="2" t="s">
        <v>23</v>
      </c>
      <c r="H4462" s="1">
        <v>158.89400000000001</v>
      </c>
    </row>
    <row r="4463" spans="1:8" x14ac:dyDescent="0.3">
      <c r="A4463" s="2">
        <v>748</v>
      </c>
      <c r="B4463" t="s">
        <v>540</v>
      </c>
      <c r="C4463" t="s">
        <v>3219</v>
      </c>
      <c r="D4463" s="2">
        <v>1</v>
      </c>
      <c r="E4463" s="11" t="s">
        <v>534</v>
      </c>
      <c r="F4463" t="s">
        <v>65</v>
      </c>
      <c r="G4463" s="2" t="s">
        <v>23</v>
      </c>
      <c r="H4463" s="1">
        <v>89.994000000000014</v>
      </c>
    </row>
    <row r="4464" spans="1:8" x14ac:dyDescent="0.3">
      <c r="A4464" s="2">
        <v>748</v>
      </c>
      <c r="B4464" t="s">
        <v>1433</v>
      </c>
      <c r="C4464" t="s">
        <v>2</v>
      </c>
      <c r="D4464" s="2">
        <v>1</v>
      </c>
      <c r="E4464" s="11" t="s">
        <v>780</v>
      </c>
      <c r="F4464" t="s">
        <v>254</v>
      </c>
      <c r="G4464" s="2" t="s">
        <v>23</v>
      </c>
      <c r="H4464" s="1">
        <v>116.49400000000001</v>
      </c>
    </row>
    <row r="4465" spans="1:8" x14ac:dyDescent="0.3">
      <c r="A4465" s="2">
        <v>748</v>
      </c>
      <c r="B4465" t="s">
        <v>721</v>
      </c>
      <c r="C4465" t="s">
        <v>1</v>
      </c>
      <c r="D4465" s="2">
        <v>1</v>
      </c>
      <c r="E4465" s="11" t="s">
        <v>285</v>
      </c>
      <c r="F4465" t="s">
        <v>62</v>
      </c>
      <c r="G4465" s="2" t="s">
        <v>31</v>
      </c>
      <c r="H4465" s="1">
        <v>68.794000000000011</v>
      </c>
    </row>
    <row r="4466" spans="1:8" x14ac:dyDescent="0.3">
      <c r="A4466" s="2">
        <v>748</v>
      </c>
      <c r="B4466" t="s">
        <v>1432</v>
      </c>
      <c r="C4466" t="s">
        <v>3225</v>
      </c>
      <c r="D4466" s="2">
        <v>1</v>
      </c>
      <c r="E4466" s="11" t="s">
        <v>831</v>
      </c>
      <c r="F4466" t="s">
        <v>62</v>
      </c>
      <c r="G4466" s="2" t="s">
        <v>23</v>
      </c>
      <c r="H4466" s="1">
        <v>190.69400000000002</v>
      </c>
    </row>
    <row r="4467" spans="1:8" x14ac:dyDescent="0.3">
      <c r="A4467" s="2">
        <v>748</v>
      </c>
      <c r="B4467" t="s">
        <v>1269</v>
      </c>
      <c r="C4467" t="s">
        <v>3219</v>
      </c>
      <c r="D4467" s="2">
        <v>1</v>
      </c>
      <c r="E4467" s="11" t="s">
        <v>534</v>
      </c>
      <c r="F4467" t="s">
        <v>55</v>
      </c>
      <c r="G4467" s="2" t="s">
        <v>31</v>
      </c>
      <c r="H4467" s="1">
        <v>89.994000000000014</v>
      </c>
    </row>
    <row r="4468" spans="1:8" x14ac:dyDescent="0.3">
      <c r="A4468" s="2">
        <v>748</v>
      </c>
      <c r="B4468" t="s">
        <v>1431</v>
      </c>
      <c r="C4468" t="s">
        <v>1</v>
      </c>
      <c r="D4468" s="2">
        <v>1</v>
      </c>
      <c r="E4468" s="11" t="s">
        <v>285</v>
      </c>
      <c r="F4468" t="s">
        <v>28</v>
      </c>
      <c r="G4468" s="2" t="s">
        <v>4</v>
      </c>
      <c r="H4468" s="1">
        <v>68.794000000000011</v>
      </c>
    </row>
    <row r="4469" spans="1:8" x14ac:dyDescent="0.3">
      <c r="A4469" s="2">
        <v>748</v>
      </c>
      <c r="B4469" t="s">
        <v>1430</v>
      </c>
      <c r="C4469" t="s">
        <v>2</v>
      </c>
      <c r="D4469" s="2">
        <v>1</v>
      </c>
      <c r="E4469" s="11" t="s">
        <v>1428</v>
      </c>
      <c r="F4469" t="s">
        <v>47</v>
      </c>
      <c r="G4469" s="2" t="s">
        <v>31</v>
      </c>
      <c r="H4469" s="1">
        <v>100.59400000000001</v>
      </c>
    </row>
    <row r="4470" spans="1:8" x14ac:dyDescent="0.3">
      <c r="A4470" s="2">
        <v>748</v>
      </c>
      <c r="B4470" t="s">
        <v>1429</v>
      </c>
      <c r="C4470" t="s">
        <v>2</v>
      </c>
      <c r="D4470" s="2">
        <v>1</v>
      </c>
      <c r="E4470" s="11" t="s">
        <v>1428</v>
      </c>
      <c r="F4470" t="s">
        <v>47</v>
      </c>
      <c r="G4470" s="2" t="s">
        <v>23</v>
      </c>
      <c r="H4470" s="1">
        <v>100.59400000000001</v>
      </c>
    </row>
    <row r="4471" spans="1:8" x14ac:dyDescent="0.3">
      <c r="A4471" s="2">
        <v>748</v>
      </c>
      <c r="B4471" t="s">
        <v>1427</v>
      </c>
      <c r="C4471" t="s">
        <v>3224</v>
      </c>
      <c r="D4471" s="2">
        <v>1</v>
      </c>
      <c r="E4471" s="11" t="s">
        <v>1426</v>
      </c>
      <c r="F4471" t="s">
        <v>47</v>
      </c>
      <c r="G4471" s="2" t="s">
        <v>23</v>
      </c>
      <c r="H4471" s="1">
        <v>63.494000000000007</v>
      </c>
    </row>
    <row r="4472" spans="1:8" x14ac:dyDescent="0.3">
      <c r="A4472" s="2">
        <v>748</v>
      </c>
      <c r="B4472" t="s">
        <v>709</v>
      </c>
      <c r="C4472" t="s">
        <v>1</v>
      </c>
      <c r="D4472" s="2">
        <v>1</v>
      </c>
      <c r="E4472" s="11" t="s">
        <v>285</v>
      </c>
      <c r="F4472" t="s">
        <v>39</v>
      </c>
      <c r="G4472" s="2" t="s">
        <v>23</v>
      </c>
      <c r="H4472" s="1">
        <v>68.794000000000011</v>
      </c>
    </row>
    <row r="4473" spans="1:8" x14ac:dyDescent="0.3">
      <c r="A4473" s="2">
        <v>748</v>
      </c>
      <c r="B4473" t="s">
        <v>1029</v>
      </c>
      <c r="C4473" t="s">
        <v>3220</v>
      </c>
      <c r="D4473" s="2">
        <v>1</v>
      </c>
      <c r="E4473" s="11" t="s">
        <v>640</v>
      </c>
      <c r="F4473" t="s">
        <v>39</v>
      </c>
      <c r="G4473" s="2" t="s">
        <v>4</v>
      </c>
      <c r="H4473" s="1">
        <v>21.094000000000001</v>
      </c>
    </row>
    <row r="4474" spans="1:8" x14ac:dyDescent="0.3">
      <c r="A4474" s="2">
        <v>748</v>
      </c>
      <c r="B4474" t="s">
        <v>641</v>
      </c>
      <c r="C4474" t="s">
        <v>3220</v>
      </c>
      <c r="D4474" s="2">
        <v>1</v>
      </c>
      <c r="E4474" s="11" t="s">
        <v>640</v>
      </c>
      <c r="F4474" t="s">
        <v>39</v>
      </c>
      <c r="G4474" s="2" t="s">
        <v>31</v>
      </c>
      <c r="H4474" s="1">
        <v>21.094000000000001</v>
      </c>
    </row>
    <row r="4475" spans="1:8" x14ac:dyDescent="0.3">
      <c r="A4475" s="2">
        <v>748</v>
      </c>
      <c r="B4475" t="s">
        <v>1425</v>
      </c>
      <c r="C4475" t="s">
        <v>3221</v>
      </c>
      <c r="D4475" s="2">
        <v>1</v>
      </c>
      <c r="E4475" s="11" t="s">
        <v>1180</v>
      </c>
      <c r="F4475" t="s">
        <v>39</v>
      </c>
      <c r="G4475" s="2" t="s">
        <v>23</v>
      </c>
      <c r="H4475" s="1">
        <v>169.49400000000003</v>
      </c>
    </row>
    <row r="4476" spans="1:8" x14ac:dyDescent="0.3">
      <c r="A4476" s="2">
        <v>748</v>
      </c>
      <c r="B4476" t="s">
        <v>1424</v>
      </c>
      <c r="C4476" t="s">
        <v>1</v>
      </c>
      <c r="D4476" s="2">
        <v>1</v>
      </c>
      <c r="E4476" s="11" t="s">
        <v>285</v>
      </c>
      <c r="F4476" t="s">
        <v>28</v>
      </c>
      <c r="G4476" s="2" t="s">
        <v>203</v>
      </c>
      <c r="H4476" s="1">
        <v>68.794000000000011</v>
      </c>
    </row>
    <row r="4477" spans="1:8" x14ac:dyDescent="0.3">
      <c r="A4477" s="2">
        <v>748</v>
      </c>
      <c r="B4477" t="s">
        <v>1166</v>
      </c>
      <c r="C4477" t="s">
        <v>0</v>
      </c>
      <c r="D4477" s="2">
        <v>1</v>
      </c>
      <c r="E4477" s="11" t="s">
        <v>1099</v>
      </c>
      <c r="F4477" t="s">
        <v>24</v>
      </c>
      <c r="G4477" s="2" t="s">
        <v>23</v>
      </c>
      <c r="H4477" s="1">
        <v>195.99400000000003</v>
      </c>
    </row>
    <row r="4478" spans="1:8" x14ac:dyDescent="0.3">
      <c r="A4478" s="2">
        <v>749</v>
      </c>
      <c r="B4478" t="s">
        <v>1165</v>
      </c>
      <c r="C4478" t="s">
        <v>1</v>
      </c>
      <c r="D4478" s="2">
        <v>1</v>
      </c>
      <c r="E4478" s="11" t="s">
        <v>58</v>
      </c>
      <c r="F4478" t="s">
        <v>65</v>
      </c>
      <c r="G4478" s="2" t="s">
        <v>31</v>
      </c>
      <c r="H4478" s="1">
        <v>52.893999999999998</v>
      </c>
    </row>
    <row r="4479" spans="1:8" x14ac:dyDescent="0.3">
      <c r="A4479" s="2">
        <v>749</v>
      </c>
      <c r="B4479" t="s">
        <v>1423</v>
      </c>
      <c r="C4479" t="s">
        <v>1</v>
      </c>
      <c r="D4479" s="2">
        <v>1</v>
      </c>
      <c r="E4479" s="11" t="s">
        <v>58</v>
      </c>
      <c r="F4479" t="s">
        <v>65</v>
      </c>
      <c r="G4479" s="2" t="s">
        <v>23</v>
      </c>
      <c r="H4479" s="1">
        <v>52.893999999999998</v>
      </c>
    </row>
    <row r="4480" spans="1:8" x14ac:dyDescent="0.3">
      <c r="A4480" s="2">
        <v>749</v>
      </c>
      <c r="B4480" t="s">
        <v>750</v>
      </c>
      <c r="C4480" t="s">
        <v>1</v>
      </c>
      <c r="D4480" s="2">
        <v>1</v>
      </c>
      <c r="E4480" s="11" t="s">
        <v>740</v>
      </c>
      <c r="F4480" t="s">
        <v>65</v>
      </c>
      <c r="G4480" s="2" t="s">
        <v>4</v>
      </c>
      <c r="H4480" s="1">
        <v>52.893999999999998</v>
      </c>
    </row>
    <row r="4481" spans="1:8" x14ac:dyDescent="0.3">
      <c r="A4481" s="2">
        <v>749</v>
      </c>
      <c r="B4481" t="s">
        <v>749</v>
      </c>
      <c r="C4481" t="s">
        <v>1</v>
      </c>
      <c r="D4481" s="2">
        <v>1</v>
      </c>
      <c r="E4481" s="11" t="s">
        <v>740</v>
      </c>
      <c r="F4481" t="s">
        <v>65</v>
      </c>
      <c r="G4481" s="2" t="s">
        <v>31</v>
      </c>
      <c r="H4481" s="1">
        <v>52.893999999999998</v>
      </c>
    </row>
    <row r="4482" spans="1:8" x14ac:dyDescent="0.3">
      <c r="A4482" s="2">
        <v>749</v>
      </c>
      <c r="B4482" t="s">
        <v>748</v>
      </c>
      <c r="C4482" t="s">
        <v>1</v>
      </c>
      <c r="D4482" s="2">
        <v>1</v>
      </c>
      <c r="E4482" s="11" t="s">
        <v>740</v>
      </c>
      <c r="F4482" t="s">
        <v>65</v>
      </c>
      <c r="G4482" s="2" t="s">
        <v>23</v>
      </c>
      <c r="H4482" s="1">
        <v>52.893999999999998</v>
      </c>
    </row>
    <row r="4483" spans="1:8" x14ac:dyDescent="0.3">
      <c r="A4483" s="2">
        <v>749</v>
      </c>
      <c r="B4483" t="s">
        <v>1422</v>
      </c>
      <c r="C4483" t="s">
        <v>1</v>
      </c>
      <c r="D4483" s="2">
        <v>1</v>
      </c>
      <c r="E4483" s="11" t="s">
        <v>58</v>
      </c>
      <c r="F4483" t="s">
        <v>28</v>
      </c>
      <c r="G4483" s="2" t="s">
        <v>4</v>
      </c>
      <c r="H4483" s="1">
        <v>52.893999999999998</v>
      </c>
    </row>
    <row r="4484" spans="1:8" x14ac:dyDescent="0.3">
      <c r="A4484" s="2">
        <v>749</v>
      </c>
      <c r="B4484" t="s">
        <v>1164</v>
      </c>
      <c r="C4484" t="s">
        <v>1</v>
      </c>
      <c r="D4484" s="2">
        <v>1</v>
      </c>
      <c r="E4484" s="11" t="s">
        <v>58</v>
      </c>
      <c r="F4484" t="s">
        <v>28</v>
      </c>
      <c r="G4484" s="2" t="s">
        <v>31</v>
      </c>
      <c r="H4484" s="1">
        <v>52.893999999999998</v>
      </c>
    </row>
    <row r="4485" spans="1:8" x14ac:dyDescent="0.3">
      <c r="A4485" s="2">
        <v>749</v>
      </c>
      <c r="B4485" t="s">
        <v>1421</v>
      </c>
      <c r="C4485" t="s">
        <v>1</v>
      </c>
      <c r="D4485" s="2">
        <v>1</v>
      </c>
      <c r="E4485" s="11" t="s">
        <v>76</v>
      </c>
      <c r="F4485" t="s">
        <v>62</v>
      </c>
      <c r="G4485" s="2" t="s">
        <v>23</v>
      </c>
      <c r="H4485" s="1">
        <v>63.494</v>
      </c>
    </row>
    <row r="4486" spans="1:8" x14ac:dyDescent="0.3">
      <c r="A4486" s="2">
        <v>749</v>
      </c>
      <c r="B4486" t="s">
        <v>1420</v>
      </c>
      <c r="C4486" t="s">
        <v>3224</v>
      </c>
      <c r="D4486" s="2">
        <v>1</v>
      </c>
      <c r="E4486" s="11" t="s">
        <v>1248</v>
      </c>
      <c r="F4486" t="s">
        <v>114</v>
      </c>
      <c r="G4486" s="2" t="s">
        <v>31</v>
      </c>
      <c r="H4486" s="1">
        <v>95.294000000000011</v>
      </c>
    </row>
    <row r="4487" spans="1:8" x14ac:dyDescent="0.3">
      <c r="A4487" s="2">
        <v>749</v>
      </c>
      <c r="B4487" t="s">
        <v>613</v>
      </c>
      <c r="C4487" t="s">
        <v>1</v>
      </c>
      <c r="D4487" s="2">
        <v>1</v>
      </c>
      <c r="E4487" s="11" t="s">
        <v>172</v>
      </c>
      <c r="F4487" t="s">
        <v>114</v>
      </c>
      <c r="G4487" s="2" t="s">
        <v>4</v>
      </c>
      <c r="H4487" s="1">
        <v>47.594000000000001</v>
      </c>
    </row>
    <row r="4488" spans="1:8" x14ac:dyDescent="0.3">
      <c r="A4488" s="2">
        <v>749</v>
      </c>
      <c r="B4488" t="s">
        <v>1284</v>
      </c>
      <c r="C4488" t="s">
        <v>1</v>
      </c>
      <c r="D4488" s="2">
        <v>1</v>
      </c>
      <c r="E4488" s="11" t="s">
        <v>76</v>
      </c>
      <c r="F4488" t="s">
        <v>78</v>
      </c>
      <c r="G4488" s="2" t="s">
        <v>4</v>
      </c>
      <c r="H4488" s="1">
        <v>63.494</v>
      </c>
    </row>
    <row r="4489" spans="1:8" x14ac:dyDescent="0.3">
      <c r="A4489" s="2">
        <v>749</v>
      </c>
      <c r="B4489" t="s">
        <v>79</v>
      </c>
      <c r="C4489" t="s">
        <v>1</v>
      </c>
      <c r="D4489" s="2">
        <v>1</v>
      </c>
      <c r="E4489" s="11" t="s">
        <v>76</v>
      </c>
      <c r="F4489" t="s">
        <v>78</v>
      </c>
      <c r="G4489" s="2" t="s">
        <v>31</v>
      </c>
      <c r="H4489" s="1">
        <v>63.494</v>
      </c>
    </row>
    <row r="4490" spans="1:8" x14ac:dyDescent="0.3">
      <c r="A4490" s="2">
        <v>749</v>
      </c>
      <c r="B4490" t="s">
        <v>1419</v>
      </c>
      <c r="C4490" t="s">
        <v>3224</v>
      </c>
      <c r="D4490" s="2">
        <v>1</v>
      </c>
      <c r="E4490" s="11" t="s">
        <v>1248</v>
      </c>
      <c r="F4490" t="s">
        <v>47</v>
      </c>
      <c r="G4490" s="2" t="s">
        <v>23</v>
      </c>
      <c r="H4490" s="1">
        <v>95.294000000000011</v>
      </c>
    </row>
    <row r="4491" spans="1:8" x14ac:dyDescent="0.3">
      <c r="A4491" s="2">
        <v>749</v>
      </c>
      <c r="B4491" t="s">
        <v>1249</v>
      </c>
      <c r="C4491" t="s">
        <v>3224</v>
      </c>
      <c r="D4491" s="2">
        <v>1</v>
      </c>
      <c r="E4491" s="11" t="s">
        <v>1248</v>
      </c>
      <c r="F4491" t="s">
        <v>39</v>
      </c>
      <c r="G4491" s="2" t="s">
        <v>4</v>
      </c>
      <c r="H4491" s="1">
        <v>95.294000000000011</v>
      </c>
    </row>
    <row r="4492" spans="1:8" x14ac:dyDescent="0.3">
      <c r="A4492" s="2">
        <v>749</v>
      </c>
      <c r="B4492" t="s">
        <v>1280</v>
      </c>
      <c r="C4492" t="s">
        <v>3224</v>
      </c>
      <c r="D4492" s="2">
        <v>1</v>
      </c>
      <c r="E4492" s="11" t="s">
        <v>656</v>
      </c>
      <c r="F4492" t="s">
        <v>39</v>
      </c>
      <c r="G4492" s="2" t="s">
        <v>4</v>
      </c>
      <c r="H4492" s="1">
        <v>74.094000000000008</v>
      </c>
    </row>
    <row r="4493" spans="1:8" x14ac:dyDescent="0.3">
      <c r="A4493" s="2">
        <v>749</v>
      </c>
      <c r="B4493" t="s">
        <v>1418</v>
      </c>
      <c r="C4493" t="s">
        <v>3224</v>
      </c>
      <c r="D4493" s="2">
        <v>1</v>
      </c>
      <c r="E4493" s="11" t="s">
        <v>656</v>
      </c>
      <c r="F4493" t="s">
        <v>39</v>
      </c>
      <c r="G4493" s="2" t="s">
        <v>31</v>
      </c>
      <c r="H4493" s="1">
        <v>74.094000000000008</v>
      </c>
    </row>
    <row r="4494" spans="1:8" x14ac:dyDescent="0.3">
      <c r="A4494" s="2">
        <v>749</v>
      </c>
      <c r="B4494" t="s">
        <v>1316</v>
      </c>
      <c r="C4494" t="s">
        <v>1</v>
      </c>
      <c r="D4494" s="2">
        <v>1</v>
      </c>
      <c r="E4494" s="11" t="s">
        <v>740</v>
      </c>
      <c r="F4494" t="s">
        <v>28</v>
      </c>
      <c r="G4494" s="2" t="s">
        <v>4</v>
      </c>
      <c r="H4494" s="1">
        <v>52.893999999999998</v>
      </c>
    </row>
    <row r="4495" spans="1:8" x14ac:dyDescent="0.3">
      <c r="A4495" s="2">
        <v>749</v>
      </c>
      <c r="B4495" t="s">
        <v>1131</v>
      </c>
      <c r="C4495" t="s">
        <v>1</v>
      </c>
      <c r="D4495" s="2">
        <v>1</v>
      </c>
      <c r="E4495" s="11" t="s">
        <v>740</v>
      </c>
      <c r="F4495" t="s">
        <v>28</v>
      </c>
      <c r="G4495" s="2" t="s">
        <v>31</v>
      </c>
      <c r="H4495" s="1">
        <v>52.893999999999998</v>
      </c>
    </row>
    <row r="4496" spans="1:8" x14ac:dyDescent="0.3">
      <c r="A4496" s="2">
        <v>749</v>
      </c>
      <c r="B4496" t="s">
        <v>1315</v>
      </c>
      <c r="C4496" t="s">
        <v>1</v>
      </c>
      <c r="D4496" s="2">
        <v>1</v>
      </c>
      <c r="E4496" s="11" t="s">
        <v>740</v>
      </c>
      <c r="F4496" t="s">
        <v>28</v>
      </c>
      <c r="G4496" s="2" t="s">
        <v>23</v>
      </c>
      <c r="H4496" s="1">
        <v>52.893999999999998</v>
      </c>
    </row>
    <row r="4497" spans="1:8" x14ac:dyDescent="0.3">
      <c r="A4497" s="2">
        <v>749</v>
      </c>
      <c r="B4497" t="s">
        <v>874</v>
      </c>
      <c r="C4497" t="s">
        <v>3224</v>
      </c>
      <c r="D4497" s="2">
        <v>1</v>
      </c>
      <c r="E4497" s="11" t="s">
        <v>656</v>
      </c>
      <c r="F4497" t="s">
        <v>28</v>
      </c>
      <c r="G4497" s="2" t="s">
        <v>4</v>
      </c>
      <c r="H4497" s="1">
        <v>74.094000000000008</v>
      </c>
    </row>
    <row r="4498" spans="1:8" x14ac:dyDescent="0.3">
      <c r="A4498" s="2">
        <v>749</v>
      </c>
      <c r="B4498" t="s">
        <v>1332</v>
      </c>
      <c r="C4498" t="s">
        <v>3224</v>
      </c>
      <c r="D4498" s="2">
        <v>1</v>
      </c>
      <c r="E4498" s="11" t="s">
        <v>656</v>
      </c>
      <c r="F4498" t="s">
        <v>28</v>
      </c>
      <c r="G4498" s="2" t="s">
        <v>31</v>
      </c>
      <c r="H4498" s="1">
        <v>74.094000000000008</v>
      </c>
    </row>
    <row r="4499" spans="1:8" x14ac:dyDescent="0.3">
      <c r="A4499" s="2">
        <v>750</v>
      </c>
      <c r="B4499" t="s">
        <v>1355</v>
      </c>
      <c r="C4499" t="s">
        <v>1</v>
      </c>
      <c r="D4499" s="2">
        <v>1</v>
      </c>
      <c r="E4499" s="11" t="s">
        <v>770</v>
      </c>
      <c r="F4499" t="s">
        <v>65</v>
      </c>
      <c r="G4499" s="2" t="s">
        <v>4</v>
      </c>
      <c r="H4499" s="1">
        <v>89.994000000000014</v>
      </c>
    </row>
    <row r="4500" spans="1:8" x14ac:dyDescent="0.3">
      <c r="A4500" s="2">
        <v>750</v>
      </c>
      <c r="B4500" t="s">
        <v>1144</v>
      </c>
      <c r="C4500" t="s">
        <v>1</v>
      </c>
      <c r="D4500" s="2">
        <v>1</v>
      </c>
      <c r="E4500" s="11" t="s">
        <v>770</v>
      </c>
      <c r="F4500" t="s">
        <v>65</v>
      </c>
      <c r="G4500" s="2" t="s">
        <v>31</v>
      </c>
      <c r="H4500" s="1">
        <v>89.994000000000014</v>
      </c>
    </row>
    <row r="4501" spans="1:8" x14ac:dyDescent="0.3">
      <c r="A4501" s="2">
        <v>750</v>
      </c>
      <c r="B4501" t="s">
        <v>1307</v>
      </c>
      <c r="C4501" t="s">
        <v>1</v>
      </c>
      <c r="D4501" s="2">
        <v>1</v>
      </c>
      <c r="E4501" s="11" t="s">
        <v>770</v>
      </c>
      <c r="F4501" t="s">
        <v>65</v>
      </c>
      <c r="G4501" s="2" t="s">
        <v>23</v>
      </c>
      <c r="H4501" s="1">
        <v>89.994000000000014</v>
      </c>
    </row>
    <row r="4502" spans="1:8" x14ac:dyDescent="0.3">
      <c r="A4502" s="2">
        <v>750</v>
      </c>
      <c r="B4502" t="s">
        <v>1354</v>
      </c>
      <c r="C4502" t="s">
        <v>2</v>
      </c>
      <c r="D4502" s="2">
        <v>1</v>
      </c>
      <c r="E4502" s="11" t="s">
        <v>1300</v>
      </c>
      <c r="F4502" t="s">
        <v>65</v>
      </c>
      <c r="G4502" s="2" t="s">
        <v>4</v>
      </c>
      <c r="H4502" s="1">
        <v>89.994000000000014</v>
      </c>
    </row>
    <row r="4503" spans="1:8" x14ac:dyDescent="0.3">
      <c r="A4503" s="2">
        <v>750</v>
      </c>
      <c r="B4503" t="s">
        <v>1348</v>
      </c>
      <c r="C4503" t="s">
        <v>2</v>
      </c>
      <c r="D4503" s="2">
        <v>1</v>
      </c>
      <c r="E4503" s="11" t="s">
        <v>1300</v>
      </c>
      <c r="F4503" t="s">
        <v>65</v>
      </c>
      <c r="G4503" s="2" t="s">
        <v>31</v>
      </c>
      <c r="H4503" s="1">
        <v>89.994000000000014</v>
      </c>
    </row>
    <row r="4504" spans="1:8" x14ac:dyDescent="0.3">
      <c r="A4504" s="2">
        <v>750</v>
      </c>
      <c r="B4504" t="s">
        <v>1306</v>
      </c>
      <c r="C4504" t="s">
        <v>2</v>
      </c>
      <c r="D4504" s="2">
        <v>1</v>
      </c>
      <c r="E4504" s="11" t="s">
        <v>1300</v>
      </c>
      <c r="F4504" t="s">
        <v>65</v>
      </c>
      <c r="G4504" s="2" t="s">
        <v>23</v>
      </c>
      <c r="H4504" s="1">
        <v>89.994000000000014</v>
      </c>
    </row>
    <row r="4505" spans="1:8" x14ac:dyDescent="0.3">
      <c r="A4505" s="2">
        <v>750</v>
      </c>
      <c r="B4505" t="s">
        <v>1365</v>
      </c>
      <c r="C4505" t="s">
        <v>3</v>
      </c>
      <c r="D4505" s="2">
        <v>1</v>
      </c>
      <c r="E4505" s="11" t="s">
        <v>197</v>
      </c>
      <c r="F4505" t="s">
        <v>55</v>
      </c>
      <c r="G4505" s="2" t="s">
        <v>4</v>
      </c>
      <c r="H4505" s="1">
        <v>68.794000000000011</v>
      </c>
    </row>
    <row r="4506" spans="1:8" x14ac:dyDescent="0.3">
      <c r="A4506" s="2">
        <v>750</v>
      </c>
      <c r="B4506" t="s">
        <v>249</v>
      </c>
      <c r="C4506" t="s">
        <v>3</v>
      </c>
      <c r="D4506" s="2">
        <v>1</v>
      </c>
      <c r="E4506" s="11" t="s">
        <v>197</v>
      </c>
      <c r="F4506" t="s">
        <v>55</v>
      </c>
      <c r="G4506" s="2" t="s">
        <v>31</v>
      </c>
      <c r="H4506" s="1">
        <v>68.794000000000011</v>
      </c>
    </row>
    <row r="4507" spans="1:8" x14ac:dyDescent="0.3">
      <c r="A4507" s="2">
        <v>750</v>
      </c>
      <c r="B4507" t="s">
        <v>391</v>
      </c>
      <c r="C4507" t="s">
        <v>3</v>
      </c>
      <c r="D4507" s="2">
        <v>1</v>
      </c>
      <c r="E4507" s="11" t="s">
        <v>197</v>
      </c>
      <c r="F4507" t="s">
        <v>55</v>
      </c>
      <c r="G4507" s="2" t="s">
        <v>23</v>
      </c>
      <c r="H4507" s="1">
        <v>68.794000000000011</v>
      </c>
    </row>
    <row r="4508" spans="1:8" x14ac:dyDescent="0.3">
      <c r="A4508" s="2">
        <v>750</v>
      </c>
      <c r="B4508" t="s">
        <v>1364</v>
      </c>
      <c r="C4508" t="s">
        <v>3224</v>
      </c>
      <c r="D4508" s="2">
        <v>1</v>
      </c>
      <c r="E4508" s="11" t="s">
        <v>195</v>
      </c>
      <c r="F4508" t="s">
        <v>55</v>
      </c>
      <c r="G4508" s="2" t="s">
        <v>4</v>
      </c>
      <c r="H4508" s="1">
        <v>84.694000000000017</v>
      </c>
    </row>
    <row r="4509" spans="1:8" x14ac:dyDescent="0.3">
      <c r="A4509" s="2">
        <v>750</v>
      </c>
      <c r="B4509" t="s">
        <v>248</v>
      </c>
      <c r="C4509" t="s">
        <v>3224</v>
      </c>
      <c r="D4509" s="2">
        <v>1</v>
      </c>
      <c r="E4509" s="11" t="s">
        <v>195</v>
      </c>
      <c r="F4509" t="s">
        <v>55</v>
      </c>
      <c r="G4509" s="2" t="s">
        <v>31</v>
      </c>
      <c r="H4509" s="1">
        <v>84.694000000000017</v>
      </c>
    </row>
    <row r="4510" spans="1:8" x14ac:dyDescent="0.3">
      <c r="A4510" s="2">
        <v>750</v>
      </c>
      <c r="B4510" t="s">
        <v>390</v>
      </c>
      <c r="C4510" t="s">
        <v>3224</v>
      </c>
      <c r="D4510" s="2">
        <v>1</v>
      </c>
      <c r="E4510" s="11" t="s">
        <v>195</v>
      </c>
      <c r="F4510" t="s">
        <v>55</v>
      </c>
      <c r="G4510" s="2" t="s">
        <v>23</v>
      </c>
      <c r="H4510" s="1">
        <v>84.694000000000017</v>
      </c>
    </row>
    <row r="4511" spans="1:8" x14ac:dyDescent="0.3">
      <c r="A4511" s="2">
        <v>750</v>
      </c>
      <c r="B4511" t="s">
        <v>771</v>
      </c>
      <c r="C4511" t="s">
        <v>1</v>
      </c>
      <c r="D4511" s="2">
        <v>1</v>
      </c>
      <c r="E4511" s="11" t="s">
        <v>770</v>
      </c>
      <c r="F4511" t="s">
        <v>114</v>
      </c>
      <c r="G4511" s="2" t="s">
        <v>4</v>
      </c>
      <c r="H4511" s="1">
        <v>89.994000000000014</v>
      </c>
    </row>
    <row r="4512" spans="1:8" x14ac:dyDescent="0.3">
      <c r="A4512" s="2">
        <v>750</v>
      </c>
      <c r="B4512" t="s">
        <v>1319</v>
      </c>
      <c r="C4512" t="s">
        <v>1</v>
      </c>
      <c r="D4512" s="2">
        <v>1</v>
      </c>
      <c r="E4512" s="11" t="s">
        <v>770</v>
      </c>
      <c r="F4512" t="s">
        <v>114</v>
      </c>
      <c r="G4512" s="2" t="s">
        <v>31</v>
      </c>
      <c r="H4512" s="1">
        <v>89.994000000000014</v>
      </c>
    </row>
    <row r="4513" spans="1:8" x14ac:dyDescent="0.3">
      <c r="A4513" s="2">
        <v>750</v>
      </c>
      <c r="B4513" t="s">
        <v>1318</v>
      </c>
      <c r="C4513" t="s">
        <v>1</v>
      </c>
      <c r="D4513" s="2">
        <v>1</v>
      </c>
      <c r="E4513" s="11" t="s">
        <v>770</v>
      </c>
      <c r="F4513" t="s">
        <v>114</v>
      </c>
      <c r="G4513" s="2" t="s">
        <v>23</v>
      </c>
      <c r="H4513" s="1">
        <v>89.994000000000014</v>
      </c>
    </row>
    <row r="4514" spans="1:8" x14ac:dyDescent="0.3">
      <c r="A4514" s="2">
        <v>750</v>
      </c>
      <c r="B4514" t="s">
        <v>1104</v>
      </c>
      <c r="C4514" t="s">
        <v>0</v>
      </c>
      <c r="D4514" s="2">
        <v>1</v>
      </c>
      <c r="E4514" s="11" t="s">
        <v>183</v>
      </c>
      <c r="F4514" t="s">
        <v>36</v>
      </c>
      <c r="G4514" s="2" t="s">
        <v>4</v>
      </c>
      <c r="H4514" s="1">
        <v>153.59400000000002</v>
      </c>
    </row>
    <row r="4515" spans="1:8" x14ac:dyDescent="0.3">
      <c r="A4515" s="2">
        <v>750</v>
      </c>
      <c r="B4515" t="s">
        <v>887</v>
      </c>
      <c r="C4515" t="s">
        <v>3225</v>
      </c>
      <c r="D4515" s="2">
        <v>1</v>
      </c>
      <c r="E4515" s="11" t="s">
        <v>886</v>
      </c>
      <c r="F4515" t="s">
        <v>28</v>
      </c>
      <c r="G4515" s="2" t="s">
        <v>4</v>
      </c>
      <c r="H4515" s="1">
        <v>174.79400000000001</v>
      </c>
    </row>
    <row r="4516" spans="1:8" x14ac:dyDescent="0.3">
      <c r="A4516" s="2">
        <v>750</v>
      </c>
      <c r="B4516" t="s">
        <v>1290</v>
      </c>
      <c r="C4516" t="s">
        <v>2</v>
      </c>
      <c r="D4516" s="2">
        <v>1</v>
      </c>
      <c r="E4516" s="11" t="s">
        <v>1288</v>
      </c>
      <c r="F4516" t="s">
        <v>28</v>
      </c>
      <c r="G4516" s="2" t="s">
        <v>4</v>
      </c>
      <c r="H4516" s="1">
        <v>89.994000000000014</v>
      </c>
    </row>
    <row r="4517" spans="1:8" x14ac:dyDescent="0.3">
      <c r="A4517" s="2">
        <v>750</v>
      </c>
      <c r="B4517" t="s">
        <v>1289</v>
      </c>
      <c r="C4517" t="s">
        <v>2</v>
      </c>
      <c r="D4517" s="2">
        <v>1</v>
      </c>
      <c r="E4517" s="11" t="s">
        <v>1288</v>
      </c>
      <c r="F4517" t="s">
        <v>28</v>
      </c>
      <c r="G4517" s="2" t="s">
        <v>31</v>
      </c>
      <c r="H4517" s="1">
        <v>89.994000000000014</v>
      </c>
    </row>
    <row r="4518" spans="1:8" x14ac:dyDescent="0.3">
      <c r="A4518" s="2">
        <v>750</v>
      </c>
      <c r="B4518" t="s">
        <v>1372</v>
      </c>
      <c r="C4518" t="s">
        <v>2</v>
      </c>
      <c r="D4518" s="2">
        <v>1</v>
      </c>
      <c r="E4518" s="11" t="s">
        <v>1288</v>
      </c>
      <c r="F4518" t="s">
        <v>28</v>
      </c>
      <c r="G4518" s="2" t="s">
        <v>23</v>
      </c>
      <c r="H4518" s="1">
        <v>89.994000000000014</v>
      </c>
    </row>
    <row r="4519" spans="1:8" x14ac:dyDescent="0.3">
      <c r="A4519" s="2">
        <v>750</v>
      </c>
      <c r="B4519" t="s">
        <v>1371</v>
      </c>
      <c r="C4519" t="s">
        <v>3233</v>
      </c>
      <c r="D4519" s="2">
        <v>1</v>
      </c>
      <c r="E4519" s="11" t="s">
        <v>258</v>
      </c>
      <c r="F4519" t="s">
        <v>28</v>
      </c>
      <c r="G4519" s="2" t="s">
        <v>4</v>
      </c>
      <c r="H4519" s="1">
        <v>79.394000000000005</v>
      </c>
    </row>
    <row r="4520" spans="1:8" x14ac:dyDescent="0.3">
      <c r="A4520" s="2">
        <v>750</v>
      </c>
      <c r="B4520" t="s">
        <v>1370</v>
      </c>
      <c r="C4520" t="s">
        <v>3233</v>
      </c>
      <c r="D4520" s="2">
        <v>1</v>
      </c>
      <c r="E4520" s="11" t="s">
        <v>258</v>
      </c>
      <c r="F4520" t="s">
        <v>28</v>
      </c>
      <c r="G4520" s="2" t="s">
        <v>31</v>
      </c>
      <c r="H4520" s="1">
        <v>79.394000000000005</v>
      </c>
    </row>
    <row r="4521" spans="1:8" x14ac:dyDescent="0.3">
      <c r="A4521" s="2">
        <v>750</v>
      </c>
      <c r="B4521" t="s">
        <v>1369</v>
      </c>
      <c r="C4521" t="s">
        <v>3233</v>
      </c>
      <c r="D4521" s="2">
        <v>1</v>
      </c>
      <c r="E4521" s="11" t="s">
        <v>258</v>
      </c>
      <c r="F4521" t="s">
        <v>28</v>
      </c>
      <c r="G4521" s="2" t="s">
        <v>23</v>
      </c>
      <c r="H4521" s="1">
        <v>79.394000000000005</v>
      </c>
    </row>
    <row r="4522" spans="1:8" x14ac:dyDescent="0.3">
      <c r="A4522" s="2">
        <v>750</v>
      </c>
      <c r="B4522" t="s">
        <v>1368</v>
      </c>
      <c r="C4522" t="s">
        <v>0</v>
      </c>
      <c r="D4522" s="2">
        <v>1</v>
      </c>
      <c r="E4522" s="11" t="s">
        <v>183</v>
      </c>
      <c r="F4522" t="s">
        <v>28</v>
      </c>
      <c r="G4522" s="2" t="s">
        <v>4</v>
      </c>
      <c r="H4522" s="1">
        <v>153.59400000000002</v>
      </c>
    </row>
    <row r="4523" spans="1:8" x14ac:dyDescent="0.3">
      <c r="A4523" s="2">
        <v>750</v>
      </c>
      <c r="B4523" t="s">
        <v>1342</v>
      </c>
      <c r="C4523" t="s">
        <v>0</v>
      </c>
      <c r="D4523" s="2">
        <v>1</v>
      </c>
      <c r="E4523" s="11" t="s">
        <v>183</v>
      </c>
      <c r="F4523" t="s">
        <v>28</v>
      </c>
      <c r="G4523" s="2" t="s">
        <v>31</v>
      </c>
      <c r="H4523" s="1">
        <v>153.59400000000002</v>
      </c>
    </row>
    <row r="4524" spans="1:8" x14ac:dyDescent="0.3">
      <c r="A4524" s="2">
        <v>751</v>
      </c>
      <c r="B4524" t="s">
        <v>1268</v>
      </c>
      <c r="C4524" t="s">
        <v>3238</v>
      </c>
      <c r="D4524" s="2">
        <v>1</v>
      </c>
      <c r="E4524" s="11" t="s">
        <v>871</v>
      </c>
      <c r="F4524" t="s">
        <v>65</v>
      </c>
      <c r="G4524" s="2" t="s">
        <v>31</v>
      </c>
      <c r="H4524" s="1">
        <v>68.794000000000011</v>
      </c>
    </row>
    <row r="4525" spans="1:8" x14ac:dyDescent="0.3">
      <c r="A4525" s="2">
        <v>751</v>
      </c>
      <c r="B4525" t="s">
        <v>1331</v>
      </c>
      <c r="C4525" t="s">
        <v>2</v>
      </c>
      <c r="D4525" s="2">
        <v>1</v>
      </c>
      <c r="E4525" s="11" t="s">
        <v>783</v>
      </c>
      <c r="F4525" t="s">
        <v>114</v>
      </c>
      <c r="G4525" s="2" t="s">
        <v>23</v>
      </c>
      <c r="H4525" s="1">
        <v>169.49400000000003</v>
      </c>
    </row>
    <row r="4526" spans="1:8" x14ac:dyDescent="0.3">
      <c r="A4526" s="2">
        <v>751</v>
      </c>
      <c r="B4526" t="s">
        <v>1417</v>
      </c>
      <c r="C4526" t="s">
        <v>2</v>
      </c>
      <c r="D4526" s="2">
        <v>1</v>
      </c>
      <c r="E4526" s="11" t="s">
        <v>1300</v>
      </c>
      <c r="F4526" t="s">
        <v>81</v>
      </c>
      <c r="G4526" s="2" t="s">
        <v>31</v>
      </c>
      <c r="H4526" s="1">
        <v>89.994000000000014</v>
      </c>
    </row>
    <row r="4527" spans="1:8" x14ac:dyDescent="0.3">
      <c r="A4527" s="2">
        <v>751</v>
      </c>
      <c r="B4527" t="s">
        <v>1070</v>
      </c>
      <c r="C4527" t="s">
        <v>0</v>
      </c>
      <c r="D4527" s="2">
        <v>1</v>
      </c>
      <c r="E4527" s="11" t="s">
        <v>987</v>
      </c>
      <c r="F4527" t="s">
        <v>114</v>
      </c>
      <c r="G4527" s="2" t="s">
        <v>23</v>
      </c>
      <c r="H4527" s="1">
        <v>185.39400000000001</v>
      </c>
    </row>
    <row r="4528" spans="1:8" x14ac:dyDescent="0.3">
      <c r="A4528" s="2">
        <v>751</v>
      </c>
      <c r="B4528" t="s">
        <v>1416</v>
      </c>
      <c r="C4528" t="s">
        <v>3224</v>
      </c>
      <c r="D4528" s="2">
        <v>1</v>
      </c>
      <c r="E4528" s="11" t="s">
        <v>1248</v>
      </c>
      <c r="F4528" t="s">
        <v>114</v>
      </c>
      <c r="G4528" s="2" t="s">
        <v>23</v>
      </c>
      <c r="H4528" s="1">
        <v>95.294000000000011</v>
      </c>
    </row>
    <row r="4529" spans="1:8" x14ac:dyDescent="0.3">
      <c r="A4529" s="2">
        <v>751</v>
      </c>
      <c r="B4529" t="s">
        <v>1415</v>
      </c>
      <c r="C4529" t="s">
        <v>1</v>
      </c>
      <c r="D4529" s="2">
        <v>1</v>
      </c>
      <c r="E4529" s="11" t="s">
        <v>189</v>
      </c>
      <c r="F4529" t="s">
        <v>114</v>
      </c>
      <c r="G4529" s="2" t="s">
        <v>4</v>
      </c>
      <c r="H4529" s="1">
        <v>63.494000000000007</v>
      </c>
    </row>
    <row r="4530" spans="1:8" x14ac:dyDescent="0.3">
      <c r="A4530" s="2">
        <v>751</v>
      </c>
      <c r="B4530" t="s">
        <v>1400</v>
      </c>
      <c r="C4530" t="s">
        <v>3224</v>
      </c>
      <c r="D4530" s="2">
        <v>1</v>
      </c>
      <c r="E4530" s="11" t="s">
        <v>1399</v>
      </c>
      <c r="F4530" t="s">
        <v>114</v>
      </c>
      <c r="G4530" s="2" t="s">
        <v>23</v>
      </c>
      <c r="H4530" s="1">
        <v>63.494000000000007</v>
      </c>
    </row>
    <row r="4531" spans="1:8" x14ac:dyDescent="0.3">
      <c r="A4531" s="2">
        <v>751</v>
      </c>
      <c r="B4531" t="s">
        <v>1414</v>
      </c>
      <c r="C4531" t="s">
        <v>0</v>
      </c>
      <c r="D4531" s="2">
        <v>1</v>
      </c>
      <c r="E4531" s="11" t="s">
        <v>310</v>
      </c>
      <c r="F4531" t="s">
        <v>114</v>
      </c>
      <c r="G4531" s="2" t="s">
        <v>23</v>
      </c>
      <c r="H4531" s="1">
        <v>153.59400000000002</v>
      </c>
    </row>
    <row r="4532" spans="1:8" x14ac:dyDescent="0.3">
      <c r="A4532" s="2">
        <v>751</v>
      </c>
      <c r="B4532" t="s">
        <v>1413</v>
      </c>
      <c r="C4532" t="s">
        <v>0</v>
      </c>
      <c r="D4532" s="2">
        <v>1</v>
      </c>
      <c r="E4532" s="11" t="s">
        <v>267</v>
      </c>
      <c r="F4532" t="s">
        <v>47</v>
      </c>
      <c r="G4532" s="2" t="s">
        <v>31</v>
      </c>
      <c r="H4532" s="1">
        <v>158.89400000000001</v>
      </c>
    </row>
    <row r="4533" spans="1:8" x14ac:dyDescent="0.3">
      <c r="A4533" s="2">
        <v>751</v>
      </c>
      <c r="B4533" t="s">
        <v>1137</v>
      </c>
      <c r="C4533" t="s">
        <v>3217</v>
      </c>
      <c r="D4533" s="2">
        <v>1</v>
      </c>
      <c r="E4533" s="11" t="s">
        <v>425</v>
      </c>
      <c r="F4533" t="s">
        <v>39</v>
      </c>
      <c r="G4533" s="2" t="s">
        <v>31</v>
      </c>
      <c r="H4533" s="1">
        <v>84.694000000000017</v>
      </c>
    </row>
    <row r="4534" spans="1:8" x14ac:dyDescent="0.3">
      <c r="A4534" s="2">
        <v>751</v>
      </c>
      <c r="B4534" t="s">
        <v>1236</v>
      </c>
      <c r="C4534" t="s">
        <v>0</v>
      </c>
      <c r="D4534" s="2">
        <v>1</v>
      </c>
      <c r="E4534" s="11" t="s">
        <v>549</v>
      </c>
      <c r="F4534" t="s">
        <v>39</v>
      </c>
      <c r="G4534" s="2" t="s">
        <v>31</v>
      </c>
      <c r="H4534" s="1">
        <v>164.19400000000002</v>
      </c>
    </row>
    <row r="4535" spans="1:8" x14ac:dyDescent="0.3">
      <c r="A4535" s="2">
        <v>751</v>
      </c>
      <c r="B4535" t="s">
        <v>1412</v>
      </c>
      <c r="C4535" t="s">
        <v>2</v>
      </c>
      <c r="D4535" s="2">
        <v>1</v>
      </c>
      <c r="E4535" s="11" t="s">
        <v>86</v>
      </c>
      <c r="F4535" t="s">
        <v>36</v>
      </c>
      <c r="G4535" s="2" t="s">
        <v>23</v>
      </c>
      <c r="H4535" s="1">
        <v>95.294000000000011</v>
      </c>
    </row>
    <row r="4536" spans="1:8" x14ac:dyDescent="0.3">
      <c r="A4536" s="2">
        <v>751</v>
      </c>
      <c r="B4536" t="s">
        <v>1411</v>
      </c>
      <c r="C4536" t="s">
        <v>3225</v>
      </c>
      <c r="D4536" s="2">
        <v>1</v>
      </c>
      <c r="E4536" s="11" t="s">
        <v>491</v>
      </c>
      <c r="F4536" t="s">
        <v>28</v>
      </c>
      <c r="G4536" s="2" t="s">
        <v>23</v>
      </c>
      <c r="H4536" s="1">
        <v>164.19400000000002</v>
      </c>
    </row>
    <row r="4537" spans="1:8" x14ac:dyDescent="0.3">
      <c r="A4537" s="2">
        <v>751</v>
      </c>
      <c r="B4537" t="s">
        <v>764</v>
      </c>
      <c r="C4537" t="s">
        <v>3233</v>
      </c>
      <c r="D4537" s="2">
        <v>1</v>
      </c>
      <c r="E4537" s="11" t="s">
        <v>763</v>
      </c>
      <c r="F4537" t="s">
        <v>28</v>
      </c>
      <c r="G4537" s="2" t="s">
        <v>23</v>
      </c>
      <c r="H4537" s="1">
        <v>89.994000000000014</v>
      </c>
    </row>
    <row r="4538" spans="1:8" x14ac:dyDescent="0.3">
      <c r="A4538" s="2">
        <v>751</v>
      </c>
      <c r="B4538" t="s">
        <v>1103</v>
      </c>
      <c r="C4538" t="s">
        <v>0</v>
      </c>
      <c r="D4538" s="2">
        <v>1</v>
      </c>
      <c r="E4538" s="11" t="s">
        <v>183</v>
      </c>
      <c r="F4538" t="s">
        <v>28</v>
      </c>
      <c r="G4538" s="2" t="s">
        <v>23</v>
      </c>
      <c r="H4538" s="1">
        <v>153.59400000000002</v>
      </c>
    </row>
    <row r="4539" spans="1:8" x14ac:dyDescent="0.3">
      <c r="A4539" s="2">
        <v>752</v>
      </c>
      <c r="B4539" t="s">
        <v>1410</v>
      </c>
      <c r="C4539" t="s">
        <v>3225</v>
      </c>
      <c r="D4539" s="2">
        <v>2</v>
      </c>
      <c r="E4539" s="11" t="s">
        <v>1409</v>
      </c>
      <c r="F4539" t="s">
        <v>55</v>
      </c>
      <c r="G4539" s="2" t="s">
        <v>23</v>
      </c>
      <c r="H4539" s="1">
        <v>158.89400000000001</v>
      </c>
    </row>
    <row r="4540" spans="1:8" x14ac:dyDescent="0.3">
      <c r="A4540" s="2">
        <v>752</v>
      </c>
      <c r="B4540" t="s">
        <v>1389</v>
      </c>
      <c r="C4540" t="s">
        <v>3225</v>
      </c>
      <c r="D4540" s="2">
        <v>1</v>
      </c>
      <c r="E4540" s="11" t="s">
        <v>1376</v>
      </c>
      <c r="F4540" t="s">
        <v>114</v>
      </c>
      <c r="G4540" s="2" t="s">
        <v>23</v>
      </c>
      <c r="H4540" s="1">
        <v>217.19400000000002</v>
      </c>
    </row>
    <row r="4541" spans="1:8" x14ac:dyDescent="0.3">
      <c r="A4541" s="2">
        <v>752</v>
      </c>
      <c r="B4541" t="s">
        <v>1345</v>
      </c>
      <c r="C4541" t="s">
        <v>3224</v>
      </c>
      <c r="D4541" s="2">
        <v>1</v>
      </c>
      <c r="E4541" s="11" t="s">
        <v>211</v>
      </c>
      <c r="F4541" t="s">
        <v>114</v>
      </c>
      <c r="G4541" s="2" t="s">
        <v>23</v>
      </c>
      <c r="H4541" s="1">
        <v>63.494000000000007</v>
      </c>
    </row>
    <row r="4542" spans="1:8" x14ac:dyDescent="0.3">
      <c r="A4542" s="2">
        <v>752</v>
      </c>
      <c r="B4542" t="s">
        <v>1408</v>
      </c>
      <c r="C4542" t="s">
        <v>3224</v>
      </c>
      <c r="D4542" s="2">
        <v>1</v>
      </c>
      <c r="E4542" s="11" t="s">
        <v>499</v>
      </c>
      <c r="F4542" t="s">
        <v>47</v>
      </c>
      <c r="G4542" s="2" t="s">
        <v>23</v>
      </c>
      <c r="H4542" s="1">
        <v>84.694000000000017</v>
      </c>
    </row>
    <row r="4543" spans="1:8" x14ac:dyDescent="0.3">
      <c r="A4543" s="2">
        <v>752</v>
      </c>
      <c r="B4543" t="s">
        <v>1407</v>
      </c>
      <c r="C4543" t="s">
        <v>0</v>
      </c>
      <c r="D4543" s="2">
        <v>1</v>
      </c>
      <c r="E4543" s="11" t="s">
        <v>1211</v>
      </c>
      <c r="F4543" t="s">
        <v>47</v>
      </c>
      <c r="G4543" s="2" t="s">
        <v>23</v>
      </c>
      <c r="H4543" s="1">
        <v>144.29</v>
      </c>
    </row>
    <row r="4544" spans="1:8" x14ac:dyDescent="0.3">
      <c r="A4544" s="2">
        <v>752</v>
      </c>
      <c r="B4544" t="s">
        <v>1406</v>
      </c>
      <c r="C4544" t="s">
        <v>3225</v>
      </c>
      <c r="D4544" s="2">
        <v>1</v>
      </c>
      <c r="E4544" s="11" t="s">
        <v>1376</v>
      </c>
      <c r="F4544" t="s">
        <v>47</v>
      </c>
      <c r="G4544" s="2" t="s">
        <v>4</v>
      </c>
      <c r="H4544" s="1">
        <v>217.19400000000002</v>
      </c>
    </row>
    <row r="4545" spans="1:8" x14ac:dyDescent="0.3">
      <c r="A4545" s="2">
        <v>752</v>
      </c>
      <c r="B4545" t="s">
        <v>1405</v>
      </c>
      <c r="C4545" t="s">
        <v>3233</v>
      </c>
      <c r="D4545" s="2">
        <v>1</v>
      </c>
      <c r="E4545" s="11" t="s">
        <v>802</v>
      </c>
      <c r="F4545" t="s">
        <v>47</v>
      </c>
      <c r="G4545" s="2" t="s">
        <v>4</v>
      </c>
      <c r="H4545" s="1">
        <v>68.794000000000011</v>
      </c>
    </row>
    <row r="4546" spans="1:8" x14ac:dyDescent="0.3">
      <c r="A4546" s="2">
        <v>752</v>
      </c>
      <c r="B4546" t="s">
        <v>1404</v>
      </c>
      <c r="C4546" t="s">
        <v>3233</v>
      </c>
      <c r="D4546" s="2">
        <v>1</v>
      </c>
      <c r="E4546" s="11" t="s">
        <v>802</v>
      </c>
      <c r="F4546" t="s">
        <v>47</v>
      </c>
      <c r="G4546" s="2" t="s">
        <v>23</v>
      </c>
      <c r="H4546" s="1">
        <v>68.794000000000011</v>
      </c>
    </row>
    <row r="4547" spans="1:8" x14ac:dyDescent="0.3">
      <c r="A4547" s="2">
        <v>752</v>
      </c>
      <c r="B4547" t="s">
        <v>1403</v>
      </c>
      <c r="C4547" t="s">
        <v>0</v>
      </c>
      <c r="D4547" s="2">
        <v>1</v>
      </c>
      <c r="E4547" s="11" t="s">
        <v>1083</v>
      </c>
      <c r="F4547" t="s">
        <v>39</v>
      </c>
      <c r="G4547" s="2" t="s">
        <v>4</v>
      </c>
      <c r="H4547" s="1">
        <v>169.49400000000003</v>
      </c>
    </row>
    <row r="4548" spans="1:8" x14ac:dyDescent="0.3">
      <c r="A4548" s="2">
        <v>752</v>
      </c>
      <c r="B4548" t="s">
        <v>1040</v>
      </c>
      <c r="C4548" t="s">
        <v>3224</v>
      </c>
      <c r="D4548" s="2">
        <v>1</v>
      </c>
      <c r="E4548" s="11" t="s">
        <v>195</v>
      </c>
      <c r="F4548" t="s">
        <v>39</v>
      </c>
      <c r="G4548" s="2" t="s">
        <v>23</v>
      </c>
      <c r="H4548" s="1">
        <v>84.694000000000017</v>
      </c>
    </row>
    <row r="4549" spans="1:8" x14ac:dyDescent="0.3">
      <c r="A4549" s="2">
        <v>752</v>
      </c>
      <c r="B4549" t="s">
        <v>1207</v>
      </c>
      <c r="C4549" t="s">
        <v>3225</v>
      </c>
      <c r="D4549" s="2">
        <v>1</v>
      </c>
      <c r="E4549" s="11" t="s">
        <v>886</v>
      </c>
      <c r="F4549" t="s">
        <v>28</v>
      </c>
      <c r="G4549" s="2" t="s">
        <v>31</v>
      </c>
      <c r="H4549" s="1">
        <v>174.79400000000001</v>
      </c>
    </row>
    <row r="4550" spans="1:8" x14ac:dyDescent="0.3">
      <c r="A4550" s="2">
        <v>753</v>
      </c>
      <c r="B4550" t="s">
        <v>1402</v>
      </c>
      <c r="C4550" t="s">
        <v>3224</v>
      </c>
      <c r="D4550" s="2">
        <v>1</v>
      </c>
      <c r="E4550" s="11" t="s">
        <v>1401</v>
      </c>
      <c r="F4550" t="s">
        <v>65</v>
      </c>
      <c r="G4550" s="2" t="s">
        <v>23</v>
      </c>
      <c r="H4550" s="1">
        <v>68.794000000000011</v>
      </c>
    </row>
    <row r="4551" spans="1:8" x14ac:dyDescent="0.3">
      <c r="A4551" s="2">
        <v>753</v>
      </c>
      <c r="B4551" t="s">
        <v>1400</v>
      </c>
      <c r="C4551" t="s">
        <v>3224</v>
      </c>
      <c r="D4551" s="2">
        <v>1</v>
      </c>
      <c r="E4551" s="11" t="s">
        <v>1399</v>
      </c>
      <c r="F4551" t="s">
        <v>114</v>
      </c>
      <c r="G4551" s="2" t="s">
        <v>23</v>
      </c>
      <c r="H4551" s="1">
        <v>63.494000000000007</v>
      </c>
    </row>
    <row r="4552" spans="1:8" x14ac:dyDescent="0.3">
      <c r="A4552" s="2">
        <v>753</v>
      </c>
      <c r="B4552" t="s">
        <v>1398</v>
      </c>
      <c r="C4552" t="s">
        <v>3225</v>
      </c>
      <c r="D4552" s="2">
        <v>1</v>
      </c>
      <c r="E4552" s="11" t="s">
        <v>1376</v>
      </c>
      <c r="F4552" t="s">
        <v>39</v>
      </c>
      <c r="G4552" s="2" t="s">
        <v>4</v>
      </c>
      <c r="H4552" s="1">
        <v>217.19400000000002</v>
      </c>
    </row>
    <row r="4553" spans="1:8" x14ac:dyDescent="0.3">
      <c r="A4553" s="2">
        <v>753</v>
      </c>
      <c r="B4553" t="s">
        <v>1388</v>
      </c>
      <c r="C4553" t="s">
        <v>3225</v>
      </c>
      <c r="D4553" s="2">
        <v>1</v>
      </c>
      <c r="E4553" s="11" t="s">
        <v>1376</v>
      </c>
      <c r="F4553" t="s">
        <v>39</v>
      </c>
      <c r="G4553" s="2" t="s">
        <v>23</v>
      </c>
      <c r="H4553" s="1">
        <v>217.19400000000002</v>
      </c>
    </row>
    <row r="4554" spans="1:8" x14ac:dyDescent="0.3">
      <c r="A4554" s="2">
        <v>753</v>
      </c>
      <c r="B4554" t="s">
        <v>598</v>
      </c>
      <c r="C4554" t="s">
        <v>3224</v>
      </c>
      <c r="D4554" s="2">
        <v>1</v>
      </c>
      <c r="E4554" s="11" t="s">
        <v>211</v>
      </c>
      <c r="F4554" t="s">
        <v>39</v>
      </c>
      <c r="G4554" s="2" t="s">
        <v>31</v>
      </c>
      <c r="H4554" s="1">
        <v>63.494000000000007</v>
      </c>
    </row>
    <row r="4555" spans="1:8" x14ac:dyDescent="0.3">
      <c r="A4555" s="2">
        <v>753</v>
      </c>
      <c r="B4555" t="s">
        <v>1281</v>
      </c>
      <c r="C4555" t="s">
        <v>3224</v>
      </c>
      <c r="D4555" s="2">
        <v>1</v>
      </c>
      <c r="E4555" s="11" t="s">
        <v>211</v>
      </c>
      <c r="F4555" t="s">
        <v>39</v>
      </c>
      <c r="G4555" s="2" t="s">
        <v>23</v>
      </c>
      <c r="H4555" s="1">
        <v>63.494000000000007</v>
      </c>
    </row>
    <row r="4556" spans="1:8" x14ac:dyDescent="0.3">
      <c r="A4556" s="2">
        <v>753</v>
      </c>
      <c r="B4556" t="s">
        <v>1397</v>
      </c>
      <c r="C4556" t="s">
        <v>3224</v>
      </c>
      <c r="D4556" s="2">
        <v>1</v>
      </c>
      <c r="E4556" s="11" t="s">
        <v>538</v>
      </c>
      <c r="F4556" t="s">
        <v>28</v>
      </c>
      <c r="G4556" s="2" t="s">
        <v>4</v>
      </c>
      <c r="H4556" s="1">
        <v>89.994000000000014</v>
      </c>
    </row>
    <row r="4557" spans="1:8" x14ac:dyDescent="0.3">
      <c r="A4557" s="2">
        <v>753</v>
      </c>
      <c r="B4557" t="s">
        <v>1374</v>
      </c>
      <c r="C4557" t="s">
        <v>3224</v>
      </c>
      <c r="D4557" s="2">
        <v>1</v>
      </c>
      <c r="E4557" s="11" t="s">
        <v>538</v>
      </c>
      <c r="F4557" t="s">
        <v>28</v>
      </c>
      <c r="G4557" s="2" t="s">
        <v>31</v>
      </c>
      <c r="H4557" s="1">
        <v>89.994000000000014</v>
      </c>
    </row>
    <row r="4558" spans="1:8" x14ac:dyDescent="0.3">
      <c r="A4558" s="2">
        <v>753</v>
      </c>
      <c r="B4558" t="s">
        <v>1391</v>
      </c>
      <c r="C4558" t="s">
        <v>3224</v>
      </c>
      <c r="D4558" s="2">
        <v>1</v>
      </c>
      <c r="E4558" s="11" t="s">
        <v>538</v>
      </c>
      <c r="F4558" t="s">
        <v>28</v>
      </c>
      <c r="G4558" s="2" t="s">
        <v>23</v>
      </c>
      <c r="H4558" s="1">
        <v>89.994000000000014</v>
      </c>
    </row>
    <row r="4559" spans="1:8" x14ac:dyDescent="0.3">
      <c r="A4559" s="2">
        <v>753</v>
      </c>
      <c r="B4559" t="s">
        <v>1396</v>
      </c>
      <c r="C4559" t="s">
        <v>3219</v>
      </c>
      <c r="D4559" s="2">
        <v>1</v>
      </c>
      <c r="E4559" s="11" t="s">
        <v>536</v>
      </c>
      <c r="F4559" t="s">
        <v>28</v>
      </c>
      <c r="G4559" s="2" t="s">
        <v>4</v>
      </c>
      <c r="H4559" s="1">
        <v>158.89400000000001</v>
      </c>
    </row>
    <row r="4560" spans="1:8" x14ac:dyDescent="0.3">
      <c r="A4560" s="2">
        <v>753</v>
      </c>
      <c r="B4560" t="s">
        <v>1373</v>
      </c>
      <c r="C4560" t="s">
        <v>3219</v>
      </c>
      <c r="D4560" s="2">
        <v>1</v>
      </c>
      <c r="E4560" s="11" t="s">
        <v>536</v>
      </c>
      <c r="F4560" t="s">
        <v>28</v>
      </c>
      <c r="G4560" s="2" t="s">
        <v>31</v>
      </c>
      <c r="H4560" s="1">
        <v>158.89400000000001</v>
      </c>
    </row>
    <row r="4561" spans="1:8" x14ac:dyDescent="0.3">
      <c r="A4561" s="2">
        <v>753</v>
      </c>
      <c r="B4561" t="s">
        <v>1390</v>
      </c>
      <c r="C4561" t="s">
        <v>3219</v>
      </c>
      <c r="D4561" s="2">
        <v>1</v>
      </c>
      <c r="E4561" s="11" t="s">
        <v>536</v>
      </c>
      <c r="F4561" t="s">
        <v>28</v>
      </c>
      <c r="G4561" s="2" t="s">
        <v>23</v>
      </c>
      <c r="H4561" s="1">
        <v>158.89400000000001</v>
      </c>
    </row>
    <row r="4562" spans="1:8" x14ac:dyDescent="0.3">
      <c r="A4562" s="2">
        <v>753</v>
      </c>
      <c r="B4562" t="s">
        <v>1387</v>
      </c>
      <c r="C4562" t="s">
        <v>3225</v>
      </c>
      <c r="D4562" s="2">
        <v>1</v>
      </c>
      <c r="E4562" s="11" t="s">
        <v>1376</v>
      </c>
      <c r="F4562" t="s">
        <v>28</v>
      </c>
      <c r="G4562" s="2" t="s">
        <v>31</v>
      </c>
      <c r="H4562" s="1">
        <v>217.19400000000002</v>
      </c>
    </row>
    <row r="4563" spans="1:8" x14ac:dyDescent="0.3">
      <c r="A4563" s="2">
        <v>754</v>
      </c>
      <c r="B4563" t="s">
        <v>1395</v>
      </c>
      <c r="C4563" t="s">
        <v>3225</v>
      </c>
      <c r="D4563" s="2">
        <v>1</v>
      </c>
      <c r="E4563" s="11" t="s">
        <v>1394</v>
      </c>
      <c r="F4563" t="s">
        <v>65</v>
      </c>
      <c r="G4563" s="2" t="s">
        <v>23</v>
      </c>
      <c r="H4563" s="1">
        <v>190.69400000000002</v>
      </c>
    </row>
    <row r="4564" spans="1:8" x14ac:dyDescent="0.3">
      <c r="A4564" s="2">
        <v>754</v>
      </c>
      <c r="B4564" t="s">
        <v>1329</v>
      </c>
      <c r="C4564" t="s">
        <v>1</v>
      </c>
      <c r="D4564" s="2">
        <v>1</v>
      </c>
      <c r="E4564" s="11" t="s">
        <v>770</v>
      </c>
      <c r="F4564" t="s">
        <v>81</v>
      </c>
      <c r="G4564" s="2" t="s">
        <v>23</v>
      </c>
      <c r="H4564" s="1">
        <v>89.994000000000014</v>
      </c>
    </row>
    <row r="4565" spans="1:8" x14ac:dyDescent="0.3">
      <c r="A4565" s="2">
        <v>754</v>
      </c>
      <c r="B4565" t="s">
        <v>392</v>
      </c>
      <c r="C4565" t="s">
        <v>3224</v>
      </c>
      <c r="D4565" s="2">
        <v>1</v>
      </c>
      <c r="E4565" s="11" t="s">
        <v>34</v>
      </c>
      <c r="F4565" t="s">
        <v>62</v>
      </c>
      <c r="G4565" s="2" t="s">
        <v>23</v>
      </c>
      <c r="H4565" s="1">
        <v>100.59400000000001</v>
      </c>
    </row>
    <row r="4566" spans="1:8" x14ac:dyDescent="0.3">
      <c r="A4566" s="2">
        <v>754</v>
      </c>
      <c r="B4566" t="s">
        <v>1193</v>
      </c>
      <c r="C4566" t="s">
        <v>3238</v>
      </c>
      <c r="D4566" s="2">
        <v>1</v>
      </c>
      <c r="E4566" s="11" t="s">
        <v>952</v>
      </c>
      <c r="F4566" t="s">
        <v>114</v>
      </c>
      <c r="G4566" s="2" t="s">
        <v>23</v>
      </c>
      <c r="H4566" s="1">
        <v>105.89400000000001</v>
      </c>
    </row>
    <row r="4567" spans="1:8" x14ac:dyDescent="0.3">
      <c r="A4567" s="2">
        <v>754</v>
      </c>
      <c r="B4567" t="s">
        <v>1393</v>
      </c>
      <c r="C4567" t="s">
        <v>3233</v>
      </c>
      <c r="D4567" s="2">
        <v>1</v>
      </c>
      <c r="E4567" s="11" t="s">
        <v>763</v>
      </c>
      <c r="F4567" t="s">
        <v>114</v>
      </c>
      <c r="G4567" s="2" t="s">
        <v>23</v>
      </c>
      <c r="H4567" s="1">
        <v>89.994000000000014</v>
      </c>
    </row>
    <row r="4568" spans="1:8" x14ac:dyDescent="0.3">
      <c r="A4568" s="2">
        <v>754</v>
      </c>
      <c r="B4568" t="s">
        <v>657</v>
      </c>
      <c r="C4568" t="s">
        <v>3224</v>
      </c>
      <c r="D4568" s="2">
        <v>1</v>
      </c>
      <c r="E4568" s="11" t="s">
        <v>656</v>
      </c>
      <c r="F4568" t="s">
        <v>114</v>
      </c>
      <c r="G4568" s="2" t="s">
        <v>23</v>
      </c>
      <c r="H4568" s="1">
        <v>74.094000000000008</v>
      </c>
    </row>
    <row r="4569" spans="1:8" x14ac:dyDescent="0.3">
      <c r="A4569" s="2">
        <v>754</v>
      </c>
      <c r="B4569" t="s">
        <v>944</v>
      </c>
      <c r="C4569" t="s">
        <v>3224</v>
      </c>
      <c r="D4569" s="2">
        <v>1</v>
      </c>
      <c r="E4569" s="11" t="s">
        <v>211</v>
      </c>
      <c r="F4569" t="s">
        <v>47</v>
      </c>
      <c r="G4569" s="2" t="s">
        <v>23</v>
      </c>
      <c r="H4569" s="1">
        <v>63.494000000000007</v>
      </c>
    </row>
    <row r="4570" spans="1:8" x14ac:dyDescent="0.3">
      <c r="A4570" s="2">
        <v>754</v>
      </c>
      <c r="B4570" t="s">
        <v>1392</v>
      </c>
      <c r="C4570" t="s">
        <v>3</v>
      </c>
      <c r="D4570" s="2">
        <v>1</v>
      </c>
      <c r="E4570" s="11" t="s">
        <v>1356</v>
      </c>
      <c r="F4570" t="s">
        <v>39</v>
      </c>
      <c r="G4570" s="2" t="s">
        <v>23</v>
      </c>
      <c r="H4570" s="1">
        <v>111.19400000000002</v>
      </c>
    </row>
    <row r="4571" spans="1:8" x14ac:dyDescent="0.3">
      <c r="A4571" s="2">
        <v>754</v>
      </c>
      <c r="B4571" t="s">
        <v>1388</v>
      </c>
      <c r="C4571" t="s">
        <v>3225</v>
      </c>
      <c r="D4571" s="2">
        <v>1</v>
      </c>
      <c r="E4571" s="11" t="s">
        <v>1376</v>
      </c>
      <c r="F4571" t="s">
        <v>39</v>
      </c>
      <c r="G4571" s="2" t="s">
        <v>23</v>
      </c>
      <c r="H4571" s="1">
        <v>217.19400000000002</v>
      </c>
    </row>
    <row r="4572" spans="1:8" x14ac:dyDescent="0.3">
      <c r="A4572" s="2">
        <v>754</v>
      </c>
      <c r="B4572" t="s">
        <v>1298</v>
      </c>
      <c r="C4572" t="s">
        <v>3233</v>
      </c>
      <c r="D4572" s="2">
        <v>1</v>
      </c>
      <c r="E4572" s="11" t="s">
        <v>763</v>
      </c>
      <c r="F4572" t="s">
        <v>39</v>
      </c>
      <c r="G4572" s="2" t="s">
        <v>23</v>
      </c>
      <c r="H4572" s="1">
        <v>89.994000000000014</v>
      </c>
    </row>
    <row r="4573" spans="1:8" x14ac:dyDescent="0.3">
      <c r="A4573" s="2">
        <v>754</v>
      </c>
      <c r="B4573" t="s">
        <v>1391</v>
      </c>
      <c r="C4573" t="s">
        <v>3224</v>
      </c>
      <c r="D4573" s="2">
        <v>1</v>
      </c>
      <c r="E4573" s="11" t="s">
        <v>538</v>
      </c>
      <c r="F4573" t="s">
        <v>28</v>
      </c>
      <c r="G4573" s="2" t="s">
        <v>23</v>
      </c>
      <c r="H4573" s="1">
        <v>89.994000000000014</v>
      </c>
    </row>
    <row r="4574" spans="1:8" x14ac:dyDescent="0.3">
      <c r="A4574" s="2">
        <v>754</v>
      </c>
      <c r="B4574" t="s">
        <v>1390</v>
      </c>
      <c r="C4574" t="s">
        <v>3219</v>
      </c>
      <c r="D4574" s="2">
        <v>1</v>
      </c>
      <c r="E4574" s="11" t="s">
        <v>536</v>
      </c>
      <c r="F4574" t="s">
        <v>28</v>
      </c>
      <c r="G4574" s="2" t="s">
        <v>23</v>
      </c>
      <c r="H4574" s="1">
        <v>158.89400000000001</v>
      </c>
    </row>
    <row r="4575" spans="1:8" x14ac:dyDescent="0.3">
      <c r="A4575" s="2">
        <v>755</v>
      </c>
      <c r="B4575" t="s">
        <v>1348</v>
      </c>
      <c r="C4575" t="s">
        <v>2</v>
      </c>
      <c r="D4575" s="2">
        <v>1</v>
      </c>
      <c r="E4575" s="11" t="s">
        <v>1300</v>
      </c>
      <c r="F4575" t="s">
        <v>65</v>
      </c>
      <c r="G4575" s="2" t="s">
        <v>31</v>
      </c>
      <c r="H4575" s="1">
        <v>89.994000000000014</v>
      </c>
    </row>
    <row r="4576" spans="1:8" x14ac:dyDescent="0.3">
      <c r="A4576" s="2">
        <v>755</v>
      </c>
      <c r="B4576" t="s">
        <v>1306</v>
      </c>
      <c r="C4576" t="s">
        <v>2</v>
      </c>
      <c r="D4576" s="2">
        <v>1</v>
      </c>
      <c r="E4576" s="11" t="s">
        <v>1300</v>
      </c>
      <c r="F4576" t="s">
        <v>65</v>
      </c>
      <c r="G4576" s="2" t="s">
        <v>23</v>
      </c>
      <c r="H4576" s="1">
        <v>89.994000000000014</v>
      </c>
    </row>
    <row r="4577" spans="1:8" x14ac:dyDescent="0.3">
      <c r="A4577" s="2">
        <v>755</v>
      </c>
      <c r="B4577" t="s">
        <v>1380</v>
      </c>
      <c r="C4577" t="s">
        <v>3225</v>
      </c>
      <c r="D4577" s="2">
        <v>1</v>
      </c>
      <c r="E4577" s="11" t="s">
        <v>1376</v>
      </c>
      <c r="F4577" t="s">
        <v>114</v>
      </c>
      <c r="G4577" s="2" t="s">
        <v>31</v>
      </c>
      <c r="H4577" s="1">
        <v>217.19400000000002</v>
      </c>
    </row>
    <row r="4578" spans="1:8" x14ac:dyDescent="0.3">
      <c r="A4578" s="2">
        <v>755</v>
      </c>
      <c r="B4578" t="s">
        <v>1389</v>
      </c>
      <c r="C4578" t="s">
        <v>3225</v>
      </c>
      <c r="D4578" s="2">
        <v>2</v>
      </c>
      <c r="E4578" s="11" t="s">
        <v>1376</v>
      </c>
      <c r="F4578" t="s">
        <v>114</v>
      </c>
      <c r="G4578" s="2" t="s">
        <v>23</v>
      </c>
      <c r="H4578" s="1">
        <v>217.19400000000002</v>
      </c>
    </row>
    <row r="4579" spans="1:8" x14ac:dyDescent="0.3">
      <c r="A4579" s="2">
        <v>755</v>
      </c>
      <c r="B4579" t="s">
        <v>1379</v>
      </c>
      <c r="C4579" t="s">
        <v>3225</v>
      </c>
      <c r="D4579" s="2">
        <v>1</v>
      </c>
      <c r="E4579" s="11" t="s">
        <v>1376</v>
      </c>
      <c r="F4579" t="s">
        <v>47</v>
      </c>
      <c r="G4579" s="2" t="s">
        <v>23</v>
      </c>
      <c r="H4579" s="1">
        <v>217.19400000000002</v>
      </c>
    </row>
    <row r="4580" spans="1:8" x14ac:dyDescent="0.3">
      <c r="A4580" s="2">
        <v>755</v>
      </c>
      <c r="B4580" t="s">
        <v>1377</v>
      </c>
      <c r="C4580" t="s">
        <v>3225</v>
      </c>
      <c r="D4580" s="2">
        <v>1</v>
      </c>
      <c r="E4580" s="11" t="s">
        <v>1376</v>
      </c>
      <c r="F4580" t="s">
        <v>39</v>
      </c>
      <c r="G4580" s="2" t="s">
        <v>31</v>
      </c>
      <c r="H4580" s="1">
        <v>217.19400000000002</v>
      </c>
    </row>
    <row r="4581" spans="1:8" x14ac:dyDescent="0.3">
      <c r="A4581" s="2">
        <v>755</v>
      </c>
      <c r="B4581" t="s">
        <v>1388</v>
      </c>
      <c r="C4581" t="s">
        <v>3225</v>
      </c>
      <c r="D4581" s="2">
        <v>1</v>
      </c>
      <c r="E4581" s="11" t="s">
        <v>1376</v>
      </c>
      <c r="F4581" t="s">
        <v>39</v>
      </c>
      <c r="G4581" s="2" t="s">
        <v>23</v>
      </c>
      <c r="H4581" s="1">
        <v>217.19400000000002</v>
      </c>
    </row>
    <row r="4582" spans="1:8" x14ac:dyDescent="0.3">
      <c r="A4582" s="2">
        <v>755</v>
      </c>
      <c r="B4582" t="s">
        <v>1281</v>
      </c>
      <c r="C4582" t="s">
        <v>3224</v>
      </c>
      <c r="D4582" s="2">
        <v>1</v>
      </c>
      <c r="E4582" s="11" t="s">
        <v>211</v>
      </c>
      <c r="F4582" t="s">
        <v>39</v>
      </c>
      <c r="G4582" s="2" t="s">
        <v>23</v>
      </c>
      <c r="H4582" s="1">
        <v>63.494000000000007</v>
      </c>
    </row>
    <row r="4583" spans="1:8" x14ac:dyDescent="0.3">
      <c r="A4583" s="2">
        <v>755</v>
      </c>
      <c r="B4583" t="s">
        <v>1387</v>
      </c>
      <c r="C4583" t="s">
        <v>3225</v>
      </c>
      <c r="D4583" s="2">
        <v>1</v>
      </c>
      <c r="E4583" s="11" t="s">
        <v>1376</v>
      </c>
      <c r="F4583" t="s">
        <v>28</v>
      </c>
      <c r="G4583" s="2" t="s">
        <v>31</v>
      </c>
      <c r="H4583" s="1">
        <v>217.19400000000002</v>
      </c>
    </row>
    <row r="4584" spans="1:8" x14ac:dyDescent="0.3">
      <c r="A4584" s="2">
        <v>755</v>
      </c>
      <c r="B4584" t="s">
        <v>1386</v>
      </c>
      <c r="C4584" t="s">
        <v>3225</v>
      </c>
      <c r="D4584" s="2">
        <v>1</v>
      </c>
      <c r="E4584" s="11" t="s">
        <v>1376</v>
      </c>
      <c r="F4584" t="s">
        <v>28</v>
      </c>
      <c r="G4584" s="2" t="s">
        <v>23</v>
      </c>
      <c r="H4584" s="1">
        <v>217.19400000000002</v>
      </c>
    </row>
    <row r="4585" spans="1:8" x14ac:dyDescent="0.3">
      <c r="A4585" s="2">
        <v>755</v>
      </c>
      <c r="B4585" t="s">
        <v>1103</v>
      </c>
      <c r="C4585" t="s">
        <v>0</v>
      </c>
      <c r="D4585" s="2">
        <v>1</v>
      </c>
      <c r="E4585" s="11" t="s">
        <v>183</v>
      </c>
      <c r="F4585" t="s">
        <v>28</v>
      </c>
      <c r="G4585" s="2" t="s">
        <v>23</v>
      </c>
      <c r="H4585" s="1">
        <v>153.59400000000002</v>
      </c>
    </row>
    <row r="4586" spans="1:8" x14ac:dyDescent="0.3">
      <c r="A4586" s="2">
        <v>756</v>
      </c>
      <c r="B4586" t="s">
        <v>131</v>
      </c>
      <c r="C4586" t="s">
        <v>3219</v>
      </c>
      <c r="D4586" s="2">
        <v>1</v>
      </c>
      <c r="E4586" s="11" t="s">
        <v>102</v>
      </c>
      <c r="F4586" t="s">
        <v>65</v>
      </c>
      <c r="G4586" s="2" t="s">
        <v>4</v>
      </c>
      <c r="H4586" s="1">
        <v>121.79400000000001</v>
      </c>
    </row>
    <row r="4587" spans="1:8" x14ac:dyDescent="0.3">
      <c r="A4587" s="2">
        <v>756</v>
      </c>
      <c r="B4587" t="s">
        <v>369</v>
      </c>
      <c r="C4587" t="s">
        <v>3219</v>
      </c>
      <c r="D4587" s="2">
        <v>1</v>
      </c>
      <c r="E4587" s="11" t="s">
        <v>102</v>
      </c>
      <c r="F4587" t="s">
        <v>65</v>
      </c>
      <c r="G4587" s="2" t="s">
        <v>31</v>
      </c>
      <c r="H4587" s="1">
        <v>121.79400000000001</v>
      </c>
    </row>
    <row r="4588" spans="1:8" x14ac:dyDescent="0.3">
      <c r="A4588" s="2">
        <v>756</v>
      </c>
      <c r="B4588" t="s">
        <v>1385</v>
      </c>
      <c r="C4588" t="s">
        <v>3219</v>
      </c>
      <c r="D4588" s="2">
        <v>1</v>
      </c>
      <c r="E4588" s="11" t="s">
        <v>102</v>
      </c>
      <c r="F4588" t="s">
        <v>65</v>
      </c>
      <c r="G4588" s="2" t="s">
        <v>23</v>
      </c>
      <c r="H4588" s="1">
        <v>121.79400000000001</v>
      </c>
    </row>
    <row r="4589" spans="1:8" x14ac:dyDescent="0.3">
      <c r="A4589" s="2">
        <v>756</v>
      </c>
      <c r="B4589" t="s">
        <v>1384</v>
      </c>
      <c r="C4589" t="s">
        <v>0</v>
      </c>
      <c r="D4589" s="2">
        <v>1</v>
      </c>
      <c r="E4589" s="11" t="s">
        <v>1109</v>
      </c>
      <c r="F4589" t="s">
        <v>65</v>
      </c>
      <c r="G4589" s="2" t="s">
        <v>4</v>
      </c>
      <c r="H4589" s="1">
        <v>137.69400000000002</v>
      </c>
    </row>
    <row r="4590" spans="1:8" x14ac:dyDescent="0.3">
      <c r="A4590" s="2">
        <v>756</v>
      </c>
      <c r="B4590" t="s">
        <v>1111</v>
      </c>
      <c r="C4590" t="s">
        <v>0</v>
      </c>
      <c r="D4590" s="2">
        <v>1</v>
      </c>
      <c r="E4590" s="11" t="s">
        <v>1109</v>
      </c>
      <c r="F4590" t="s">
        <v>65</v>
      </c>
      <c r="G4590" s="2" t="s">
        <v>31</v>
      </c>
      <c r="H4590" s="1">
        <v>137.69400000000002</v>
      </c>
    </row>
    <row r="4591" spans="1:8" x14ac:dyDescent="0.3">
      <c r="A4591" s="2">
        <v>756</v>
      </c>
      <c r="B4591" t="s">
        <v>1110</v>
      </c>
      <c r="C4591" t="s">
        <v>0</v>
      </c>
      <c r="D4591" s="2">
        <v>1</v>
      </c>
      <c r="E4591" s="11" t="s">
        <v>1109</v>
      </c>
      <c r="F4591" t="s">
        <v>65</v>
      </c>
      <c r="G4591" s="2" t="s">
        <v>23</v>
      </c>
      <c r="H4591" s="1">
        <v>137.69400000000002</v>
      </c>
    </row>
    <row r="4592" spans="1:8" x14ac:dyDescent="0.3">
      <c r="A4592" s="2">
        <v>756</v>
      </c>
      <c r="B4592" t="s">
        <v>1182</v>
      </c>
      <c r="C4592" t="s">
        <v>3220</v>
      </c>
      <c r="D4592" s="2">
        <v>1</v>
      </c>
      <c r="E4592" s="11" t="s">
        <v>293</v>
      </c>
      <c r="F4592" t="s">
        <v>65</v>
      </c>
      <c r="G4592" s="2" t="s">
        <v>4</v>
      </c>
      <c r="H4592" s="1">
        <v>21.094000000000001</v>
      </c>
    </row>
    <row r="4593" spans="1:8" x14ac:dyDescent="0.3">
      <c r="A4593" s="2">
        <v>756</v>
      </c>
      <c r="B4593" t="s">
        <v>588</v>
      </c>
      <c r="C4593" t="s">
        <v>3220</v>
      </c>
      <c r="D4593" s="2">
        <v>1</v>
      </c>
      <c r="E4593" s="11" t="s">
        <v>293</v>
      </c>
      <c r="F4593" t="s">
        <v>65</v>
      </c>
      <c r="G4593" s="2" t="s">
        <v>31</v>
      </c>
      <c r="H4593" s="1">
        <v>21.094000000000001</v>
      </c>
    </row>
    <row r="4594" spans="1:8" x14ac:dyDescent="0.3">
      <c r="A4594" s="2">
        <v>756</v>
      </c>
      <c r="B4594" t="s">
        <v>902</v>
      </c>
      <c r="C4594" t="s">
        <v>3220</v>
      </c>
      <c r="D4594" s="2">
        <v>1</v>
      </c>
      <c r="E4594" s="11" t="s">
        <v>293</v>
      </c>
      <c r="F4594" t="s">
        <v>65</v>
      </c>
      <c r="G4594" s="2" t="s">
        <v>23</v>
      </c>
      <c r="H4594" s="1">
        <v>21.094000000000001</v>
      </c>
    </row>
    <row r="4595" spans="1:8" x14ac:dyDescent="0.3">
      <c r="A4595" s="2">
        <v>756</v>
      </c>
      <c r="B4595" t="s">
        <v>1383</v>
      </c>
      <c r="C4595" t="s">
        <v>3220</v>
      </c>
      <c r="D4595" s="2">
        <v>1</v>
      </c>
      <c r="E4595" s="11" t="s">
        <v>204</v>
      </c>
      <c r="F4595" t="s">
        <v>65</v>
      </c>
      <c r="G4595" s="2" t="s">
        <v>4</v>
      </c>
      <c r="H4595" s="1">
        <v>42.294000000000004</v>
      </c>
    </row>
    <row r="4596" spans="1:8" x14ac:dyDescent="0.3">
      <c r="A4596" s="2">
        <v>756</v>
      </c>
      <c r="B4596" t="s">
        <v>728</v>
      </c>
      <c r="C4596" t="s">
        <v>3220</v>
      </c>
      <c r="D4596" s="2">
        <v>1</v>
      </c>
      <c r="E4596" s="11" t="s">
        <v>204</v>
      </c>
      <c r="F4596" t="s">
        <v>65</v>
      </c>
      <c r="G4596" s="2" t="s">
        <v>31</v>
      </c>
      <c r="H4596" s="1">
        <v>42.294000000000004</v>
      </c>
    </row>
    <row r="4597" spans="1:8" x14ac:dyDescent="0.3">
      <c r="A4597" s="2">
        <v>756</v>
      </c>
      <c r="B4597" t="s">
        <v>727</v>
      </c>
      <c r="C4597" t="s">
        <v>3220</v>
      </c>
      <c r="D4597" s="2">
        <v>1</v>
      </c>
      <c r="E4597" s="11" t="s">
        <v>204</v>
      </c>
      <c r="F4597" t="s">
        <v>65</v>
      </c>
      <c r="G4597" s="2" t="s">
        <v>23</v>
      </c>
      <c r="H4597" s="1">
        <v>42.294000000000004</v>
      </c>
    </row>
    <row r="4598" spans="1:8" x14ac:dyDescent="0.3">
      <c r="A4598" s="2">
        <v>756</v>
      </c>
      <c r="B4598" t="s">
        <v>1265</v>
      </c>
      <c r="C4598" t="s">
        <v>3219</v>
      </c>
      <c r="D4598" s="2">
        <v>1</v>
      </c>
      <c r="E4598" s="11" t="s">
        <v>534</v>
      </c>
      <c r="F4598" t="s">
        <v>47</v>
      </c>
      <c r="G4598" s="2" t="s">
        <v>31</v>
      </c>
      <c r="H4598" s="1">
        <v>89.994000000000014</v>
      </c>
    </row>
    <row r="4599" spans="1:8" x14ac:dyDescent="0.3">
      <c r="A4599" s="2">
        <v>756</v>
      </c>
      <c r="B4599" t="s">
        <v>925</v>
      </c>
      <c r="C4599" t="s">
        <v>3219</v>
      </c>
      <c r="D4599" s="2">
        <v>1</v>
      </c>
      <c r="E4599" s="11" t="s">
        <v>534</v>
      </c>
      <c r="F4599" t="s">
        <v>47</v>
      </c>
      <c r="G4599" s="2" t="s">
        <v>23</v>
      </c>
      <c r="H4599" s="1">
        <v>89.994000000000014</v>
      </c>
    </row>
    <row r="4600" spans="1:8" x14ac:dyDescent="0.3">
      <c r="A4600" s="2">
        <v>756</v>
      </c>
      <c r="B4600" t="s">
        <v>1382</v>
      </c>
      <c r="C4600" t="s">
        <v>3219</v>
      </c>
      <c r="D4600" s="2">
        <v>1</v>
      </c>
      <c r="E4600" s="11" t="s">
        <v>673</v>
      </c>
      <c r="F4600" t="s">
        <v>47</v>
      </c>
      <c r="G4600" s="2" t="s">
        <v>4</v>
      </c>
      <c r="H4600" s="1">
        <v>89.994000000000014</v>
      </c>
    </row>
    <row r="4601" spans="1:8" x14ac:dyDescent="0.3">
      <c r="A4601" s="2">
        <v>756</v>
      </c>
      <c r="B4601" t="s">
        <v>1126</v>
      </c>
      <c r="C4601" t="s">
        <v>3219</v>
      </c>
      <c r="D4601" s="2">
        <v>1</v>
      </c>
      <c r="E4601" s="11" t="s">
        <v>673</v>
      </c>
      <c r="F4601" t="s">
        <v>47</v>
      </c>
      <c r="G4601" s="2" t="s">
        <v>203</v>
      </c>
      <c r="H4601" s="1">
        <v>89.994000000000014</v>
      </c>
    </row>
    <row r="4602" spans="1:8" x14ac:dyDescent="0.3">
      <c r="A4602" s="2">
        <v>756</v>
      </c>
      <c r="B4602" t="s">
        <v>1012</v>
      </c>
      <c r="C4602" t="s">
        <v>3220</v>
      </c>
      <c r="D4602" s="2">
        <v>1</v>
      </c>
      <c r="E4602" s="11" t="s">
        <v>204</v>
      </c>
      <c r="F4602" t="s">
        <v>39</v>
      </c>
      <c r="G4602" s="2" t="s">
        <v>203</v>
      </c>
      <c r="H4602" s="1">
        <v>42.294000000000004</v>
      </c>
    </row>
    <row r="4603" spans="1:8" x14ac:dyDescent="0.3">
      <c r="A4603" s="2">
        <v>756</v>
      </c>
      <c r="B4603" t="s">
        <v>1121</v>
      </c>
      <c r="C4603" t="s">
        <v>3220</v>
      </c>
      <c r="D4603" s="2">
        <v>1</v>
      </c>
      <c r="E4603" s="11" t="s">
        <v>204</v>
      </c>
      <c r="F4603" t="s">
        <v>39</v>
      </c>
      <c r="G4603" s="2" t="s">
        <v>31</v>
      </c>
      <c r="H4603" s="1">
        <v>42.294000000000004</v>
      </c>
    </row>
    <row r="4604" spans="1:8" x14ac:dyDescent="0.3">
      <c r="A4604" s="2">
        <v>756</v>
      </c>
      <c r="B4604" t="s">
        <v>708</v>
      </c>
      <c r="C4604" t="s">
        <v>3220</v>
      </c>
      <c r="D4604" s="2">
        <v>1</v>
      </c>
      <c r="E4604" s="11" t="s">
        <v>204</v>
      </c>
      <c r="F4604" t="s">
        <v>39</v>
      </c>
      <c r="G4604" s="2" t="s">
        <v>23</v>
      </c>
      <c r="H4604" s="1">
        <v>42.294000000000004</v>
      </c>
    </row>
    <row r="4605" spans="1:8" x14ac:dyDescent="0.3">
      <c r="A4605" s="2">
        <v>756</v>
      </c>
      <c r="B4605" t="s">
        <v>1368</v>
      </c>
      <c r="C4605" t="s">
        <v>0</v>
      </c>
      <c r="D4605" s="2">
        <v>1</v>
      </c>
      <c r="E4605" s="11" t="s">
        <v>183</v>
      </c>
      <c r="F4605" t="s">
        <v>28</v>
      </c>
      <c r="G4605" s="2" t="s">
        <v>4</v>
      </c>
      <c r="H4605" s="1">
        <v>153.59400000000002</v>
      </c>
    </row>
    <row r="4606" spans="1:8" x14ac:dyDescent="0.3">
      <c r="A4606" s="2">
        <v>756</v>
      </c>
      <c r="B4606" t="s">
        <v>1342</v>
      </c>
      <c r="C4606" t="s">
        <v>0</v>
      </c>
      <c r="D4606" s="2">
        <v>1</v>
      </c>
      <c r="E4606" s="11" t="s">
        <v>183</v>
      </c>
      <c r="F4606" t="s">
        <v>28</v>
      </c>
      <c r="G4606" s="2" t="s">
        <v>31</v>
      </c>
      <c r="H4606" s="1">
        <v>153.59400000000002</v>
      </c>
    </row>
    <row r="4607" spans="1:8" x14ac:dyDescent="0.3">
      <c r="A4607" s="2">
        <v>756</v>
      </c>
      <c r="B4607" t="s">
        <v>1103</v>
      </c>
      <c r="C4607" t="s">
        <v>0</v>
      </c>
      <c r="D4607" s="2">
        <v>1</v>
      </c>
      <c r="E4607" s="11" t="s">
        <v>183</v>
      </c>
      <c r="F4607" t="s">
        <v>28</v>
      </c>
      <c r="G4607" s="2" t="s">
        <v>23</v>
      </c>
      <c r="H4607" s="1">
        <v>153.59400000000002</v>
      </c>
    </row>
    <row r="4608" spans="1:8" x14ac:dyDescent="0.3">
      <c r="A4608" s="2">
        <v>756</v>
      </c>
      <c r="B4608" t="s">
        <v>903</v>
      </c>
      <c r="C4608" t="s">
        <v>3220</v>
      </c>
      <c r="D4608" s="2">
        <v>1</v>
      </c>
      <c r="E4608" s="11" t="s">
        <v>637</v>
      </c>
      <c r="F4608" t="s">
        <v>24</v>
      </c>
      <c r="G4608" s="2" t="s">
        <v>4</v>
      </c>
      <c r="H4608" s="1">
        <v>15.793999999999999</v>
      </c>
    </row>
    <row r="4609" spans="1:8" x14ac:dyDescent="0.3">
      <c r="A4609" s="2">
        <v>756</v>
      </c>
      <c r="B4609" t="s">
        <v>639</v>
      </c>
      <c r="C4609" t="s">
        <v>3220</v>
      </c>
      <c r="D4609" s="2">
        <v>1</v>
      </c>
      <c r="E4609" s="11" t="s">
        <v>637</v>
      </c>
      <c r="F4609" t="s">
        <v>24</v>
      </c>
      <c r="G4609" s="2" t="s">
        <v>31</v>
      </c>
      <c r="H4609" s="1">
        <v>15.793999999999999</v>
      </c>
    </row>
    <row r="4610" spans="1:8" x14ac:dyDescent="0.3">
      <c r="A4610" s="2">
        <v>756</v>
      </c>
      <c r="B4610" t="s">
        <v>638</v>
      </c>
      <c r="C4610" t="s">
        <v>3220</v>
      </c>
      <c r="D4610" s="2">
        <v>1</v>
      </c>
      <c r="E4610" s="11" t="s">
        <v>637</v>
      </c>
      <c r="F4610" t="s">
        <v>24</v>
      </c>
      <c r="G4610" s="2" t="s">
        <v>23</v>
      </c>
      <c r="H4610" s="1">
        <v>15.793999999999999</v>
      </c>
    </row>
    <row r="4611" spans="1:8" x14ac:dyDescent="0.3">
      <c r="A4611" s="2">
        <v>757</v>
      </c>
      <c r="B4611" t="s">
        <v>539</v>
      </c>
      <c r="C4611" t="s">
        <v>3224</v>
      </c>
      <c r="D4611" s="2">
        <v>1</v>
      </c>
      <c r="E4611" s="11" t="s">
        <v>538</v>
      </c>
      <c r="F4611" t="s">
        <v>62</v>
      </c>
      <c r="G4611" s="2" t="s">
        <v>23</v>
      </c>
      <c r="H4611" s="1">
        <v>89.994000000000014</v>
      </c>
    </row>
    <row r="4612" spans="1:8" x14ac:dyDescent="0.3">
      <c r="A4612" s="2">
        <v>757</v>
      </c>
      <c r="B4612" t="s">
        <v>1381</v>
      </c>
      <c r="C4612" t="s">
        <v>3219</v>
      </c>
      <c r="D4612" s="2">
        <v>1</v>
      </c>
      <c r="E4612" s="11" t="s">
        <v>536</v>
      </c>
      <c r="F4612" t="s">
        <v>62</v>
      </c>
      <c r="G4612" s="2" t="s">
        <v>31</v>
      </c>
      <c r="H4612" s="1">
        <v>158.89400000000001</v>
      </c>
    </row>
    <row r="4613" spans="1:8" x14ac:dyDescent="0.3">
      <c r="A4613" s="2">
        <v>757</v>
      </c>
      <c r="B4613" t="s">
        <v>667</v>
      </c>
      <c r="C4613" t="s">
        <v>3219</v>
      </c>
      <c r="D4613" s="2">
        <v>1</v>
      </c>
      <c r="E4613" s="11" t="s">
        <v>536</v>
      </c>
      <c r="F4613" t="s">
        <v>55</v>
      </c>
      <c r="G4613" s="2" t="s">
        <v>23</v>
      </c>
      <c r="H4613" s="1">
        <v>158.89400000000001</v>
      </c>
    </row>
    <row r="4614" spans="1:8" x14ac:dyDescent="0.3">
      <c r="A4614" s="2">
        <v>757</v>
      </c>
      <c r="B4614" t="s">
        <v>1380</v>
      </c>
      <c r="C4614" t="s">
        <v>3225</v>
      </c>
      <c r="D4614" s="2">
        <v>1</v>
      </c>
      <c r="E4614" s="11" t="s">
        <v>1376</v>
      </c>
      <c r="F4614" t="s">
        <v>114</v>
      </c>
      <c r="G4614" s="2" t="s">
        <v>31</v>
      </c>
      <c r="H4614" s="1">
        <v>217.19400000000002</v>
      </c>
    </row>
    <row r="4615" spans="1:8" x14ac:dyDescent="0.3">
      <c r="A4615" s="2">
        <v>757</v>
      </c>
      <c r="B4615" t="s">
        <v>1379</v>
      </c>
      <c r="C4615" t="s">
        <v>3225</v>
      </c>
      <c r="D4615" s="2">
        <v>1</v>
      </c>
      <c r="E4615" s="11" t="s">
        <v>1376</v>
      </c>
      <c r="F4615" t="s">
        <v>47</v>
      </c>
      <c r="G4615" s="2" t="s">
        <v>23</v>
      </c>
      <c r="H4615" s="1">
        <v>217.19400000000002</v>
      </c>
    </row>
    <row r="4616" spans="1:8" x14ac:dyDescent="0.3">
      <c r="A4616" s="2">
        <v>757</v>
      </c>
      <c r="B4616" t="s">
        <v>1378</v>
      </c>
      <c r="C4616" t="s">
        <v>3221</v>
      </c>
      <c r="D4616" s="2">
        <v>1</v>
      </c>
      <c r="E4616" s="11" t="s">
        <v>1180</v>
      </c>
      <c r="F4616" t="s">
        <v>39</v>
      </c>
      <c r="G4616" s="2" t="s">
        <v>4</v>
      </c>
      <c r="H4616" s="1">
        <v>169.49400000000003</v>
      </c>
    </row>
    <row r="4617" spans="1:8" x14ac:dyDescent="0.3">
      <c r="A4617" s="2">
        <v>757</v>
      </c>
      <c r="B4617" t="s">
        <v>1377</v>
      </c>
      <c r="C4617" t="s">
        <v>3225</v>
      </c>
      <c r="D4617" s="2">
        <v>1</v>
      </c>
      <c r="E4617" s="11" t="s">
        <v>1376</v>
      </c>
      <c r="F4617" t="s">
        <v>39</v>
      </c>
      <c r="G4617" s="2" t="s">
        <v>31</v>
      </c>
      <c r="H4617" s="1">
        <v>217.19400000000002</v>
      </c>
    </row>
    <row r="4618" spans="1:8" x14ac:dyDescent="0.3">
      <c r="A4618" s="2">
        <v>757</v>
      </c>
      <c r="B4618" t="s">
        <v>1375</v>
      </c>
      <c r="C4618" t="s">
        <v>3233</v>
      </c>
      <c r="D4618" s="2">
        <v>1</v>
      </c>
      <c r="E4618" s="11" t="s">
        <v>763</v>
      </c>
      <c r="F4618" t="s">
        <v>39</v>
      </c>
      <c r="G4618" s="2" t="s">
        <v>31</v>
      </c>
      <c r="H4618" s="1">
        <v>89.994000000000014</v>
      </c>
    </row>
    <row r="4619" spans="1:8" x14ac:dyDescent="0.3">
      <c r="A4619" s="2">
        <v>757</v>
      </c>
      <c r="B4619" t="s">
        <v>1298</v>
      </c>
      <c r="C4619" t="s">
        <v>3233</v>
      </c>
      <c r="D4619" s="2">
        <v>1</v>
      </c>
      <c r="E4619" s="11" t="s">
        <v>763</v>
      </c>
      <c r="F4619" t="s">
        <v>39</v>
      </c>
      <c r="G4619" s="2" t="s">
        <v>23</v>
      </c>
      <c r="H4619" s="1">
        <v>89.994000000000014</v>
      </c>
    </row>
    <row r="4620" spans="1:8" x14ac:dyDescent="0.3">
      <c r="A4620" s="2">
        <v>757</v>
      </c>
      <c r="B4620" t="s">
        <v>1374</v>
      </c>
      <c r="C4620" t="s">
        <v>3224</v>
      </c>
      <c r="D4620" s="2">
        <v>1</v>
      </c>
      <c r="E4620" s="11" t="s">
        <v>538</v>
      </c>
      <c r="F4620" t="s">
        <v>28</v>
      </c>
      <c r="G4620" s="2" t="s">
        <v>31</v>
      </c>
      <c r="H4620" s="1">
        <v>89.994000000000014</v>
      </c>
    </row>
    <row r="4621" spans="1:8" x14ac:dyDescent="0.3">
      <c r="A4621" s="2">
        <v>757</v>
      </c>
      <c r="B4621" t="s">
        <v>1373</v>
      </c>
      <c r="C4621" t="s">
        <v>3219</v>
      </c>
      <c r="D4621" s="2">
        <v>1</v>
      </c>
      <c r="E4621" s="11" t="s">
        <v>536</v>
      </c>
      <c r="F4621" t="s">
        <v>28</v>
      </c>
      <c r="G4621" s="2" t="s">
        <v>31</v>
      </c>
      <c r="H4621" s="1">
        <v>158.89400000000001</v>
      </c>
    </row>
    <row r="4622" spans="1:8" x14ac:dyDescent="0.3">
      <c r="A4622" s="2">
        <v>757</v>
      </c>
      <c r="B4622" t="s">
        <v>764</v>
      </c>
      <c r="C4622" t="s">
        <v>3233</v>
      </c>
      <c r="D4622" s="2">
        <v>1</v>
      </c>
      <c r="E4622" s="11" t="s">
        <v>763</v>
      </c>
      <c r="F4622" t="s">
        <v>28</v>
      </c>
      <c r="G4622" s="2" t="s">
        <v>23</v>
      </c>
      <c r="H4622" s="1">
        <v>89.994000000000014</v>
      </c>
    </row>
    <row r="4623" spans="1:8" x14ac:dyDescent="0.3">
      <c r="A4623" s="2">
        <v>758</v>
      </c>
      <c r="B4623" t="s">
        <v>1355</v>
      </c>
      <c r="C4623" t="s">
        <v>1</v>
      </c>
      <c r="D4623" s="2">
        <v>1</v>
      </c>
      <c r="E4623" s="11" t="s">
        <v>770</v>
      </c>
      <c r="F4623" t="s">
        <v>65</v>
      </c>
      <c r="G4623" s="2" t="s">
        <v>4</v>
      </c>
      <c r="H4623" s="1">
        <v>89.994000000000014</v>
      </c>
    </row>
    <row r="4624" spans="1:8" x14ac:dyDescent="0.3">
      <c r="A4624" s="2">
        <v>758</v>
      </c>
      <c r="B4624" t="s">
        <v>1144</v>
      </c>
      <c r="C4624" t="s">
        <v>1</v>
      </c>
      <c r="D4624" s="2">
        <v>1</v>
      </c>
      <c r="E4624" s="11" t="s">
        <v>770</v>
      </c>
      <c r="F4624" t="s">
        <v>65</v>
      </c>
      <c r="G4624" s="2" t="s">
        <v>31</v>
      </c>
      <c r="H4624" s="1">
        <v>89.994000000000014</v>
      </c>
    </row>
    <row r="4625" spans="1:8" x14ac:dyDescent="0.3">
      <c r="A4625" s="2">
        <v>758</v>
      </c>
      <c r="B4625" t="s">
        <v>1307</v>
      </c>
      <c r="C4625" t="s">
        <v>1</v>
      </c>
      <c r="D4625" s="2">
        <v>1</v>
      </c>
      <c r="E4625" s="11" t="s">
        <v>770</v>
      </c>
      <c r="F4625" t="s">
        <v>65</v>
      </c>
      <c r="G4625" s="2" t="s">
        <v>23</v>
      </c>
      <c r="H4625" s="1">
        <v>89.994000000000014</v>
      </c>
    </row>
    <row r="4626" spans="1:8" x14ac:dyDescent="0.3">
      <c r="A4626" s="2">
        <v>758</v>
      </c>
      <c r="B4626" t="s">
        <v>1354</v>
      </c>
      <c r="C4626" t="s">
        <v>2</v>
      </c>
      <c r="D4626" s="2">
        <v>1</v>
      </c>
      <c r="E4626" s="11" t="s">
        <v>1300</v>
      </c>
      <c r="F4626" t="s">
        <v>65</v>
      </c>
      <c r="G4626" s="2" t="s">
        <v>4</v>
      </c>
      <c r="H4626" s="1">
        <v>89.994000000000014</v>
      </c>
    </row>
    <row r="4627" spans="1:8" x14ac:dyDescent="0.3">
      <c r="A4627" s="2">
        <v>758</v>
      </c>
      <c r="B4627" t="s">
        <v>1348</v>
      </c>
      <c r="C4627" t="s">
        <v>2</v>
      </c>
      <c r="D4627" s="2">
        <v>1</v>
      </c>
      <c r="E4627" s="11" t="s">
        <v>1300</v>
      </c>
      <c r="F4627" t="s">
        <v>65</v>
      </c>
      <c r="G4627" s="2" t="s">
        <v>31</v>
      </c>
      <c r="H4627" s="1">
        <v>89.994000000000014</v>
      </c>
    </row>
    <row r="4628" spans="1:8" x14ac:dyDescent="0.3">
      <c r="A4628" s="2">
        <v>758</v>
      </c>
      <c r="B4628" t="s">
        <v>1306</v>
      </c>
      <c r="C4628" t="s">
        <v>2</v>
      </c>
      <c r="D4628" s="2">
        <v>1</v>
      </c>
      <c r="E4628" s="11" t="s">
        <v>1300</v>
      </c>
      <c r="F4628" t="s">
        <v>65</v>
      </c>
      <c r="G4628" s="2" t="s">
        <v>23</v>
      </c>
      <c r="H4628" s="1">
        <v>89.994000000000014</v>
      </c>
    </row>
    <row r="4629" spans="1:8" x14ac:dyDescent="0.3">
      <c r="A4629" s="2">
        <v>758</v>
      </c>
      <c r="B4629" t="s">
        <v>1365</v>
      </c>
      <c r="C4629" t="s">
        <v>3</v>
      </c>
      <c r="D4629" s="2">
        <v>1</v>
      </c>
      <c r="E4629" s="11" t="s">
        <v>197</v>
      </c>
      <c r="F4629" t="s">
        <v>55</v>
      </c>
      <c r="G4629" s="2" t="s">
        <v>4</v>
      </c>
      <c r="H4629" s="1">
        <v>68.794000000000011</v>
      </c>
    </row>
    <row r="4630" spans="1:8" x14ac:dyDescent="0.3">
      <c r="A4630" s="2">
        <v>758</v>
      </c>
      <c r="B4630" t="s">
        <v>249</v>
      </c>
      <c r="C4630" t="s">
        <v>3</v>
      </c>
      <c r="D4630" s="2">
        <v>1</v>
      </c>
      <c r="E4630" s="11" t="s">
        <v>197</v>
      </c>
      <c r="F4630" t="s">
        <v>55</v>
      </c>
      <c r="G4630" s="2" t="s">
        <v>31</v>
      </c>
      <c r="H4630" s="1">
        <v>68.794000000000011</v>
      </c>
    </row>
    <row r="4631" spans="1:8" x14ac:dyDescent="0.3">
      <c r="A4631" s="2">
        <v>758</v>
      </c>
      <c r="B4631" t="s">
        <v>391</v>
      </c>
      <c r="C4631" t="s">
        <v>3</v>
      </c>
      <c r="D4631" s="2">
        <v>1</v>
      </c>
      <c r="E4631" s="11" t="s">
        <v>197</v>
      </c>
      <c r="F4631" t="s">
        <v>55</v>
      </c>
      <c r="G4631" s="2" t="s">
        <v>23</v>
      </c>
      <c r="H4631" s="1">
        <v>68.794000000000011</v>
      </c>
    </row>
    <row r="4632" spans="1:8" x14ac:dyDescent="0.3">
      <c r="A4632" s="2">
        <v>758</v>
      </c>
      <c r="B4632" t="s">
        <v>1364</v>
      </c>
      <c r="C4632" t="s">
        <v>3224</v>
      </c>
      <c r="D4632" s="2">
        <v>1</v>
      </c>
      <c r="E4632" s="11" t="s">
        <v>195</v>
      </c>
      <c r="F4632" t="s">
        <v>55</v>
      </c>
      <c r="G4632" s="2" t="s">
        <v>4</v>
      </c>
      <c r="H4632" s="1">
        <v>84.694000000000017</v>
      </c>
    </row>
    <row r="4633" spans="1:8" x14ac:dyDescent="0.3">
      <c r="A4633" s="2">
        <v>758</v>
      </c>
      <c r="B4633" t="s">
        <v>248</v>
      </c>
      <c r="C4633" t="s">
        <v>3224</v>
      </c>
      <c r="D4633" s="2">
        <v>1</v>
      </c>
      <c r="E4633" s="11" t="s">
        <v>195</v>
      </c>
      <c r="F4633" t="s">
        <v>55</v>
      </c>
      <c r="G4633" s="2" t="s">
        <v>31</v>
      </c>
      <c r="H4633" s="1">
        <v>84.694000000000017</v>
      </c>
    </row>
    <row r="4634" spans="1:8" x14ac:dyDescent="0.3">
      <c r="A4634" s="2">
        <v>758</v>
      </c>
      <c r="B4634" t="s">
        <v>390</v>
      </c>
      <c r="C4634" t="s">
        <v>3224</v>
      </c>
      <c r="D4634" s="2">
        <v>1</v>
      </c>
      <c r="E4634" s="11" t="s">
        <v>195</v>
      </c>
      <c r="F4634" t="s">
        <v>55</v>
      </c>
      <c r="G4634" s="2" t="s">
        <v>23</v>
      </c>
      <c r="H4634" s="1">
        <v>84.694000000000017</v>
      </c>
    </row>
    <row r="4635" spans="1:8" x14ac:dyDescent="0.3">
      <c r="A4635" s="2">
        <v>758</v>
      </c>
      <c r="B4635" t="s">
        <v>771</v>
      </c>
      <c r="C4635" t="s">
        <v>1</v>
      </c>
      <c r="D4635" s="2">
        <v>1</v>
      </c>
      <c r="E4635" s="11" t="s">
        <v>770</v>
      </c>
      <c r="F4635" t="s">
        <v>114</v>
      </c>
      <c r="G4635" s="2" t="s">
        <v>4</v>
      </c>
      <c r="H4635" s="1">
        <v>89.994000000000014</v>
      </c>
    </row>
    <row r="4636" spans="1:8" x14ac:dyDescent="0.3">
      <c r="A4636" s="2">
        <v>758</v>
      </c>
      <c r="B4636" t="s">
        <v>1319</v>
      </c>
      <c r="C4636" t="s">
        <v>1</v>
      </c>
      <c r="D4636" s="2">
        <v>1</v>
      </c>
      <c r="E4636" s="11" t="s">
        <v>770</v>
      </c>
      <c r="F4636" t="s">
        <v>114</v>
      </c>
      <c r="G4636" s="2" t="s">
        <v>31</v>
      </c>
      <c r="H4636" s="1">
        <v>89.994000000000014</v>
      </c>
    </row>
    <row r="4637" spans="1:8" x14ac:dyDescent="0.3">
      <c r="A4637" s="2">
        <v>758</v>
      </c>
      <c r="B4637" t="s">
        <v>1318</v>
      </c>
      <c r="C4637" t="s">
        <v>1</v>
      </c>
      <c r="D4637" s="2">
        <v>1</v>
      </c>
      <c r="E4637" s="11" t="s">
        <v>770</v>
      </c>
      <c r="F4637" t="s">
        <v>114</v>
      </c>
      <c r="G4637" s="2" t="s">
        <v>23</v>
      </c>
      <c r="H4637" s="1">
        <v>89.994000000000014</v>
      </c>
    </row>
    <row r="4638" spans="1:8" x14ac:dyDescent="0.3">
      <c r="A4638" s="2">
        <v>758</v>
      </c>
      <c r="B4638" t="s">
        <v>1104</v>
      </c>
      <c r="C4638" t="s">
        <v>0</v>
      </c>
      <c r="D4638" s="2">
        <v>1</v>
      </c>
      <c r="E4638" s="11" t="s">
        <v>183</v>
      </c>
      <c r="F4638" t="s">
        <v>36</v>
      </c>
      <c r="G4638" s="2" t="s">
        <v>4</v>
      </c>
      <c r="H4638" s="1">
        <v>153.59400000000002</v>
      </c>
    </row>
    <row r="4639" spans="1:8" x14ac:dyDescent="0.3">
      <c r="A4639" s="2">
        <v>758</v>
      </c>
      <c r="B4639" t="s">
        <v>887</v>
      </c>
      <c r="C4639" t="s">
        <v>3225</v>
      </c>
      <c r="D4639" s="2">
        <v>1</v>
      </c>
      <c r="E4639" s="11" t="s">
        <v>886</v>
      </c>
      <c r="F4639" t="s">
        <v>28</v>
      </c>
      <c r="G4639" s="2" t="s">
        <v>4</v>
      </c>
      <c r="H4639" s="1">
        <v>174.79400000000001</v>
      </c>
    </row>
    <row r="4640" spans="1:8" x14ac:dyDescent="0.3">
      <c r="A4640" s="2">
        <v>758</v>
      </c>
      <c r="B4640" t="s">
        <v>1290</v>
      </c>
      <c r="C4640" t="s">
        <v>2</v>
      </c>
      <c r="D4640" s="2">
        <v>1</v>
      </c>
      <c r="E4640" s="11" t="s">
        <v>1288</v>
      </c>
      <c r="F4640" t="s">
        <v>28</v>
      </c>
      <c r="G4640" s="2" t="s">
        <v>4</v>
      </c>
      <c r="H4640" s="1">
        <v>89.994000000000014</v>
      </c>
    </row>
    <row r="4641" spans="1:8" x14ac:dyDescent="0.3">
      <c r="A4641" s="2">
        <v>758</v>
      </c>
      <c r="B4641" t="s">
        <v>1289</v>
      </c>
      <c r="C4641" t="s">
        <v>2</v>
      </c>
      <c r="D4641" s="2">
        <v>1</v>
      </c>
      <c r="E4641" s="11" t="s">
        <v>1288</v>
      </c>
      <c r="F4641" t="s">
        <v>28</v>
      </c>
      <c r="G4641" s="2" t="s">
        <v>31</v>
      </c>
      <c r="H4641" s="1">
        <v>89.994000000000014</v>
      </c>
    </row>
    <row r="4642" spans="1:8" x14ac:dyDescent="0.3">
      <c r="A4642" s="2">
        <v>758</v>
      </c>
      <c r="B4642" t="s">
        <v>1372</v>
      </c>
      <c r="C4642" t="s">
        <v>2</v>
      </c>
      <c r="D4642" s="2">
        <v>1</v>
      </c>
      <c r="E4642" s="11" t="s">
        <v>1288</v>
      </c>
      <c r="F4642" t="s">
        <v>28</v>
      </c>
      <c r="G4642" s="2" t="s">
        <v>23</v>
      </c>
      <c r="H4642" s="1">
        <v>89.994000000000014</v>
      </c>
    </row>
    <row r="4643" spans="1:8" x14ac:dyDescent="0.3">
      <c r="A4643" s="2">
        <v>758</v>
      </c>
      <c r="B4643" t="s">
        <v>1371</v>
      </c>
      <c r="C4643" t="s">
        <v>3233</v>
      </c>
      <c r="D4643" s="2">
        <v>1</v>
      </c>
      <c r="E4643" s="11" t="s">
        <v>258</v>
      </c>
      <c r="F4643" t="s">
        <v>28</v>
      </c>
      <c r="G4643" s="2" t="s">
        <v>4</v>
      </c>
      <c r="H4643" s="1">
        <v>79.394000000000005</v>
      </c>
    </row>
    <row r="4644" spans="1:8" x14ac:dyDescent="0.3">
      <c r="A4644" s="2">
        <v>758</v>
      </c>
      <c r="B4644" t="s">
        <v>1370</v>
      </c>
      <c r="C4644" t="s">
        <v>3233</v>
      </c>
      <c r="D4644" s="2">
        <v>1</v>
      </c>
      <c r="E4644" s="11" t="s">
        <v>258</v>
      </c>
      <c r="F4644" t="s">
        <v>28</v>
      </c>
      <c r="G4644" s="2" t="s">
        <v>31</v>
      </c>
      <c r="H4644" s="1">
        <v>79.394000000000005</v>
      </c>
    </row>
    <row r="4645" spans="1:8" x14ac:dyDescent="0.3">
      <c r="A4645" s="2">
        <v>758</v>
      </c>
      <c r="B4645" t="s">
        <v>1369</v>
      </c>
      <c r="C4645" t="s">
        <v>3233</v>
      </c>
      <c r="D4645" s="2">
        <v>1</v>
      </c>
      <c r="E4645" s="11" t="s">
        <v>258</v>
      </c>
      <c r="F4645" t="s">
        <v>28</v>
      </c>
      <c r="G4645" s="2" t="s">
        <v>23</v>
      </c>
      <c r="H4645" s="1">
        <v>79.394000000000005</v>
      </c>
    </row>
    <row r="4646" spans="1:8" x14ac:dyDescent="0.3">
      <c r="A4646" s="2">
        <v>758</v>
      </c>
      <c r="B4646" t="s">
        <v>1368</v>
      </c>
      <c r="C4646" t="s">
        <v>0</v>
      </c>
      <c r="D4646" s="2">
        <v>1</v>
      </c>
      <c r="E4646" s="11" t="s">
        <v>183</v>
      </c>
      <c r="F4646" t="s">
        <v>28</v>
      </c>
      <c r="G4646" s="2" t="s">
        <v>4</v>
      </c>
      <c r="H4646" s="1">
        <v>153.59400000000002</v>
      </c>
    </row>
    <row r="4647" spans="1:8" x14ac:dyDescent="0.3">
      <c r="A4647" s="2">
        <v>758</v>
      </c>
      <c r="B4647" t="s">
        <v>1342</v>
      </c>
      <c r="C4647" t="s">
        <v>0</v>
      </c>
      <c r="D4647" s="2">
        <v>1</v>
      </c>
      <c r="E4647" s="11" t="s">
        <v>183</v>
      </c>
      <c r="F4647" t="s">
        <v>28</v>
      </c>
      <c r="G4647" s="2" t="s">
        <v>31</v>
      </c>
      <c r="H4647" s="1">
        <v>153.59400000000002</v>
      </c>
    </row>
    <row r="4648" spans="1:8" x14ac:dyDescent="0.3">
      <c r="A4648" s="2">
        <v>759</v>
      </c>
      <c r="B4648" t="s">
        <v>1367</v>
      </c>
      <c r="C4648" t="s">
        <v>0</v>
      </c>
      <c r="D4648" s="2">
        <v>1</v>
      </c>
      <c r="E4648" s="11" t="s">
        <v>1083</v>
      </c>
      <c r="F4648" t="s">
        <v>55</v>
      </c>
      <c r="G4648" s="2" t="s">
        <v>4</v>
      </c>
      <c r="H4648" s="1">
        <v>169.49400000000003</v>
      </c>
    </row>
    <row r="4649" spans="1:8" x14ac:dyDescent="0.3">
      <c r="A4649" s="2">
        <v>759</v>
      </c>
      <c r="B4649" t="s">
        <v>1366</v>
      </c>
      <c r="C4649" t="s">
        <v>0</v>
      </c>
      <c r="D4649" s="2">
        <v>1</v>
      </c>
      <c r="E4649" s="11" t="s">
        <v>1109</v>
      </c>
      <c r="F4649" t="s">
        <v>55</v>
      </c>
      <c r="G4649" s="2" t="s">
        <v>4</v>
      </c>
      <c r="H4649" s="1">
        <v>137.69400000000002</v>
      </c>
    </row>
    <row r="4650" spans="1:8" x14ac:dyDescent="0.3">
      <c r="A4650" s="2">
        <v>759</v>
      </c>
      <c r="B4650" t="s">
        <v>1253</v>
      </c>
      <c r="C4650" t="s">
        <v>3224</v>
      </c>
      <c r="D4650" s="2">
        <v>1</v>
      </c>
      <c r="E4650" s="11" t="s">
        <v>538</v>
      </c>
      <c r="F4650" t="s">
        <v>62</v>
      </c>
      <c r="G4650" s="2" t="s">
        <v>4</v>
      </c>
      <c r="H4650" s="1">
        <v>89.994000000000014</v>
      </c>
    </row>
    <row r="4651" spans="1:8" x14ac:dyDescent="0.3">
      <c r="A4651" s="2">
        <v>759</v>
      </c>
      <c r="B4651" t="s">
        <v>1252</v>
      </c>
      <c r="C4651" t="s">
        <v>3219</v>
      </c>
      <c r="D4651" s="2">
        <v>1</v>
      </c>
      <c r="E4651" s="11" t="s">
        <v>536</v>
      </c>
      <c r="F4651" t="s">
        <v>62</v>
      </c>
      <c r="G4651" s="2" t="s">
        <v>4</v>
      </c>
      <c r="H4651" s="1">
        <v>158.89400000000001</v>
      </c>
    </row>
    <row r="4652" spans="1:8" x14ac:dyDescent="0.3">
      <c r="A4652" s="2">
        <v>759</v>
      </c>
      <c r="B4652" t="s">
        <v>1365</v>
      </c>
      <c r="C4652" t="s">
        <v>3</v>
      </c>
      <c r="D4652" s="2">
        <v>1</v>
      </c>
      <c r="E4652" s="11" t="s">
        <v>197</v>
      </c>
      <c r="F4652" t="s">
        <v>55</v>
      </c>
      <c r="G4652" s="2" t="s">
        <v>4</v>
      </c>
      <c r="H4652" s="1">
        <v>68.794000000000011</v>
      </c>
    </row>
    <row r="4653" spans="1:8" x14ac:dyDescent="0.3">
      <c r="A4653" s="2">
        <v>759</v>
      </c>
      <c r="B4653" t="s">
        <v>1364</v>
      </c>
      <c r="C4653" t="s">
        <v>3224</v>
      </c>
      <c r="D4653" s="2">
        <v>1</v>
      </c>
      <c r="E4653" s="11" t="s">
        <v>195</v>
      </c>
      <c r="F4653" t="s">
        <v>55</v>
      </c>
      <c r="G4653" s="2" t="s">
        <v>4</v>
      </c>
      <c r="H4653" s="1">
        <v>84.694000000000017</v>
      </c>
    </row>
    <row r="4654" spans="1:8" x14ac:dyDescent="0.3">
      <c r="A4654" s="2">
        <v>759</v>
      </c>
      <c r="B4654" t="s">
        <v>1363</v>
      </c>
      <c r="C4654" t="s">
        <v>0</v>
      </c>
      <c r="D4654" s="2">
        <v>1</v>
      </c>
      <c r="E4654" s="11" t="s">
        <v>1109</v>
      </c>
      <c r="F4654" t="s">
        <v>114</v>
      </c>
      <c r="G4654" s="2" t="s">
        <v>31</v>
      </c>
      <c r="H4654" s="1">
        <v>137.69400000000002</v>
      </c>
    </row>
    <row r="4655" spans="1:8" x14ac:dyDescent="0.3">
      <c r="A4655" s="2">
        <v>759</v>
      </c>
      <c r="B4655" t="s">
        <v>1362</v>
      </c>
      <c r="C4655" t="s">
        <v>0</v>
      </c>
      <c r="D4655" s="2">
        <v>1</v>
      </c>
      <c r="E4655" s="11" t="s">
        <v>1077</v>
      </c>
      <c r="F4655" t="s">
        <v>114</v>
      </c>
      <c r="G4655" s="2" t="s">
        <v>4</v>
      </c>
      <c r="H4655" s="1">
        <v>180.09400000000002</v>
      </c>
    </row>
    <row r="4656" spans="1:8" x14ac:dyDescent="0.3">
      <c r="A4656" s="2">
        <v>759</v>
      </c>
      <c r="B4656" t="s">
        <v>1361</v>
      </c>
      <c r="C4656" t="s">
        <v>3365</v>
      </c>
      <c r="D4656" s="2">
        <v>1</v>
      </c>
      <c r="E4656" s="11" t="s">
        <v>373</v>
      </c>
      <c r="F4656" t="s">
        <v>36</v>
      </c>
      <c r="G4656" s="2" t="s">
        <v>31</v>
      </c>
      <c r="H4656" s="1">
        <v>164.19400000000002</v>
      </c>
    </row>
    <row r="4657" spans="1:8" x14ac:dyDescent="0.3">
      <c r="A4657" s="2">
        <v>759</v>
      </c>
      <c r="B4657" t="s">
        <v>1360</v>
      </c>
      <c r="C4657" t="s">
        <v>3</v>
      </c>
      <c r="D4657" s="2">
        <v>1</v>
      </c>
      <c r="E4657" s="11" t="s">
        <v>180</v>
      </c>
      <c r="F4657" t="s">
        <v>47</v>
      </c>
      <c r="G4657" s="2" t="s">
        <v>4</v>
      </c>
      <c r="H4657" s="1">
        <v>105.89400000000001</v>
      </c>
    </row>
    <row r="4658" spans="1:8" x14ac:dyDescent="0.3">
      <c r="A4658" s="2">
        <v>759</v>
      </c>
      <c r="B4658" t="s">
        <v>1359</v>
      </c>
      <c r="C4658" t="s">
        <v>0</v>
      </c>
      <c r="D4658" s="2">
        <v>1</v>
      </c>
      <c r="E4658" s="11" t="s">
        <v>1083</v>
      </c>
      <c r="F4658" t="s">
        <v>39</v>
      </c>
      <c r="G4658" s="2" t="s">
        <v>23</v>
      </c>
      <c r="H4658" s="1">
        <v>169.49400000000003</v>
      </c>
    </row>
    <row r="4659" spans="1:8" x14ac:dyDescent="0.3">
      <c r="A4659" s="2">
        <v>759</v>
      </c>
      <c r="B4659" t="s">
        <v>198</v>
      </c>
      <c r="C4659" t="s">
        <v>3</v>
      </c>
      <c r="D4659" s="2">
        <v>1</v>
      </c>
      <c r="E4659" s="11" t="s">
        <v>197</v>
      </c>
      <c r="F4659" t="s">
        <v>39</v>
      </c>
      <c r="G4659" s="2" t="s">
        <v>4</v>
      </c>
      <c r="H4659" s="1">
        <v>68.794000000000011</v>
      </c>
    </row>
    <row r="4660" spans="1:8" x14ac:dyDescent="0.3">
      <c r="A4660" s="2">
        <v>759</v>
      </c>
      <c r="B4660" t="s">
        <v>196</v>
      </c>
      <c r="C4660" t="s">
        <v>3224</v>
      </c>
      <c r="D4660" s="2">
        <v>1</v>
      </c>
      <c r="E4660" s="11" t="s">
        <v>195</v>
      </c>
      <c r="F4660" t="s">
        <v>39</v>
      </c>
      <c r="G4660" s="2" t="s">
        <v>4</v>
      </c>
      <c r="H4660" s="1">
        <v>84.694000000000017</v>
      </c>
    </row>
    <row r="4661" spans="1:8" x14ac:dyDescent="0.3">
      <c r="A4661" s="2">
        <v>759</v>
      </c>
      <c r="B4661" t="s">
        <v>1358</v>
      </c>
      <c r="C4661" t="s">
        <v>0</v>
      </c>
      <c r="D4661" s="2">
        <v>1</v>
      </c>
      <c r="E4661" s="11" t="s">
        <v>1106</v>
      </c>
      <c r="F4661" t="s">
        <v>39</v>
      </c>
      <c r="G4661" s="2" t="s">
        <v>4</v>
      </c>
      <c r="H4661" s="1">
        <v>185.39400000000001</v>
      </c>
    </row>
    <row r="4662" spans="1:8" x14ac:dyDescent="0.3">
      <c r="A4662" s="2">
        <v>759</v>
      </c>
      <c r="B4662" t="s">
        <v>1291</v>
      </c>
      <c r="C4662" t="s">
        <v>3220</v>
      </c>
      <c r="D4662" s="2">
        <v>1</v>
      </c>
      <c r="E4662" s="11" t="s">
        <v>174</v>
      </c>
      <c r="F4662" t="s">
        <v>36</v>
      </c>
      <c r="G4662" s="2" t="s">
        <v>31</v>
      </c>
      <c r="H4662" s="1">
        <v>74.094000000000008</v>
      </c>
    </row>
    <row r="4663" spans="1:8" x14ac:dyDescent="0.3">
      <c r="A4663" s="2">
        <v>759</v>
      </c>
      <c r="B4663" t="s">
        <v>175</v>
      </c>
      <c r="C4663" t="s">
        <v>3220</v>
      </c>
      <c r="D4663" s="2">
        <v>1</v>
      </c>
      <c r="E4663" s="11" t="s">
        <v>174</v>
      </c>
      <c r="F4663" t="s">
        <v>28</v>
      </c>
      <c r="G4663" s="2" t="s">
        <v>4</v>
      </c>
      <c r="H4663" s="1">
        <v>74.094000000000008</v>
      </c>
    </row>
    <row r="4664" spans="1:8" x14ac:dyDescent="0.3">
      <c r="A4664" s="2">
        <v>759</v>
      </c>
      <c r="B4664" t="s">
        <v>1357</v>
      </c>
      <c r="C4664" t="s">
        <v>3</v>
      </c>
      <c r="D4664" s="2">
        <v>1</v>
      </c>
      <c r="E4664" s="11" t="s">
        <v>1356</v>
      </c>
      <c r="F4664" t="s">
        <v>28</v>
      </c>
      <c r="G4664" s="2" t="s">
        <v>4</v>
      </c>
      <c r="H4664" s="1">
        <v>111.19400000000002</v>
      </c>
    </row>
    <row r="4665" spans="1:8" x14ac:dyDescent="0.3">
      <c r="A4665" s="2">
        <v>759</v>
      </c>
      <c r="B4665" t="s">
        <v>947</v>
      </c>
      <c r="C4665" t="s">
        <v>3220</v>
      </c>
      <c r="D4665" s="2">
        <v>1</v>
      </c>
      <c r="E4665" s="11" t="s">
        <v>700</v>
      </c>
      <c r="F4665" t="s">
        <v>24</v>
      </c>
      <c r="G4665" s="2" t="s">
        <v>4</v>
      </c>
      <c r="H4665" s="1">
        <v>15.793999999999999</v>
      </c>
    </row>
    <row r="4666" spans="1:8" x14ac:dyDescent="0.3">
      <c r="A4666" s="2">
        <v>759</v>
      </c>
      <c r="B4666" t="s">
        <v>786</v>
      </c>
      <c r="C4666" t="s">
        <v>3</v>
      </c>
      <c r="D4666" s="2">
        <v>1</v>
      </c>
      <c r="E4666" s="11" t="s">
        <v>450</v>
      </c>
      <c r="F4666" t="s">
        <v>24</v>
      </c>
      <c r="G4666" s="2" t="s">
        <v>4</v>
      </c>
      <c r="H4666" s="1">
        <v>68.794000000000011</v>
      </c>
    </row>
    <row r="4667" spans="1:8" x14ac:dyDescent="0.3">
      <c r="A4667" s="2">
        <v>760</v>
      </c>
      <c r="B4667" t="s">
        <v>1355</v>
      </c>
      <c r="C4667" t="s">
        <v>1</v>
      </c>
      <c r="D4667" s="2">
        <v>1</v>
      </c>
      <c r="E4667" s="11" t="s">
        <v>770</v>
      </c>
      <c r="F4667" t="s">
        <v>65</v>
      </c>
      <c r="G4667" s="2" t="s">
        <v>4</v>
      </c>
      <c r="H4667" s="1">
        <v>89.994000000000014</v>
      </c>
    </row>
    <row r="4668" spans="1:8" x14ac:dyDescent="0.3">
      <c r="A4668" s="2">
        <v>760</v>
      </c>
      <c r="B4668" t="s">
        <v>1144</v>
      </c>
      <c r="C4668" t="s">
        <v>1</v>
      </c>
      <c r="D4668" s="2">
        <v>1</v>
      </c>
      <c r="E4668" s="11" t="s">
        <v>770</v>
      </c>
      <c r="F4668" t="s">
        <v>65</v>
      </c>
      <c r="G4668" s="2" t="s">
        <v>31</v>
      </c>
      <c r="H4668" s="1">
        <v>89.994000000000014</v>
      </c>
    </row>
    <row r="4669" spans="1:8" x14ac:dyDescent="0.3">
      <c r="A4669" s="2">
        <v>760</v>
      </c>
      <c r="B4669" t="s">
        <v>1307</v>
      </c>
      <c r="C4669" t="s">
        <v>1</v>
      </c>
      <c r="D4669" s="2">
        <v>1</v>
      </c>
      <c r="E4669" s="11" t="s">
        <v>770</v>
      </c>
      <c r="F4669" t="s">
        <v>65</v>
      </c>
      <c r="G4669" s="2" t="s">
        <v>23</v>
      </c>
      <c r="H4669" s="1">
        <v>89.994000000000014</v>
      </c>
    </row>
    <row r="4670" spans="1:8" x14ac:dyDescent="0.3">
      <c r="A4670" s="2">
        <v>760</v>
      </c>
      <c r="B4670" t="s">
        <v>1354</v>
      </c>
      <c r="C4670" t="s">
        <v>2</v>
      </c>
      <c r="D4670" s="2">
        <v>1</v>
      </c>
      <c r="E4670" s="11" t="s">
        <v>1300</v>
      </c>
      <c r="F4670" t="s">
        <v>65</v>
      </c>
      <c r="G4670" s="2" t="s">
        <v>4</v>
      </c>
      <c r="H4670" s="1">
        <v>89.994000000000014</v>
      </c>
    </row>
    <row r="4671" spans="1:8" x14ac:dyDescent="0.3">
      <c r="A4671" s="2">
        <v>760</v>
      </c>
      <c r="B4671" t="s">
        <v>1348</v>
      </c>
      <c r="C4671" t="s">
        <v>2</v>
      </c>
      <c r="D4671" s="2">
        <v>1</v>
      </c>
      <c r="E4671" s="11" t="s">
        <v>1300</v>
      </c>
      <c r="F4671" t="s">
        <v>65</v>
      </c>
      <c r="G4671" s="2" t="s">
        <v>31</v>
      </c>
      <c r="H4671" s="1">
        <v>89.994000000000014</v>
      </c>
    </row>
    <row r="4672" spans="1:8" x14ac:dyDescent="0.3">
      <c r="A4672" s="2">
        <v>760</v>
      </c>
      <c r="B4672" t="s">
        <v>1306</v>
      </c>
      <c r="C4672" t="s">
        <v>2</v>
      </c>
      <c r="D4672" s="2">
        <v>1</v>
      </c>
      <c r="E4672" s="11" t="s">
        <v>1300</v>
      </c>
      <c r="F4672" t="s">
        <v>65</v>
      </c>
      <c r="G4672" s="2" t="s">
        <v>23</v>
      </c>
      <c r="H4672" s="1">
        <v>89.994000000000014</v>
      </c>
    </row>
    <row r="4673" spans="1:8" x14ac:dyDescent="0.3">
      <c r="A4673" s="2">
        <v>760</v>
      </c>
      <c r="B4673" t="s">
        <v>1303</v>
      </c>
      <c r="C4673" t="s">
        <v>1</v>
      </c>
      <c r="D4673" s="2">
        <v>1</v>
      </c>
      <c r="E4673" s="11" t="s">
        <v>770</v>
      </c>
      <c r="F4673" t="s">
        <v>55</v>
      </c>
      <c r="G4673" s="2" t="s">
        <v>4</v>
      </c>
      <c r="H4673" s="1">
        <v>89.994000000000014</v>
      </c>
    </row>
    <row r="4674" spans="1:8" x14ac:dyDescent="0.3">
      <c r="A4674" s="2">
        <v>760</v>
      </c>
      <c r="B4674" t="s">
        <v>963</v>
      </c>
      <c r="C4674" t="s">
        <v>1</v>
      </c>
      <c r="D4674" s="2">
        <v>1</v>
      </c>
      <c r="E4674" s="11" t="s">
        <v>770</v>
      </c>
      <c r="F4674" t="s">
        <v>55</v>
      </c>
      <c r="G4674" s="2" t="s">
        <v>31</v>
      </c>
      <c r="H4674" s="1">
        <v>89.994000000000014</v>
      </c>
    </row>
    <row r="4675" spans="1:8" x14ac:dyDescent="0.3">
      <c r="A4675" s="2">
        <v>760</v>
      </c>
      <c r="B4675" t="s">
        <v>1302</v>
      </c>
      <c r="C4675" t="s">
        <v>1</v>
      </c>
      <c r="D4675" s="2">
        <v>1</v>
      </c>
      <c r="E4675" s="11" t="s">
        <v>770</v>
      </c>
      <c r="F4675" t="s">
        <v>55</v>
      </c>
      <c r="G4675" s="2" t="s">
        <v>23</v>
      </c>
      <c r="H4675" s="1">
        <v>89.994000000000014</v>
      </c>
    </row>
    <row r="4676" spans="1:8" x14ac:dyDescent="0.3">
      <c r="A4676" s="2">
        <v>760</v>
      </c>
      <c r="B4676" t="s">
        <v>1353</v>
      </c>
      <c r="C4676" t="s">
        <v>2</v>
      </c>
      <c r="D4676" s="2">
        <v>1</v>
      </c>
      <c r="E4676" s="11" t="s">
        <v>1300</v>
      </c>
      <c r="F4676" t="s">
        <v>55</v>
      </c>
      <c r="G4676" s="2" t="s">
        <v>4</v>
      </c>
      <c r="H4676" s="1">
        <v>89.994000000000014</v>
      </c>
    </row>
    <row r="4677" spans="1:8" x14ac:dyDescent="0.3">
      <c r="A4677" s="2">
        <v>760</v>
      </c>
      <c r="B4677" t="s">
        <v>1352</v>
      </c>
      <c r="C4677" t="s">
        <v>2</v>
      </c>
      <c r="D4677" s="2">
        <v>1</v>
      </c>
      <c r="E4677" s="11" t="s">
        <v>1300</v>
      </c>
      <c r="F4677" t="s">
        <v>55</v>
      </c>
      <c r="G4677" s="2" t="s">
        <v>31</v>
      </c>
      <c r="H4677" s="1">
        <v>89.994000000000014</v>
      </c>
    </row>
    <row r="4678" spans="1:8" x14ac:dyDescent="0.3">
      <c r="A4678" s="2">
        <v>760</v>
      </c>
      <c r="B4678" t="s">
        <v>1301</v>
      </c>
      <c r="C4678" t="s">
        <v>2</v>
      </c>
      <c r="D4678" s="2">
        <v>1</v>
      </c>
      <c r="E4678" s="11" t="s">
        <v>1300</v>
      </c>
      <c r="F4678" t="s">
        <v>55</v>
      </c>
      <c r="G4678" s="2" t="s">
        <v>23</v>
      </c>
      <c r="H4678" s="1">
        <v>89.994000000000014</v>
      </c>
    </row>
    <row r="4679" spans="1:8" x14ac:dyDescent="0.3">
      <c r="A4679" s="2">
        <v>760</v>
      </c>
      <c r="B4679" t="s">
        <v>1319</v>
      </c>
      <c r="C4679" t="s">
        <v>1</v>
      </c>
      <c r="D4679" s="2">
        <v>1</v>
      </c>
      <c r="E4679" s="11" t="s">
        <v>770</v>
      </c>
      <c r="F4679" t="s">
        <v>114</v>
      </c>
      <c r="G4679" s="2" t="s">
        <v>31</v>
      </c>
      <c r="H4679" s="1">
        <v>89.994000000000014</v>
      </c>
    </row>
    <row r="4680" spans="1:8" x14ac:dyDescent="0.3">
      <c r="A4680" s="2">
        <v>760</v>
      </c>
      <c r="B4680" t="s">
        <v>1318</v>
      </c>
      <c r="C4680" t="s">
        <v>1</v>
      </c>
      <c r="D4680" s="2">
        <v>1</v>
      </c>
      <c r="E4680" s="11" t="s">
        <v>770</v>
      </c>
      <c r="F4680" t="s">
        <v>114</v>
      </c>
      <c r="G4680" s="2" t="s">
        <v>23</v>
      </c>
      <c r="H4680" s="1">
        <v>89.994000000000014</v>
      </c>
    </row>
    <row r="4681" spans="1:8" x14ac:dyDescent="0.3">
      <c r="A4681" s="2">
        <v>760</v>
      </c>
      <c r="B4681" t="s">
        <v>1351</v>
      </c>
      <c r="C4681" t="s">
        <v>2</v>
      </c>
      <c r="D4681" s="2">
        <v>1</v>
      </c>
      <c r="E4681" s="11" t="s">
        <v>1300</v>
      </c>
      <c r="F4681" t="s">
        <v>114</v>
      </c>
      <c r="G4681" s="2" t="s">
        <v>4</v>
      </c>
      <c r="H4681" s="1">
        <v>89.994000000000014</v>
      </c>
    </row>
    <row r="4682" spans="1:8" x14ac:dyDescent="0.3">
      <c r="A4682" s="2">
        <v>760</v>
      </c>
      <c r="B4682" t="s">
        <v>1350</v>
      </c>
      <c r="C4682" t="s">
        <v>2</v>
      </c>
      <c r="D4682" s="2">
        <v>1</v>
      </c>
      <c r="E4682" s="11" t="s">
        <v>1300</v>
      </c>
      <c r="F4682" t="s">
        <v>114</v>
      </c>
      <c r="G4682" s="2" t="s">
        <v>31</v>
      </c>
      <c r="H4682" s="1">
        <v>89.994000000000014</v>
      </c>
    </row>
    <row r="4683" spans="1:8" x14ac:dyDescent="0.3">
      <c r="A4683" s="2">
        <v>760</v>
      </c>
      <c r="B4683" t="s">
        <v>1349</v>
      </c>
      <c r="C4683" t="s">
        <v>2</v>
      </c>
      <c r="D4683" s="2">
        <v>1</v>
      </c>
      <c r="E4683" s="11" t="s">
        <v>1300</v>
      </c>
      <c r="F4683" t="s">
        <v>114</v>
      </c>
      <c r="G4683" s="2" t="s">
        <v>23</v>
      </c>
      <c r="H4683" s="1">
        <v>89.994000000000014</v>
      </c>
    </row>
    <row r="4684" spans="1:8" x14ac:dyDescent="0.3">
      <c r="A4684" s="2">
        <v>760</v>
      </c>
      <c r="B4684" t="s">
        <v>1346</v>
      </c>
      <c r="C4684" t="s">
        <v>3224</v>
      </c>
      <c r="D4684" s="2">
        <v>1</v>
      </c>
      <c r="E4684" s="11" t="s">
        <v>211</v>
      </c>
      <c r="F4684" t="s">
        <v>114</v>
      </c>
      <c r="G4684" s="2" t="s">
        <v>31</v>
      </c>
      <c r="H4684" s="1">
        <v>63.494000000000007</v>
      </c>
    </row>
    <row r="4685" spans="1:8" x14ac:dyDescent="0.3">
      <c r="A4685" s="2">
        <v>760</v>
      </c>
      <c r="B4685" t="s">
        <v>1345</v>
      </c>
      <c r="C4685" t="s">
        <v>3224</v>
      </c>
      <c r="D4685" s="2">
        <v>1</v>
      </c>
      <c r="E4685" s="11" t="s">
        <v>211</v>
      </c>
      <c r="F4685" t="s">
        <v>114</v>
      </c>
      <c r="G4685" s="2" t="s">
        <v>23</v>
      </c>
      <c r="H4685" s="1">
        <v>63.494000000000007</v>
      </c>
    </row>
    <row r="4686" spans="1:8" x14ac:dyDescent="0.3">
      <c r="A4686" s="2">
        <v>760</v>
      </c>
      <c r="B4686" t="s">
        <v>598</v>
      </c>
      <c r="C4686" t="s">
        <v>3224</v>
      </c>
      <c r="D4686" s="2">
        <v>1</v>
      </c>
      <c r="E4686" s="11" t="s">
        <v>211</v>
      </c>
      <c r="F4686" t="s">
        <v>39</v>
      </c>
      <c r="G4686" s="2" t="s">
        <v>31</v>
      </c>
      <c r="H4686" s="1">
        <v>63.494000000000007</v>
      </c>
    </row>
    <row r="4687" spans="1:8" x14ac:dyDescent="0.3">
      <c r="A4687" s="2">
        <v>760</v>
      </c>
      <c r="B4687" t="s">
        <v>1281</v>
      </c>
      <c r="C4687" t="s">
        <v>3224</v>
      </c>
      <c r="D4687" s="2">
        <v>1</v>
      </c>
      <c r="E4687" s="11" t="s">
        <v>211</v>
      </c>
      <c r="F4687" t="s">
        <v>39</v>
      </c>
      <c r="G4687" s="2" t="s">
        <v>23</v>
      </c>
      <c r="H4687" s="1">
        <v>63.494000000000007</v>
      </c>
    </row>
    <row r="4688" spans="1:8" x14ac:dyDescent="0.3">
      <c r="A4688" s="2">
        <v>761</v>
      </c>
      <c r="B4688" t="s">
        <v>1348</v>
      </c>
      <c r="C4688" t="s">
        <v>2</v>
      </c>
      <c r="D4688" s="2">
        <v>1</v>
      </c>
      <c r="E4688" s="11" t="s">
        <v>1300</v>
      </c>
      <c r="F4688" t="s">
        <v>65</v>
      </c>
      <c r="G4688" s="2" t="s">
        <v>31</v>
      </c>
      <c r="H4688" s="1">
        <v>89.994000000000014</v>
      </c>
    </row>
    <row r="4689" spans="1:8" x14ac:dyDescent="0.3">
      <c r="A4689" s="2">
        <v>761</v>
      </c>
      <c r="B4689" t="s">
        <v>1347</v>
      </c>
      <c r="C4689" t="s">
        <v>3225</v>
      </c>
      <c r="D4689" s="2">
        <v>1</v>
      </c>
      <c r="E4689" s="11" t="s">
        <v>886</v>
      </c>
      <c r="F4689" t="s">
        <v>254</v>
      </c>
      <c r="G4689" s="2" t="s">
        <v>31</v>
      </c>
      <c r="H4689" s="1">
        <v>174.79400000000001</v>
      </c>
    </row>
    <row r="4690" spans="1:8" x14ac:dyDescent="0.3">
      <c r="A4690" s="2">
        <v>761</v>
      </c>
      <c r="B4690" t="s">
        <v>1319</v>
      </c>
      <c r="C4690" t="s">
        <v>1</v>
      </c>
      <c r="D4690" s="2">
        <v>1</v>
      </c>
      <c r="E4690" s="11" t="s">
        <v>770</v>
      </c>
      <c r="F4690" t="s">
        <v>114</v>
      </c>
      <c r="G4690" s="2" t="s">
        <v>31</v>
      </c>
      <c r="H4690" s="1">
        <v>89.994000000000014</v>
      </c>
    </row>
    <row r="4691" spans="1:8" x14ac:dyDescent="0.3">
      <c r="A4691" s="2">
        <v>761</v>
      </c>
      <c r="B4691" t="s">
        <v>1346</v>
      </c>
      <c r="C4691" t="s">
        <v>3224</v>
      </c>
      <c r="D4691" s="2">
        <v>1</v>
      </c>
      <c r="E4691" s="11" t="s">
        <v>211</v>
      </c>
      <c r="F4691" t="s">
        <v>114</v>
      </c>
      <c r="G4691" s="2" t="s">
        <v>31</v>
      </c>
      <c r="H4691" s="1">
        <v>63.494000000000007</v>
      </c>
    </row>
    <row r="4692" spans="1:8" x14ac:dyDescent="0.3">
      <c r="A4692" s="2">
        <v>761</v>
      </c>
      <c r="B4692" t="s">
        <v>1345</v>
      </c>
      <c r="C4692" t="s">
        <v>3224</v>
      </c>
      <c r="D4692" s="2">
        <v>2</v>
      </c>
      <c r="E4692" s="11" t="s">
        <v>211</v>
      </c>
      <c r="F4692" t="s">
        <v>114</v>
      </c>
      <c r="G4692" s="2" t="s">
        <v>23</v>
      </c>
      <c r="H4692" s="1">
        <v>63.494000000000007</v>
      </c>
    </row>
    <row r="4693" spans="1:8" x14ac:dyDescent="0.3">
      <c r="A4693" s="2">
        <v>761</v>
      </c>
      <c r="B4693" t="s">
        <v>387</v>
      </c>
      <c r="C4693" t="s">
        <v>3220</v>
      </c>
      <c r="D4693" s="2">
        <v>1</v>
      </c>
      <c r="E4693" s="11" t="s">
        <v>140</v>
      </c>
      <c r="F4693" t="s">
        <v>114</v>
      </c>
      <c r="G4693" s="2" t="s">
        <v>23</v>
      </c>
      <c r="H4693" s="1">
        <v>42.294000000000004</v>
      </c>
    </row>
    <row r="4694" spans="1:8" x14ac:dyDescent="0.3">
      <c r="A4694" s="2">
        <v>761</v>
      </c>
      <c r="B4694" t="s">
        <v>1344</v>
      </c>
      <c r="C4694" t="s">
        <v>3233</v>
      </c>
      <c r="D4694" s="2">
        <v>1</v>
      </c>
      <c r="E4694" s="11" t="s">
        <v>763</v>
      </c>
      <c r="F4694" t="s">
        <v>47</v>
      </c>
      <c r="G4694" s="2" t="s">
        <v>23</v>
      </c>
      <c r="H4694" s="1">
        <v>89.994000000000014</v>
      </c>
    </row>
    <row r="4695" spans="1:8" x14ac:dyDescent="0.3">
      <c r="A4695" s="2">
        <v>761</v>
      </c>
      <c r="B4695" t="s">
        <v>1343</v>
      </c>
      <c r="C4695" t="s">
        <v>3</v>
      </c>
      <c r="D4695" s="2">
        <v>1</v>
      </c>
      <c r="E4695" s="11" t="s">
        <v>197</v>
      </c>
      <c r="F4695" t="s">
        <v>39</v>
      </c>
      <c r="G4695" s="2" t="s">
        <v>31</v>
      </c>
      <c r="H4695" s="1">
        <v>68.794000000000011</v>
      </c>
    </row>
    <row r="4696" spans="1:8" x14ac:dyDescent="0.3">
      <c r="A4696" s="2">
        <v>761</v>
      </c>
      <c r="B4696" t="s">
        <v>1148</v>
      </c>
      <c r="C4696" t="s">
        <v>3224</v>
      </c>
      <c r="D4696" s="2">
        <v>1</v>
      </c>
      <c r="E4696" s="11" t="s">
        <v>195</v>
      </c>
      <c r="F4696" t="s">
        <v>39</v>
      </c>
      <c r="G4696" s="2" t="s">
        <v>31</v>
      </c>
      <c r="H4696" s="1">
        <v>84.694000000000017</v>
      </c>
    </row>
    <row r="4697" spans="1:8" x14ac:dyDescent="0.3">
      <c r="A4697" s="2">
        <v>761</v>
      </c>
      <c r="B4697" t="s">
        <v>70</v>
      </c>
      <c r="C4697" t="s">
        <v>0</v>
      </c>
      <c r="D4697" s="2">
        <v>1</v>
      </c>
      <c r="E4697" s="11" t="s">
        <v>68</v>
      </c>
      <c r="F4697" t="s">
        <v>39</v>
      </c>
      <c r="G4697" s="2" t="s">
        <v>31</v>
      </c>
      <c r="H4697" s="1">
        <v>180.09400000000002</v>
      </c>
    </row>
    <row r="4698" spans="1:8" x14ac:dyDescent="0.3">
      <c r="A4698" s="2">
        <v>761</v>
      </c>
      <c r="B4698" t="s">
        <v>1281</v>
      </c>
      <c r="C4698" t="s">
        <v>3224</v>
      </c>
      <c r="D4698" s="2">
        <v>1</v>
      </c>
      <c r="E4698" s="11" t="s">
        <v>211</v>
      </c>
      <c r="F4698" t="s">
        <v>39</v>
      </c>
      <c r="G4698" s="2" t="s">
        <v>23</v>
      </c>
      <c r="H4698" s="1">
        <v>63.494000000000007</v>
      </c>
    </row>
    <row r="4699" spans="1:8" x14ac:dyDescent="0.3">
      <c r="A4699" s="2">
        <v>761</v>
      </c>
      <c r="B4699" t="s">
        <v>1104</v>
      </c>
      <c r="C4699" t="s">
        <v>0</v>
      </c>
      <c r="D4699" s="2">
        <v>1</v>
      </c>
      <c r="E4699" s="11" t="s">
        <v>183</v>
      </c>
      <c r="F4699" t="s">
        <v>36</v>
      </c>
      <c r="G4699" s="2" t="s">
        <v>4</v>
      </c>
      <c r="H4699" s="1">
        <v>153.59400000000002</v>
      </c>
    </row>
    <row r="4700" spans="1:8" x14ac:dyDescent="0.3">
      <c r="A4700" s="2">
        <v>761</v>
      </c>
      <c r="B4700" t="s">
        <v>887</v>
      </c>
      <c r="C4700" t="s">
        <v>3225</v>
      </c>
      <c r="D4700" s="2">
        <v>1</v>
      </c>
      <c r="E4700" s="11" t="s">
        <v>886</v>
      </c>
      <c r="F4700" t="s">
        <v>28</v>
      </c>
      <c r="G4700" s="2" t="s">
        <v>4</v>
      </c>
      <c r="H4700" s="1">
        <v>174.79400000000001</v>
      </c>
    </row>
    <row r="4701" spans="1:8" x14ac:dyDescent="0.3">
      <c r="A4701" s="2">
        <v>761</v>
      </c>
      <c r="B4701" t="s">
        <v>1342</v>
      </c>
      <c r="C4701" t="s">
        <v>0</v>
      </c>
      <c r="D4701" s="2">
        <v>1</v>
      </c>
      <c r="E4701" s="11" t="s">
        <v>183</v>
      </c>
      <c r="F4701" t="s">
        <v>28</v>
      </c>
      <c r="G4701" s="2" t="s">
        <v>31</v>
      </c>
      <c r="H4701" s="1">
        <v>153.59400000000002</v>
      </c>
    </row>
    <row r="4702" spans="1:8" x14ac:dyDescent="0.3">
      <c r="A4702" s="2">
        <v>761</v>
      </c>
      <c r="B4702" t="s">
        <v>1103</v>
      </c>
      <c r="C4702" t="s">
        <v>0</v>
      </c>
      <c r="D4702" s="2">
        <v>1</v>
      </c>
      <c r="E4702" s="11" t="s">
        <v>183</v>
      </c>
      <c r="F4702" t="s">
        <v>28</v>
      </c>
      <c r="G4702" s="2" t="s">
        <v>23</v>
      </c>
      <c r="H4702" s="1">
        <v>153.59400000000002</v>
      </c>
    </row>
    <row r="4703" spans="1:8" x14ac:dyDescent="0.3">
      <c r="A4703" s="2">
        <v>762</v>
      </c>
      <c r="B4703" t="s">
        <v>1165</v>
      </c>
      <c r="C4703" t="s">
        <v>1</v>
      </c>
      <c r="D4703" s="2">
        <v>1</v>
      </c>
      <c r="E4703" s="11" t="s">
        <v>58</v>
      </c>
      <c r="F4703" t="s">
        <v>65</v>
      </c>
      <c r="G4703" s="2" t="s">
        <v>31</v>
      </c>
      <c r="H4703" s="1">
        <v>52.893999999999998</v>
      </c>
    </row>
    <row r="4704" spans="1:8" x14ac:dyDescent="0.3">
      <c r="A4704" s="2">
        <v>762</v>
      </c>
      <c r="B4704" t="s">
        <v>1341</v>
      </c>
      <c r="C4704" t="s">
        <v>3219</v>
      </c>
      <c r="D4704" s="2">
        <v>1</v>
      </c>
      <c r="E4704" s="11" t="s">
        <v>673</v>
      </c>
      <c r="F4704" t="s">
        <v>81</v>
      </c>
      <c r="G4704" s="2" t="s">
        <v>4</v>
      </c>
      <c r="H4704" s="1">
        <v>89.994000000000014</v>
      </c>
    </row>
    <row r="4705" spans="1:8" x14ac:dyDescent="0.3">
      <c r="A4705" s="2">
        <v>762</v>
      </c>
      <c r="B4705" t="s">
        <v>1340</v>
      </c>
      <c r="C4705" t="s">
        <v>3219</v>
      </c>
      <c r="D4705" s="2">
        <v>1</v>
      </c>
      <c r="E4705" s="11" t="s">
        <v>673</v>
      </c>
      <c r="F4705" t="s">
        <v>81</v>
      </c>
      <c r="G4705" s="2" t="s">
        <v>31</v>
      </c>
      <c r="H4705" s="1">
        <v>89.994000000000014</v>
      </c>
    </row>
    <row r="4706" spans="1:8" x14ac:dyDescent="0.3">
      <c r="A4706" s="2">
        <v>762</v>
      </c>
      <c r="B4706" t="s">
        <v>1164</v>
      </c>
      <c r="C4706" t="s">
        <v>1</v>
      </c>
      <c r="D4706" s="2">
        <v>1</v>
      </c>
      <c r="E4706" s="11" t="s">
        <v>58</v>
      </c>
      <c r="F4706" t="s">
        <v>28</v>
      </c>
      <c r="G4706" s="2" t="s">
        <v>31</v>
      </c>
      <c r="H4706" s="1">
        <v>52.893999999999998</v>
      </c>
    </row>
    <row r="4707" spans="1:8" x14ac:dyDescent="0.3">
      <c r="A4707" s="2">
        <v>762</v>
      </c>
      <c r="B4707" t="s">
        <v>1339</v>
      </c>
      <c r="C4707" t="s">
        <v>3233</v>
      </c>
      <c r="D4707" s="2">
        <v>1</v>
      </c>
      <c r="E4707" s="11" t="s">
        <v>1096</v>
      </c>
      <c r="F4707" t="s">
        <v>114</v>
      </c>
      <c r="G4707" s="2" t="s">
        <v>31</v>
      </c>
      <c r="H4707" s="1">
        <v>132.39400000000001</v>
      </c>
    </row>
    <row r="4708" spans="1:8" x14ac:dyDescent="0.3">
      <c r="A4708" s="2">
        <v>762</v>
      </c>
      <c r="B4708" t="s">
        <v>658</v>
      </c>
      <c r="C4708" t="s">
        <v>3224</v>
      </c>
      <c r="D4708" s="2">
        <v>1</v>
      </c>
      <c r="E4708" s="11" t="s">
        <v>656</v>
      </c>
      <c r="F4708" t="s">
        <v>114</v>
      </c>
      <c r="G4708" s="2" t="s">
        <v>31</v>
      </c>
      <c r="H4708" s="1">
        <v>74.094000000000008</v>
      </c>
    </row>
    <row r="4709" spans="1:8" x14ac:dyDescent="0.3">
      <c r="A4709" s="2">
        <v>762</v>
      </c>
      <c r="B4709" t="s">
        <v>657</v>
      </c>
      <c r="C4709" t="s">
        <v>3224</v>
      </c>
      <c r="D4709" s="2">
        <v>1</v>
      </c>
      <c r="E4709" s="11" t="s">
        <v>656</v>
      </c>
      <c r="F4709" t="s">
        <v>114</v>
      </c>
      <c r="G4709" s="2" t="s">
        <v>23</v>
      </c>
      <c r="H4709" s="1">
        <v>74.094000000000008</v>
      </c>
    </row>
    <row r="4710" spans="1:8" x14ac:dyDescent="0.3">
      <c r="A4710" s="2">
        <v>762</v>
      </c>
      <c r="B4710" t="s">
        <v>1338</v>
      </c>
      <c r="C4710" t="s">
        <v>3219</v>
      </c>
      <c r="D4710" s="2">
        <v>1</v>
      </c>
      <c r="E4710" s="11" t="s">
        <v>1335</v>
      </c>
      <c r="F4710" t="s">
        <v>47</v>
      </c>
      <c r="G4710" s="2" t="s">
        <v>4</v>
      </c>
      <c r="H4710" s="1">
        <v>100.59400000000001</v>
      </c>
    </row>
    <row r="4711" spans="1:8" x14ac:dyDescent="0.3">
      <c r="A4711" s="2">
        <v>762</v>
      </c>
      <c r="B4711" t="s">
        <v>1337</v>
      </c>
      <c r="C4711" t="s">
        <v>3219</v>
      </c>
      <c r="D4711" s="2">
        <v>1</v>
      </c>
      <c r="E4711" s="11" t="s">
        <v>1335</v>
      </c>
      <c r="F4711" t="s">
        <v>47</v>
      </c>
      <c r="G4711" s="2" t="s">
        <v>31</v>
      </c>
      <c r="H4711" s="1">
        <v>100.59400000000001</v>
      </c>
    </row>
    <row r="4712" spans="1:8" x14ac:dyDescent="0.3">
      <c r="A4712" s="2">
        <v>762</v>
      </c>
      <c r="B4712" t="s">
        <v>1336</v>
      </c>
      <c r="C4712" t="s">
        <v>3219</v>
      </c>
      <c r="D4712" s="2">
        <v>1</v>
      </c>
      <c r="E4712" s="11" t="s">
        <v>1335</v>
      </c>
      <c r="F4712" t="s">
        <v>47</v>
      </c>
      <c r="G4712" s="2" t="s">
        <v>23</v>
      </c>
      <c r="H4712" s="1">
        <v>100.59400000000001</v>
      </c>
    </row>
    <row r="4713" spans="1:8" x14ac:dyDescent="0.3">
      <c r="A4713" s="2">
        <v>762</v>
      </c>
      <c r="B4713" t="s">
        <v>1097</v>
      </c>
      <c r="C4713" t="s">
        <v>3233</v>
      </c>
      <c r="D4713" s="2">
        <v>1</v>
      </c>
      <c r="E4713" s="11" t="s">
        <v>1096</v>
      </c>
      <c r="F4713" t="s">
        <v>47</v>
      </c>
      <c r="G4713" s="2" t="s">
        <v>23</v>
      </c>
      <c r="H4713" s="1">
        <v>132.39400000000001</v>
      </c>
    </row>
    <row r="4714" spans="1:8" x14ac:dyDescent="0.3">
      <c r="A4714" s="2">
        <v>762</v>
      </c>
      <c r="B4714" t="s">
        <v>882</v>
      </c>
      <c r="C4714" t="s">
        <v>3224</v>
      </c>
      <c r="D4714" s="2">
        <v>2</v>
      </c>
      <c r="E4714" s="11" t="s">
        <v>656</v>
      </c>
      <c r="F4714" t="s">
        <v>47</v>
      </c>
      <c r="G4714" s="2" t="s">
        <v>31</v>
      </c>
      <c r="H4714" s="1">
        <v>74.094000000000008</v>
      </c>
    </row>
    <row r="4715" spans="1:8" x14ac:dyDescent="0.3">
      <c r="A4715" s="2">
        <v>762</v>
      </c>
      <c r="B4715" t="s">
        <v>881</v>
      </c>
      <c r="C4715" t="s">
        <v>3224</v>
      </c>
      <c r="D4715" s="2">
        <v>1</v>
      </c>
      <c r="E4715" s="11" t="s">
        <v>656</v>
      </c>
      <c r="F4715" t="s">
        <v>47</v>
      </c>
      <c r="G4715" s="2" t="s">
        <v>23</v>
      </c>
      <c r="H4715" s="1">
        <v>74.094000000000008</v>
      </c>
    </row>
    <row r="4716" spans="1:8" x14ac:dyDescent="0.3">
      <c r="A4716" s="2">
        <v>762</v>
      </c>
      <c r="B4716" t="s">
        <v>1283</v>
      </c>
      <c r="C4716" t="s">
        <v>1</v>
      </c>
      <c r="D4716" s="2">
        <v>1</v>
      </c>
      <c r="E4716" s="11" t="s">
        <v>58</v>
      </c>
      <c r="F4716" t="s">
        <v>39</v>
      </c>
      <c r="G4716" s="2" t="s">
        <v>31</v>
      </c>
      <c r="H4716" s="1">
        <v>52.893999999999998</v>
      </c>
    </row>
    <row r="4717" spans="1:8" x14ac:dyDescent="0.3">
      <c r="A4717" s="2">
        <v>762</v>
      </c>
      <c r="B4717" t="s">
        <v>1273</v>
      </c>
      <c r="C4717" t="s">
        <v>1</v>
      </c>
      <c r="D4717" s="2">
        <v>1</v>
      </c>
      <c r="E4717" s="11" t="s">
        <v>58</v>
      </c>
      <c r="F4717" t="s">
        <v>39</v>
      </c>
      <c r="G4717" s="2" t="s">
        <v>23</v>
      </c>
      <c r="H4717" s="1">
        <v>52.893999999999998</v>
      </c>
    </row>
    <row r="4718" spans="1:8" x14ac:dyDescent="0.3">
      <c r="A4718" s="2">
        <v>762</v>
      </c>
      <c r="B4718" t="s">
        <v>1334</v>
      </c>
      <c r="C4718" t="s">
        <v>3233</v>
      </c>
      <c r="D4718" s="2">
        <v>1</v>
      </c>
      <c r="E4718" s="11" t="s">
        <v>1096</v>
      </c>
      <c r="F4718" t="s">
        <v>39</v>
      </c>
      <c r="G4718" s="2" t="s">
        <v>31</v>
      </c>
      <c r="H4718" s="1">
        <v>132.39400000000001</v>
      </c>
    </row>
    <row r="4719" spans="1:8" x14ac:dyDescent="0.3">
      <c r="A4719" s="2">
        <v>762</v>
      </c>
      <c r="B4719" t="s">
        <v>674</v>
      </c>
      <c r="C4719" t="s">
        <v>3219</v>
      </c>
      <c r="D4719" s="2">
        <v>2</v>
      </c>
      <c r="E4719" s="11" t="s">
        <v>673</v>
      </c>
      <c r="F4719" t="s">
        <v>39</v>
      </c>
      <c r="G4719" s="2" t="s">
        <v>31</v>
      </c>
      <c r="H4719" s="1">
        <v>89.994000000000014</v>
      </c>
    </row>
    <row r="4720" spans="1:8" x14ac:dyDescent="0.3">
      <c r="A4720" s="2">
        <v>762</v>
      </c>
      <c r="B4720" t="s">
        <v>1333</v>
      </c>
      <c r="C4720" t="s">
        <v>3233</v>
      </c>
      <c r="D4720" s="2">
        <v>1</v>
      </c>
      <c r="E4720" s="11" t="s">
        <v>1096</v>
      </c>
      <c r="F4720" t="s">
        <v>28</v>
      </c>
      <c r="G4720" s="2" t="s">
        <v>31</v>
      </c>
      <c r="H4720" s="1">
        <v>132.39400000000001</v>
      </c>
    </row>
    <row r="4721" spans="1:8" x14ac:dyDescent="0.3">
      <c r="A4721" s="2">
        <v>762</v>
      </c>
      <c r="B4721" t="s">
        <v>1332</v>
      </c>
      <c r="C4721" t="s">
        <v>3224</v>
      </c>
      <c r="D4721" s="2">
        <v>1</v>
      </c>
      <c r="E4721" s="11" t="s">
        <v>656</v>
      </c>
      <c r="F4721" t="s">
        <v>28</v>
      </c>
      <c r="G4721" s="2" t="s">
        <v>31</v>
      </c>
      <c r="H4721" s="1">
        <v>74.094000000000008</v>
      </c>
    </row>
    <row r="4722" spans="1:8" x14ac:dyDescent="0.3">
      <c r="A4722" s="2">
        <v>763</v>
      </c>
      <c r="B4722" t="s">
        <v>873</v>
      </c>
      <c r="C4722" t="s">
        <v>1</v>
      </c>
      <c r="D4722" s="2">
        <v>1</v>
      </c>
      <c r="E4722" s="11" t="s">
        <v>53</v>
      </c>
      <c r="F4722" t="s">
        <v>55</v>
      </c>
      <c r="G4722" s="2" t="s">
        <v>4</v>
      </c>
      <c r="H4722" s="1">
        <v>36.994</v>
      </c>
    </row>
    <row r="4723" spans="1:8" x14ac:dyDescent="0.3">
      <c r="A4723" s="2">
        <v>763</v>
      </c>
      <c r="B4723" t="s">
        <v>761</v>
      </c>
      <c r="C4723" t="s">
        <v>1</v>
      </c>
      <c r="D4723" s="2">
        <v>1</v>
      </c>
      <c r="E4723" s="11" t="s">
        <v>53</v>
      </c>
      <c r="F4723" t="s">
        <v>55</v>
      </c>
      <c r="G4723" s="2" t="s">
        <v>23</v>
      </c>
      <c r="H4723" s="1">
        <v>36.994</v>
      </c>
    </row>
    <row r="4724" spans="1:8" x14ac:dyDescent="0.3">
      <c r="A4724" s="2">
        <v>763</v>
      </c>
      <c r="B4724" t="s">
        <v>757</v>
      </c>
      <c r="C4724" t="s">
        <v>1</v>
      </c>
      <c r="D4724" s="2">
        <v>1</v>
      </c>
      <c r="E4724" s="11" t="s">
        <v>53</v>
      </c>
      <c r="F4724" t="s">
        <v>65</v>
      </c>
      <c r="G4724" s="2" t="s">
        <v>4</v>
      </c>
      <c r="H4724" s="1">
        <v>36.994</v>
      </c>
    </row>
    <row r="4725" spans="1:8" x14ac:dyDescent="0.3">
      <c r="A4725" s="2">
        <v>763</v>
      </c>
      <c r="B4725" t="s">
        <v>756</v>
      </c>
      <c r="C4725" t="s">
        <v>1</v>
      </c>
      <c r="D4725" s="2">
        <v>1</v>
      </c>
      <c r="E4725" s="11" t="s">
        <v>53</v>
      </c>
      <c r="F4725" t="s">
        <v>65</v>
      </c>
      <c r="G4725" s="2" t="s">
        <v>203</v>
      </c>
      <c r="H4725" s="1">
        <v>36.994</v>
      </c>
    </row>
    <row r="4726" spans="1:8" x14ac:dyDescent="0.3">
      <c r="A4726" s="2">
        <v>763</v>
      </c>
      <c r="B4726" t="s">
        <v>755</v>
      </c>
      <c r="C4726" t="s">
        <v>1</v>
      </c>
      <c r="D4726" s="2">
        <v>1</v>
      </c>
      <c r="E4726" s="11" t="s">
        <v>53</v>
      </c>
      <c r="F4726" t="s">
        <v>65</v>
      </c>
      <c r="G4726" s="2" t="s">
        <v>31</v>
      </c>
      <c r="H4726" s="1">
        <v>36.994</v>
      </c>
    </row>
    <row r="4727" spans="1:8" x14ac:dyDescent="0.3">
      <c r="A4727" s="2">
        <v>763</v>
      </c>
      <c r="B4727" t="s">
        <v>754</v>
      </c>
      <c r="C4727" t="s">
        <v>1</v>
      </c>
      <c r="D4727" s="2">
        <v>2</v>
      </c>
      <c r="E4727" s="11" t="s">
        <v>53</v>
      </c>
      <c r="F4727" t="s">
        <v>65</v>
      </c>
      <c r="G4727" s="2" t="s">
        <v>23</v>
      </c>
      <c r="H4727" s="1">
        <v>36.994</v>
      </c>
    </row>
    <row r="4728" spans="1:8" x14ac:dyDescent="0.3">
      <c r="A4728" s="2">
        <v>763</v>
      </c>
      <c r="B4728" t="s">
        <v>757</v>
      </c>
      <c r="C4728" t="s">
        <v>1</v>
      </c>
      <c r="D4728" s="2">
        <v>1</v>
      </c>
      <c r="E4728" s="11" t="s">
        <v>53</v>
      </c>
      <c r="F4728" t="s">
        <v>65</v>
      </c>
      <c r="G4728" s="2" t="s">
        <v>4</v>
      </c>
      <c r="H4728" s="1">
        <v>36.994</v>
      </c>
    </row>
    <row r="4729" spans="1:8" x14ac:dyDescent="0.3">
      <c r="A4729" s="2">
        <v>763</v>
      </c>
      <c r="B4729" t="s">
        <v>1331</v>
      </c>
      <c r="C4729" t="s">
        <v>2</v>
      </c>
      <c r="D4729" s="2">
        <v>1</v>
      </c>
      <c r="E4729" s="11" t="s">
        <v>783</v>
      </c>
      <c r="F4729" t="s">
        <v>114</v>
      </c>
      <c r="G4729" s="2" t="s">
        <v>23</v>
      </c>
      <c r="H4729" s="1">
        <v>169.49400000000003</v>
      </c>
    </row>
    <row r="4730" spans="1:8" x14ac:dyDescent="0.3">
      <c r="A4730" s="2">
        <v>763</v>
      </c>
      <c r="B4730" t="s">
        <v>1330</v>
      </c>
      <c r="C4730" t="s">
        <v>1</v>
      </c>
      <c r="D4730" s="2">
        <v>1</v>
      </c>
      <c r="E4730" s="11" t="s">
        <v>770</v>
      </c>
      <c r="F4730" t="s">
        <v>81</v>
      </c>
      <c r="G4730" s="2" t="s">
        <v>4</v>
      </c>
      <c r="H4730" s="1">
        <v>89.994000000000014</v>
      </c>
    </row>
    <row r="4731" spans="1:8" x14ac:dyDescent="0.3">
      <c r="A4731" s="2">
        <v>763</v>
      </c>
      <c r="B4731" t="s">
        <v>869</v>
      </c>
      <c r="C4731" t="s">
        <v>1</v>
      </c>
      <c r="D4731" s="2">
        <v>1</v>
      </c>
      <c r="E4731" s="11" t="s">
        <v>770</v>
      </c>
      <c r="F4731" t="s">
        <v>81</v>
      </c>
      <c r="G4731" s="2" t="s">
        <v>31</v>
      </c>
      <c r="H4731" s="1">
        <v>89.994000000000014</v>
      </c>
    </row>
    <row r="4732" spans="1:8" x14ac:dyDescent="0.3">
      <c r="A4732" s="2">
        <v>763</v>
      </c>
      <c r="B4732" t="s">
        <v>1329</v>
      </c>
      <c r="C4732" t="s">
        <v>1</v>
      </c>
      <c r="D4732" s="2">
        <v>2</v>
      </c>
      <c r="E4732" s="11" t="s">
        <v>770</v>
      </c>
      <c r="F4732" t="s">
        <v>81</v>
      </c>
      <c r="G4732" s="2" t="s">
        <v>23</v>
      </c>
      <c r="H4732" s="1">
        <v>89.994000000000014</v>
      </c>
    </row>
    <row r="4733" spans="1:8" x14ac:dyDescent="0.3">
      <c r="A4733" s="2">
        <v>763</v>
      </c>
      <c r="B4733" t="s">
        <v>742</v>
      </c>
      <c r="C4733" t="s">
        <v>1</v>
      </c>
      <c r="D4733" s="2">
        <v>1</v>
      </c>
      <c r="E4733" s="11" t="s">
        <v>53</v>
      </c>
      <c r="F4733" t="s">
        <v>28</v>
      </c>
      <c r="G4733" s="2" t="s">
        <v>23</v>
      </c>
      <c r="H4733" s="1">
        <v>36.994</v>
      </c>
    </row>
    <row r="4734" spans="1:8" x14ac:dyDescent="0.3">
      <c r="A4734" s="2">
        <v>763</v>
      </c>
      <c r="B4734" t="s">
        <v>724</v>
      </c>
      <c r="C4734" t="s">
        <v>1</v>
      </c>
      <c r="D4734" s="2">
        <v>1</v>
      </c>
      <c r="E4734" s="11" t="s">
        <v>222</v>
      </c>
      <c r="F4734" t="s">
        <v>28</v>
      </c>
      <c r="G4734" s="2" t="s">
        <v>4</v>
      </c>
      <c r="H4734" s="1">
        <v>52.893999999999998</v>
      </c>
    </row>
    <row r="4735" spans="1:8" x14ac:dyDescent="0.3">
      <c r="A4735" s="2">
        <v>763</v>
      </c>
      <c r="B4735" t="s">
        <v>723</v>
      </c>
      <c r="C4735" t="s">
        <v>1</v>
      </c>
      <c r="D4735" s="2">
        <v>1</v>
      </c>
      <c r="E4735" s="11" t="s">
        <v>222</v>
      </c>
      <c r="F4735" t="s">
        <v>28</v>
      </c>
      <c r="G4735" s="2" t="s">
        <v>31</v>
      </c>
      <c r="H4735" s="1">
        <v>52.893999999999998</v>
      </c>
    </row>
    <row r="4736" spans="1:8" x14ac:dyDescent="0.3">
      <c r="A4736" s="2">
        <v>763</v>
      </c>
      <c r="B4736" t="s">
        <v>1328</v>
      </c>
      <c r="C4736" t="s">
        <v>1</v>
      </c>
      <c r="D4736" s="2">
        <v>2</v>
      </c>
      <c r="E4736" s="11" t="s">
        <v>740</v>
      </c>
      <c r="F4736" t="s">
        <v>62</v>
      </c>
      <c r="G4736" s="2" t="s">
        <v>4</v>
      </c>
      <c r="H4736" s="1">
        <v>52.893999999999998</v>
      </c>
    </row>
    <row r="4737" spans="1:8" x14ac:dyDescent="0.3">
      <c r="A4737" s="2">
        <v>763</v>
      </c>
      <c r="B4737" t="s">
        <v>741</v>
      </c>
      <c r="C4737" t="s">
        <v>1</v>
      </c>
      <c r="D4737" s="2">
        <v>1</v>
      </c>
      <c r="E4737" s="11" t="s">
        <v>740</v>
      </c>
      <c r="F4737" t="s">
        <v>62</v>
      </c>
      <c r="G4737" s="2" t="s">
        <v>31</v>
      </c>
      <c r="H4737" s="1">
        <v>52.893999999999998</v>
      </c>
    </row>
    <row r="4738" spans="1:8" x14ac:dyDescent="0.3">
      <c r="A4738" s="2">
        <v>763</v>
      </c>
      <c r="B4738" t="s">
        <v>1327</v>
      </c>
      <c r="C4738" t="s">
        <v>1</v>
      </c>
      <c r="D4738" s="2">
        <v>2</v>
      </c>
      <c r="E4738" s="11" t="s">
        <v>740</v>
      </c>
      <c r="F4738" t="s">
        <v>62</v>
      </c>
      <c r="G4738" s="2" t="s">
        <v>23</v>
      </c>
      <c r="H4738" s="1">
        <v>52.893999999999998</v>
      </c>
    </row>
    <row r="4739" spans="1:8" x14ac:dyDescent="0.3">
      <c r="A4739" s="2">
        <v>763</v>
      </c>
      <c r="B4739" t="s">
        <v>1326</v>
      </c>
      <c r="C4739" t="s">
        <v>2</v>
      </c>
      <c r="D4739" s="2">
        <v>1</v>
      </c>
      <c r="E4739" s="11" t="s">
        <v>733</v>
      </c>
      <c r="F4739" t="s">
        <v>55</v>
      </c>
      <c r="G4739" s="2" t="s">
        <v>31</v>
      </c>
      <c r="H4739" s="1">
        <v>132.39400000000001</v>
      </c>
    </row>
    <row r="4740" spans="1:8" x14ac:dyDescent="0.3">
      <c r="A4740" s="2">
        <v>763</v>
      </c>
      <c r="B4740" t="s">
        <v>1325</v>
      </c>
      <c r="C4740" t="s">
        <v>2</v>
      </c>
      <c r="D4740" s="2">
        <v>1</v>
      </c>
      <c r="E4740" s="11" t="s">
        <v>733</v>
      </c>
      <c r="F4740" t="s">
        <v>55</v>
      </c>
      <c r="G4740" s="2" t="s">
        <v>23</v>
      </c>
      <c r="H4740" s="1">
        <v>132.39400000000001</v>
      </c>
    </row>
    <row r="4741" spans="1:8" x14ac:dyDescent="0.3">
      <c r="A4741" s="2">
        <v>763</v>
      </c>
      <c r="B4741" t="s">
        <v>1303</v>
      </c>
      <c r="C4741" t="s">
        <v>1</v>
      </c>
      <c r="D4741" s="2">
        <v>1</v>
      </c>
      <c r="E4741" s="11" t="s">
        <v>770</v>
      </c>
      <c r="F4741" t="s">
        <v>55</v>
      </c>
      <c r="G4741" s="2" t="s">
        <v>4</v>
      </c>
      <c r="H4741" s="1">
        <v>89.994000000000014</v>
      </c>
    </row>
    <row r="4742" spans="1:8" x14ac:dyDescent="0.3">
      <c r="A4742" s="2">
        <v>763</v>
      </c>
      <c r="B4742" t="s">
        <v>963</v>
      </c>
      <c r="C4742" t="s">
        <v>1</v>
      </c>
      <c r="D4742" s="2">
        <v>1</v>
      </c>
      <c r="E4742" s="11" t="s">
        <v>770</v>
      </c>
      <c r="F4742" t="s">
        <v>55</v>
      </c>
      <c r="G4742" s="2" t="s">
        <v>31</v>
      </c>
      <c r="H4742" s="1">
        <v>89.994000000000014</v>
      </c>
    </row>
    <row r="4743" spans="1:8" x14ac:dyDescent="0.3">
      <c r="A4743" s="2">
        <v>763</v>
      </c>
      <c r="B4743" t="s">
        <v>1302</v>
      </c>
      <c r="C4743" t="s">
        <v>1</v>
      </c>
      <c r="D4743" s="2">
        <v>2</v>
      </c>
      <c r="E4743" s="11" t="s">
        <v>770</v>
      </c>
      <c r="F4743" t="s">
        <v>55</v>
      </c>
      <c r="G4743" s="2" t="s">
        <v>23</v>
      </c>
      <c r="H4743" s="1">
        <v>89.994000000000014</v>
      </c>
    </row>
    <row r="4744" spans="1:8" x14ac:dyDescent="0.3">
      <c r="A4744" s="2">
        <v>763</v>
      </c>
      <c r="B4744" t="s">
        <v>1324</v>
      </c>
      <c r="C4744" t="s">
        <v>1</v>
      </c>
      <c r="D4744" s="2">
        <v>1</v>
      </c>
      <c r="E4744" s="11" t="s">
        <v>53</v>
      </c>
      <c r="F4744" t="s">
        <v>114</v>
      </c>
      <c r="G4744" s="2" t="s">
        <v>31</v>
      </c>
      <c r="H4744" s="1">
        <v>36.994</v>
      </c>
    </row>
    <row r="4745" spans="1:8" x14ac:dyDescent="0.3">
      <c r="A4745" s="2">
        <v>763</v>
      </c>
      <c r="B4745" t="s">
        <v>1323</v>
      </c>
      <c r="C4745" t="s">
        <v>1</v>
      </c>
      <c r="D4745" s="2">
        <v>1</v>
      </c>
      <c r="E4745" s="11" t="s">
        <v>53</v>
      </c>
      <c r="F4745" t="s">
        <v>114</v>
      </c>
      <c r="G4745" s="2" t="s">
        <v>23</v>
      </c>
      <c r="H4745" s="1">
        <v>36.994</v>
      </c>
    </row>
    <row r="4746" spans="1:8" x14ac:dyDescent="0.3">
      <c r="A4746" s="2">
        <v>763</v>
      </c>
      <c r="B4746" t="s">
        <v>1322</v>
      </c>
      <c r="C4746" t="s">
        <v>1</v>
      </c>
      <c r="D4746" s="2">
        <v>1</v>
      </c>
      <c r="E4746" s="11" t="s">
        <v>740</v>
      </c>
      <c r="F4746" t="s">
        <v>114</v>
      </c>
      <c r="G4746" s="2" t="s">
        <v>4</v>
      </c>
      <c r="H4746" s="1">
        <v>52.893999999999998</v>
      </c>
    </row>
    <row r="4747" spans="1:8" x14ac:dyDescent="0.3">
      <c r="A4747" s="2">
        <v>763</v>
      </c>
      <c r="B4747" t="s">
        <v>1321</v>
      </c>
      <c r="C4747" t="s">
        <v>1</v>
      </c>
      <c r="D4747" s="2">
        <v>1</v>
      </c>
      <c r="E4747" s="11" t="s">
        <v>740</v>
      </c>
      <c r="F4747" t="s">
        <v>114</v>
      </c>
      <c r="G4747" s="2" t="s">
        <v>31</v>
      </c>
      <c r="H4747" s="1">
        <v>52.893999999999998</v>
      </c>
    </row>
    <row r="4748" spans="1:8" x14ac:dyDescent="0.3">
      <c r="A4748" s="2">
        <v>763</v>
      </c>
      <c r="B4748" t="s">
        <v>1320</v>
      </c>
      <c r="C4748" t="s">
        <v>1</v>
      </c>
      <c r="D4748" s="2">
        <v>2</v>
      </c>
      <c r="E4748" s="11" t="s">
        <v>740</v>
      </c>
      <c r="F4748" t="s">
        <v>114</v>
      </c>
      <c r="G4748" s="2" t="s">
        <v>23</v>
      </c>
      <c r="H4748" s="1">
        <v>52.893999999999998</v>
      </c>
    </row>
    <row r="4749" spans="1:8" x14ac:dyDescent="0.3">
      <c r="A4749" s="2">
        <v>763</v>
      </c>
      <c r="B4749" t="s">
        <v>771</v>
      </c>
      <c r="C4749" t="s">
        <v>1</v>
      </c>
      <c r="D4749" s="2">
        <v>1</v>
      </c>
      <c r="E4749" s="11" t="s">
        <v>770</v>
      </c>
      <c r="F4749" t="s">
        <v>114</v>
      </c>
      <c r="G4749" s="2" t="s">
        <v>4</v>
      </c>
      <c r="H4749" s="1">
        <v>89.994000000000014</v>
      </c>
    </row>
    <row r="4750" spans="1:8" x14ac:dyDescent="0.3">
      <c r="A4750" s="2">
        <v>763</v>
      </c>
      <c r="B4750" t="s">
        <v>1319</v>
      </c>
      <c r="C4750" t="s">
        <v>1</v>
      </c>
      <c r="D4750" s="2">
        <v>1</v>
      </c>
      <c r="E4750" s="11" t="s">
        <v>770</v>
      </c>
      <c r="F4750" t="s">
        <v>114</v>
      </c>
      <c r="G4750" s="2" t="s">
        <v>31</v>
      </c>
      <c r="H4750" s="1">
        <v>89.994000000000014</v>
      </c>
    </row>
    <row r="4751" spans="1:8" x14ac:dyDescent="0.3">
      <c r="A4751" s="2">
        <v>763</v>
      </c>
      <c r="B4751" t="s">
        <v>1318</v>
      </c>
      <c r="C4751" t="s">
        <v>1</v>
      </c>
      <c r="D4751" s="2">
        <v>2</v>
      </c>
      <c r="E4751" s="11" t="s">
        <v>770</v>
      </c>
      <c r="F4751" t="s">
        <v>114</v>
      </c>
      <c r="G4751" s="2" t="s">
        <v>23</v>
      </c>
      <c r="H4751" s="1">
        <v>89.994000000000014</v>
      </c>
    </row>
    <row r="4752" spans="1:8" x14ac:dyDescent="0.3">
      <c r="A4752" s="2">
        <v>763</v>
      </c>
      <c r="B4752" t="s">
        <v>54</v>
      </c>
      <c r="C4752" t="s">
        <v>1</v>
      </c>
      <c r="D4752" s="2">
        <v>2</v>
      </c>
      <c r="E4752" s="11" t="s">
        <v>53</v>
      </c>
      <c r="F4752" t="s">
        <v>47</v>
      </c>
      <c r="G4752" s="2" t="s">
        <v>4</v>
      </c>
      <c r="H4752" s="1">
        <v>36.994</v>
      </c>
    </row>
    <row r="4753" spans="1:8" x14ac:dyDescent="0.3">
      <c r="A4753" s="2">
        <v>763</v>
      </c>
      <c r="B4753" t="s">
        <v>1317</v>
      </c>
      <c r="C4753" t="s">
        <v>2</v>
      </c>
      <c r="D4753" s="2">
        <v>1</v>
      </c>
      <c r="E4753" s="11" t="s">
        <v>733</v>
      </c>
      <c r="F4753" t="s">
        <v>47</v>
      </c>
      <c r="G4753" s="2" t="s">
        <v>4</v>
      </c>
      <c r="H4753" s="1">
        <v>132.39400000000001</v>
      </c>
    </row>
    <row r="4754" spans="1:8" x14ac:dyDescent="0.3">
      <c r="A4754" s="2">
        <v>763</v>
      </c>
      <c r="B4754" t="s">
        <v>735</v>
      </c>
      <c r="C4754" t="s">
        <v>2</v>
      </c>
      <c r="D4754" s="2">
        <v>1</v>
      </c>
      <c r="E4754" s="11" t="s">
        <v>733</v>
      </c>
      <c r="F4754" t="s">
        <v>47</v>
      </c>
      <c r="G4754" s="2" t="s">
        <v>31</v>
      </c>
      <c r="H4754" s="1">
        <v>132.39400000000001</v>
      </c>
    </row>
    <row r="4755" spans="1:8" x14ac:dyDescent="0.3">
      <c r="A4755" s="2">
        <v>763</v>
      </c>
      <c r="B4755" t="s">
        <v>734</v>
      </c>
      <c r="C4755" t="s">
        <v>2</v>
      </c>
      <c r="D4755" s="2">
        <v>1</v>
      </c>
      <c r="E4755" s="11" t="s">
        <v>733</v>
      </c>
      <c r="F4755" t="s">
        <v>47</v>
      </c>
      <c r="G4755" s="2" t="s">
        <v>23</v>
      </c>
      <c r="H4755" s="1">
        <v>132.39400000000001</v>
      </c>
    </row>
    <row r="4756" spans="1:8" x14ac:dyDescent="0.3">
      <c r="A4756" s="2">
        <v>763</v>
      </c>
      <c r="B4756" t="s">
        <v>1136</v>
      </c>
      <c r="C4756" t="s">
        <v>1</v>
      </c>
      <c r="D4756" s="2">
        <v>1</v>
      </c>
      <c r="E4756" s="11" t="s">
        <v>53</v>
      </c>
      <c r="F4756" t="s">
        <v>36</v>
      </c>
      <c r="G4756" s="2" t="s">
        <v>31</v>
      </c>
      <c r="H4756" s="1">
        <v>36.994</v>
      </c>
    </row>
    <row r="4757" spans="1:8" x14ac:dyDescent="0.3">
      <c r="A4757" s="2">
        <v>763</v>
      </c>
      <c r="B4757" t="s">
        <v>1291</v>
      </c>
      <c r="C4757" t="s">
        <v>3220</v>
      </c>
      <c r="D4757" s="2">
        <v>1</v>
      </c>
      <c r="E4757" s="11" t="s">
        <v>174</v>
      </c>
      <c r="F4757" t="s">
        <v>36</v>
      </c>
      <c r="G4757" s="2" t="s">
        <v>31</v>
      </c>
      <c r="H4757" s="1">
        <v>74.094000000000008</v>
      </c>
    </row>
    <row r="4758" spans="1:8" x14ac:dyDescent="0.3">
      <c r="A4758" s="2">
        <v>763</v>
      </c>
      <c r="B4758" t="s">
        <v>1263</v>
      </c>
      <c r="C4758" t="s">
        <v>3220</v>
      </c>
      <c r="D4758" s="2">
        <v>1</v>
      </c>
      <c r="E4758" s="11" t="s">
        <v>174</v>
      </c>
      <c r="F4758" t="s">
        <v>36</v>
      </c>
      <c r="G4758" s="2" t="s">
        <v>23</v>
      </c>
      <c r="H4758" s="1">
        <v>74.094000000000008</v>
      </c>
    </row>
    <row r="4759" spans="1:8" x14ac:dyDescent="0.3">
      <c r="A4759" s="2">
        <v>763</v>
      </c>
      <c r="B4759" t="s">
        <v>705</v>
      </c>
      <c r="C4759" t="s">
        <v>3220</v>
      </c>
      <c r="D4759" s="2">
        <v>1</v>
      </c>
      <c r="E4759" s="11" t="s">
        <v>174</v>
      </c>
      <c r="F4759" t="s">
        <v>28</v>
      </c>
      <c r="G4759" s="2" t="s">
        <v>31</v>
      </c>
      <c r="H4759" s="1">
        <v>74.094000000000008</v>
      </c>
    </row>
    <row r="4760" spans="1:8" x14ac:dyDescent="0.3">
      <c r="A4760" s="2">
        <v>763</v>
      </c>
      <c r="B4760" t="s">
        <v>376</v>
      </c>
      <c r="C4760" t="s">
        <v>3220</v>
      </c>
      <c r="D4760" s="2">
        <v>1</v>
      </c>
      <c r="E4760" s="11" t="s">
        <v>174</v>
      </c>
      <c r="F4760" t="s">
        <v>28</v>
      </c>
      <c r="G4760" s="2" t="s">
        <v>23</v>
      </c>
      <c r="H4760" s="1">
        <v>74.094000000000008</v>
      </c>
    </row>
    <row r="4761" spans="1:8" x14ac:dyDescent="0.3">
      <c r="A4761" s="2">
        <v>763</v>
      </c>
      <c r="B4761" t="s">
        <v>1316</v>
      </c>
      <c r="C4761" t="s">
        <v>1</v>
      </c>
      <c r="D4761" s="2">
        <v>1</v>
      </c>
      <c r="E4761" s="11" t="s">
        <v>740</v>
      </c>
      <c r="F4761" t="s">
        <v>28</v>
      </c>
      <c r="G4761" s="2" t="s">
        <v>4</v>
      </c>
      <c r="H4761" s="1">
        <v>52.893999999999998</v>
      </c>
    </row>
    <row r="4762" spans="1:8" x14ac:dyDescent="0.3">
      <c r="A4762" s="2">
        <v>763</v>
      </c>
      <c r="B4762" t="s">
        <v>1131</v>
      </c>
      <c r="C4762" t="s">
        <v>1</v>
      </c>
      <c r="D4762" s="2">
        <v>1</v>
      </c>
      <c r="E4762" s="11" t="s">
        <v>740</v>
      </c>
      <c r="F4762" t="s">
        <v>28</v>
      </c>
      <c r="G4762" s="2" t="s">
        <v>31</v>
      </c>
      <c r="H4762" s="1">
        <v>52.893999999999998</v>
      </c>
    </row>
    <row r="4763" spans="1:8" x14ac:dyDescent="0.3">
      <c r="A4763" s="2">
        <v>763</v>
      </c>
      <c r="B4763" t="s">
        <v>1315</v>
      </c>
      <c r="C4763" t="s">
        <v>1</v>
      </c>
      <c r="D4763" s="2">
        <v>2</v>
      </c>
      <c r="E4763" s="11" t="s">
        <v>740</v>
      </c>
      <c r="F4763" t="s">
        <v>28</v>
      </c>
      <c r="G4763" s="2" t="s">
        <v>23</v>
      </c>
      <c r="H4763" s="1">
        <v>52.893999999999998</v>
      </c>
    </row>
    <row r="4764" spans="1:8" x14ac:dyDescent="0.3">
      <c r="A4764" s="2">
        <v>764</v>
      </c>
      <c r="B4764" t="s">
        <v>1314</v>
      </c>
      <c r="C4764" t="s">
        <v>3225</v>
      </c>
      <c r="D4764" s="2">
        <v>4</v>
      </c>
      <c r="E4764" s="11" t="s">
        <v>886</v>
      </c>
      <c r="F4764" t="s">
        <v>55</v>
      </c>
      <c r="G4764" s="2" t="s">
        <v>23</v>
      </c>
      <c r="H4764" s="1">
        <v>174.79400000000001</v>
      </c>
    </row>
    <row r="4765" spans="1:8" x14ac:dyDescent="0.3">
      <c r="A4765" s="2">
        <v>764</v>
      </c>
      <c r="B4765" t="s">
        <v>371</v>
      </c>
      <c r="C4765" t="s">
        <v>3220</v>
      </c>
      <c r="D4765" s="2">
        <v>4</v>
      </c>
      <c r="E4765" s="11" t="s">
        <v>140</v>
      </c>
      <c r="F4765" t="s">
        <v>28</v>
      </c>
      <c r="G4765" s="2" t="s">
        <v>4</v>
      </c>
      <c r="H4765" s="1">
        <v>42.294000000000004</v>
      </c>
    </row>
    <row r="4766" spans="1:8" x14ac:dyDescent="0.3">
      <c r="A4766" s="2">
        <v>764</v>
      </c>
      <c r="B4766" t="s">
        <v>818</v>
      </c>
      <c r="C4766" t="s">
        <v>3220</v>
      </c>
      <c r="D4766" s="2">
        <v>4</v>
      </c>
      <c r="E4766" s="11" t="s">
        <v>140</v>
      </c>
      <c r="F4766" t="s">
        <v>28</v>
      </c>
      <c r="G4766" s="2" t="s">
        <v>31</v>
      </c>
      <c r="H4766" s="1">
        <v>42.294000000000004</v>
      </c>
    </row>
    <row r="4767" spans="1:8" x14ac:dyDescent="0.3">
      <c r="A4767" s="2">
        <v>765</v>
      </c>
      <c r="B4767" t="s">
        <v>1313</v>
      </c>
      <c r="C4767" t="s">
        <v>1</v>
      </c>
      <c r="D4767" s="2">
        <v>1</v>
      </c>
      <c r="E4767" s="11" t="s">
        <v>385</v>
      </c>
      <c r="F4767" t="s">
        <v>65</v>
      </c>
      <c r="G4767" s="2" t="s">
        <v>203</v>
      </c>
      <c r="H4767" s="1">
        <v>79.394000000000005</v>
      </c>
    </row>
    <row r="4768" spans="1:8" x14ac:dyDescent="0.3">
      <c r="A4768" s="2">
        <v>765</v>
      </c>
      <c r="B4768" t="s">
        <v>401</v>
      </c>
      <c r="C4768" t="s">
        <v>1</v>
      </c>
      <c r="D4768" s="2">
        <v>1</v>
      </c>
      <c r="E4768" s="11" t="s">
        <v>385</v>
      </c>
      <c r="F4768" t="s">
        <v>65</v>
      </c>
      <c r="G4768" s="2" t="s">
        <v>31</v>
      </c>
      <c r="H4768" s="1">
        <v>79.394000000000005</v>
      </c>
    </row>
    <row r="4769" spans="1:8" x14ac:dyDescent="0.3">
      <c r="A4769" s="2">
        <v>765</v>
      </c>
      <c r="B4769" t="s">
        <v>1203</v>
      </c>
      <c r="C4769" t="s">
        <v>1</v>
      </c>
      <c r="D4769" s="2">
        <v>1</v>
      </c>
      <c r="E4769" s="11" t="s">
        <v>281</v>
      </c>
      <c r="F4769" t="s">
        <v>65</v>
      </c>
      <c r="G4769" s="2" t="s">
        <v>203</v>
      </c>
      <c r="H4769" s="1">
        <v>58.194000000000003</v>
      </c>
    </row>
    <row r="4770" spans="1:8" x14ac:dyDescent="0.3">
      <c r="A4770" s="2">
        <v>765</v>
      </c>
      <c r="B4770" t="s">
        <v>729</v>
      </c>
      <c r="C4770" t="s">
        <v>1</v>
      </c>
      <c r="D4770" s="2">
        <v>1</v>
      </c>
      <c r="E4770" s="11" t="s">
        <v>281</v>
      </c>
      <c r="F4770" t="s">
        <v>65</v>
      </c>
      <c r="G4770" s="2" t="s">
        <v>31</v>
      </c>
      <c r="H4770" s="1">
        <v>58.194000000000003</v>
      </c>
    </row>
    <row r="4771" spans="1:8" x14ac:dyDescent="0.3">
      <c r="A4771" s="2">
        <v>765</v>
      </c>
      <c r="B4771" t="s">
        <v>726</v>
      </c>
      <c r="C4771" t="s">
        <v>1</v>
      </c>
      <c r="D4771" s="2">
        <v>1</v>
      </c>
      <c r="E4771" s="11" t="s">
        <v>281</v>
      </c>
      <c r="F4771" t="s">
        <v>65</v>
      </c>
      <c r="G4771" s="2" t="s">
        <v>4</v>
      </c>
      <c r="H4771" s="1">
        <v>58.194000000000003</v>
      </c>
    </row>
    <row r="4772" spans="1:8" x14ac:dyDescent="0.3">
      <c r="A4772" s="2">
        <v>765</v>
      </c>
      <c r="B4772" t="s">
        <v>729</v>
      </c>
      <c r="C4772" t="s">
        <v>1</v>
      </c>
      <c r="D4772" s="2">
        <v>1</v>
      </c>
      <c r="E4772" s="11" t="s">
        <v>281</v>
      </c>
      <c r="F4772" t="s">
        <v>65</v>
      </c>
      <c r="G4772" s="2" t="s">
        <v>31</v>
      </c>
      <c r="H4772" s="1">
        <v>58.194000000000003</v>
      </c>
    </row>
    <row r="4773" spans="1:8" x14ac:dyDescent="0.3">
      <c r="A4773" s="2">
        <v>765</v>
      </c>
      <c r="B4773" t="s">
        <v>1198</v>
      </c>
      <c r="C4773" t="s">
        <v>1</v>
      </c>
      <c r="D4773" s="2">
        <v>1</v>
      </c>
      <c r="E4773" s="11" t="s">
        <v>281</v>
      </c>
      <c r="F4773" t="s">
        <v>241</v>
      </c>
      <c r="G4773" s="2" t="s">
        <v>203</v>
      </c>
      <c r="H4773" s="1">
        <v>58.194000000000003</v>
      </c>
    </row>
    <row r="4774" spans="1:8" x14ac:dyDescent="0.3">
      <c r="A4774" s="2">
        <v>765</v>
      </c>
      <c r="B4774" t="s">
        <v>1312</v>
      </c>
      <c r="C4774" t="s">
        <v>3261</v>
      </c>
      <c r="D4774" s="2">
        <v>1</v>
      </c>
      <c r="E4774" s="11" t="s">
        <v>1225</v>
      </c>
      <c r="F4774" t="s">
        <v>114</v>
      </c>
      <c r="G4774" s="2" t="s">
        <v>31</v>
      </c>
      <c r="H4774" s="1">
        <v>52.893999999999998</v>
      </c>
    </row>
    <row r="4775" spans="1:8" x14ac:dyDescent="0.3">
      <c r="A4775" s="2">
        <v>765</v>
      </c>
      <c r="B4775" t="s">
        <v>1311</v>
      </c>
      <c r="C4775" t="s">
        <v>1</v>
      </c>
      <c r="D4775" s="2">
        <v>1</v>
      </c>
      <c r="E4775" s="11" t="s">
        <v>281</v>
      </c>
      <c r="F4775" t="s">
        <v>114</v>
      </c>
      <c r="G4775" s="2" t="s">
        <v>4</v>
      </c>
      <c r="H4775" s="1">
        <v>58.194000000000003</v>
      </c>
    </row>
    <row r="4776" spans="1:8" x14ac:dyDescent="0.3">
      <c r="A4776" s="2">
        <v>765</v>
      </c>
      <c r="B4776" t="s">
        <v>1310</v>
      </c>
      <c r="C4776" t="s">
        <v>1</v>
      </c>
      <c r="D4776" s="2">
        <v>2</v>
      </c>
      <c r="E4776" s="11" t="s">
        <v>281</v>
      </c>
      <c r="F4776" t="s">
        <v>114</v>
      </c>
      <c r="G4776" s="2" t="s">
        <v>31</v>
      </c>
      <c r="H4776" s="1">
        <v>58.194000000000003</v>
      </c>
    </row>
    <row r="4777" spans="1:8" x14ac:dyDescent="0.3">
      <c r="A4777" s="2">
        <v>765</v>
      </c>
      <c r="B4777" t="s">
        <v>557</v>
      </c>
      <c r="C4777" t="s">
        <v>1</v>
      </c>
      <c r="D4777" s="2">
        <v>1</v>
      </c>
      <c r="E4777" s="11" t="s">
        <v>385</v>
      </c>
      <c r="F4777" t="s">
        <v>78</v>
      </c>
      <c r="G4777" s="2" t="s">
        <v>4</v>
      </c>
      <c r="H4777" s="1">
        <v>79.394000000000005</v>
      </c>
    </row>
    <row r="4778" spans="1:8" x14ac:dyDescent="0.3">
      <c r="A4778" s="2">
        <v>765</v>
      </c>
      <c r="B4778" t="s">
        <v>1309</v>
      </c>
      <c r="C4778" t="s">
        <v>1</v>
      </c>
      <c r="D4778" s="2">
        <v>1</v>
      </c>
      <c r="E4778" s="11" t="s">
        <v>281</v>
      </c>
      <c r="F4778" t="s">
        <v>276</v>
      </c>
      <c r="G4778" s="2" t="s">
        <v>4</v>
      </c>
      <c r="H4778" s="1">
        <v>58.194000000000003</v>
      </c>
    </row>
    <row r="4779" spans="1:8" x14ac:dyDescent="0.3">
      <c r="A4779" s="2">
        <v>765</v>
      </c>
      <c r="B4779" t="s">
        <v>1190</v>
      </c>
      <c r="C4779" t="s">
        <v>1</v>
      </c>
      <c r="D4779" s="2">
        <v>1</v>
      </c>
      <c r="E4779" s="11" t="s">
        <v>281</v>
      </c>
      <c r="F4779" t="s">
        <v>47</v>
      </c>
      <c r="G4779" s="2" t="s">
        <v>203</v>
      </c>
      <c r="H4779" s="1">
        <v>58.194000000000003</v>
      </c>
    </row>
    <row r="4780" spans="1:8" x14ac:dyDescent="0.3">
      <c r="A4780" s="2">
        <v>765</v>
      </c>
      <c r="B4780" t="s">
        <v>1237</v>
      </c>
      <c r="C4780" t="s">
        <v>1</v>
      </c>
      <c r="D4780" s="2">
        <v>2</v>
      </c>
      <c r="E4780" s="11" t="s">
        <v>281</v>
      </c>
      <c r="F4780" t="s">
        <v>47</v>
      </c>
      <c r="G4780" s="2" t="s">
        <v>31</v>
      </c>
      <c r="H4780" s="1">
        <v>58.194000000000003</v>
      </c>
    </row>
    <row r="4781" spans="1:8" x14ac:dyDescent="0.3">
      <c r="A4781" s="2">
        <v>765</v>
      </c>
      <c r="B4781" t="s">
        <v>1308</v>
      </c>
      <c r="C4781" t="s">
        <v>1</v>
      </c>
      <c r="D4781" s="2">
        <v>1</v>
      </c>
      <c r="E4781" s="11" t="s">
        <v>281</v>
      </c>
      <c r="F4781" t="s">
        <v>39</v>
      </c>
      <c r="G4781" s="2" t="s">
        <v>31</v>
      </c>
      <c r="H4781" s="1">
        <v>58.194000000000003</v>
      </c>
    </row>
    <row r="4782" spans="1:8" x14ac:dyDescent="0.3">
      <c r="A4782" s="2">
        <v>765</v>
      </c>
      <c r="B4782" t="s">
        <v>284</v>
      </c>
      <c r="C4782" t="s">
        <v>1</v>
      </c>
      <c r="D4782" s="2">
        <v>1</v>
      </c>
      <c r="E4782" s="11" t="s">
        <v>281</v>
      </c>
      <c r="F4782" t="s">
        <v>39</v>
      </c>
      <c r="G4782" s="2" t="s">
        <v>203</v>
      </c>
      <c r="H4782" s="1">
        <v>58.194000000000003</v>
      </c>
    </row>
    <row r="4783" spans="1:8" x14ac:dyDescent="0.3">
      <c r="A4783" s="2">
        <v>765</v>
      </c>
      <c r="B4783" t="s">
        <v>1120</v>
      </c>
      <c r="C4783" t="s">
        <v>1</v>
      </c>
      <c r="D4783" s="2">
        <v>1</v>
      </c>
      <c r="E4783" s="11" t="s">
        <v>281</v>
      </c>
      <c r="F4783" t="s">
        <v>36</v>
      </c>
      <c r="G4783" s="2" t="s">
        <v>31</v>
      </c>
      <c r="H4783" s="1">
        <v>58.194000000000003</v>
      </c>
    </row>
    <row r="4784" spans="1:8" x14ac:dyDescent="0.3">
      <c r="A4784" s="2">
        <v>765</v>
      </c>
      <c r="B4784" t="s">
        <v>1183</v>
      </c>
      <c r="C4784" t="s">
        <v>1</v>
      </c>
      <c r="D4784" s="2">
        <v>1</v>
      </c>
      <c r="E4784" s="11" t="s">
        <v>281</v>
      </c>
      <c r="F4784" t="s">
        <v>28</v>
      </c>
      <c r="G4784" s="2" t="s">
        <v>203</v>
      </c>
      <c r="H4784" s="1">
        <v>58.194000000000003</v>
      </c>
    </row>
    <row r="4785" spans="1:8" x14ac:dyDescent="0.3">
      <c r="A4785" s="2">
        <v>766</v>
      </c>
      <c r="B4785" t="s">
        <v>1001</v>
      </c>
      <c r="C4785" t="s">
        <v>1</v>
      </c>
      <c r="D4785" s="2">
        <v>1</v>
      </c>
      <c r="E4785" s="11" t="s">
        <v>53</v>
      </c>
      <c r="F4785" t="s">
        <v>55</v>
      </c>
      <c r="G4785" s="2" t="s">
        <v>31</v>
      </c>
      <c r="H4785" s="1">
        <v>36.994</v>
      </c>
    </row>
    <row r="4786" spans="1:8" x14ac:dyDescent="0.3">
      <c r="A4786" s="2">
        <v>766</v>
      </c>
      <c r="B4786" t="s">
        <v>1307</v>
      </c>
      <c r="C4786" t="s">
        <v>1</v>
      </c>
      <c r="D4786" s="2">
        <v>1</v>
      </c>
      <c r="E4786" s="11" t="s">
        <v>770</v>
      </c>
      <c r="F4786" t="s">
        <v>65</v>
      </c>
      <c r="G4786" s="2" t="s">
        <v>23</v>
      </c>
      <c r="H4786" s="1">
        <v>89.994000000000014</v>
      </c>
    </row>
    <row r="4787" spans="1:8" x14ac:dyDescent="0.3">
      <c r="A4787" s="2">
        <v>766</v>
      </c>
      <c r="B4787" t="s">
        <v>1306</v>
      </c>
      <c r="C4787" t="s">
        <v>2</v>
      </c>
      <c r="D4787" s="2">
        <v>1</v>
      </c>
      <c r="E4787" s="11" t="s">
        <v>1300</v>
      </c>
      <c r="F4787" t="s">
        <v>65</v>
      </c>
      <c r="G4787" s="2" t="s">
        <v>23</v>
      </c>
      <c r="H4787" s="1">
        <v>89.994000000000014</v>
      </c>
    </row>
    <row r="4788" spans="1:8" x14ac:dyDescent="0.3">
      <c r="A4788" s="2">
        <v>766</v>
      </c>
      <c r="B4788" t="s">
        <v>1305</v>
      </c>
      <c r="C4788" t="s">
        <v>0</v>
      </c>
      <c r="D4788" s="2">
        <v>2</v>
      </c>
      <c r="E4788" s="11" t="s">
        <v>1304</v>
      </c>
      <c r="F4788" t="s">
        <v>114</v>
      </c>
      <c r="G4788" s="2" t="s">
        <v>4</v>
      </c>
      <c r="H4788" s="1">
        <v>212.89400000000001</v>
      </c>
    </row>
    <row r="4789" spans="1:8" x14ac:dyDescent="0.3">
      <c r="A4789" s="2">
        <v>766</v>
      </c>
      <c r="B4789" t="s">
        <v>1272</v>
      </c>
      <c r="C4789" t="s">
        <v>1</v>
      </c>
      <c r="D4789" s="2">
        <v>1</v>
      </c>
      <c r="E4789" s="11" t="s">
        <v>53</v>
      </c>
      <c r="F4789" t="s">
        <v>28</v>
      </c>
      <c r="G4789" s="2" t="s">
        <v>31</v>
      </c>
      <c r="H4789" s="1">
        <v>36.994</v>
      </c>
    </row>
    <row r="4790" spans="1:8" x14ac:dyDescent="0.3">
      <c r="A4790" s="2">
        <v>766</v>
      </c>
      <c r="B4790" t="s">
        <v>1303</v>
      </c>
      <c r="C4790" t="s">
        <v>1</v>
      </c>
      <c r="D4790" s="2">
        <v>1</v>
      </c>
      <c r="E4790" s="11" t="s">
        <v>770</v>
      </c>
      <c r="F4790" t="s">
        <v>55</v>
      </c>
      <c r="G4790" s="2" t="s">
        <v>4</v>
      </c>
      <c r="H4790" s="1">
        <v>89.994000000000014</v>
      </c>
    </row>
    <row r="4791" spans="1:8" x14ac:dyDescent="0.3">
      <c r="A4791" s="2">
        <v>766</v>
      </c>
      <c r="B4791" t="s">
        <v>1302</v>
      </c>
      <c r="C4791" t="s">
        <v>1</v>
      </c>
      <c r="D4791" s="2">
        <v>1</v>
      </c>
      <c r="E4791" s="11" t="s">
        <v>770</v>
      </c>
      <c r="F4791" t="s">
        <v>55</v>
      </c>
      <c r="G4791" s="2" t="s">
        <v>23</v>
      </c>
      <c r="H4791" s="1">
        <v>89.994000000000014</v>
      </c>
    </row>
    <row r="4792" spans="1:8" x14ac:dyDescent="0.3">
      <c r="A4792" s="2">
        <v>766</v>
      </c>
      <c r="B4792" t="s">
        <v>1301</v>
      </c>
      <c r="C4792" t="s">
        <v>2</v>
      </c>
      <c r="D4792" s="2">
        <v>1</v>
      </c>
      <c r="E4792" s="11" t="s">
        <v>1300</v>
      </c>
      <c r="F4792" t="s">
        <v>55</v>
      </c>
      <c r="G4792" s="2" t="s">
        <v>23</v>
      </c>
      <c r="H4792" s="1">
        <v>89.994000000000014</v>
      </c>
    </row>
    <row r="4793" spans="1:8" x14ac:dyDescent="0.3">
      <c r="A4793" s="2">
        <v>766</v>
      </c>
      <c r="B4793" t="s">
        <v>1299</v>
      </c>
      <c r="C4793" t="s">
        <v>3233</v>
      </c>
      <c r="D4793" s="2">
        <v>2</v>
      </c>
      <c r="E4793" s="11" t="s">
        <v>763</v>
      </c>
      <c r="F4793" t="s">
        <v>114</v>
      </c>
      <c r="G4793" s="2" t="s">
        <v>31</v>
      </c>
      <c r="H4793" s="1">
        <v>89.994000000000014</v>
      </c>
    </row>
    <row r="4794" spans="1:8" x14ac:dyDescent="0.3">
      <c r="A4794" s="2">
        <v>766</v>
      </c>
      <c r="B4794" t="s">
        <v>1298</v>
      </c>
      <c r="C4794" t="s">
        <v>3233</v>
      </c>
      <c r="D4794" s="2">
        <v>1</v>
      </c>
      <c r="E4794" s="11" t="s">
        <v>763</v>
      </c>
      <c r="F4794" t="s">
        <v>39</v>
      </c>
      <c r="G4794" s="2" t="s">
        <v>23</v>
      </c>
      <c r="H4794" s="1">
        <v>89.994000000000014</v>
      </c>
    </row>
    <row r="4795" spans="1:8" x14ac:dyDescent="0.3">
      <c r="A4795" s="2">
        <v>766</v>
      </c>
      <c r="B4795" t="s">
        <v>1047</v>
      </c>
      <c r="C4795" t="s">
        <v>1</v>
      </c>
      <c r="D4795" s="2">
        <v>1</v>
      </c>
      <c r="E4795" s="11" t="s">
        <v>222</v>
      </c>
      <c r="F4795" t="s">
        <v>24</v>
      </c>
      <c r="G4795" s="2" t="s">
        <v>31</v>
      </c>
      <c r="H4795" s="1">
        <v>52.893999999999998</v>
      </c>
    </row>
    <row r="4796" spans="1:8" x14ac:dyDescent="0.3">
      <c r="A4796" s="2">
        <v>767</v>
      </c>
      <c r="B4796" t="s">
        <v>964</v>
      </c>
      <c r="C4796" t="s">
        <v>2</v>
      </c>
      <c r="D4796" s="2">
        <v>1</v>
      </c>
      <c r="E4796" s="11" t="s">
        <v>780</v>
      </c>
      <c r="F4796" t="s">
        <v>254</v>
      </c>
      <c r="G4796" s="2" t="s">
        <v>31</v>
      </c>
      <c r="H4796" s="1">
        <v>116.49400000000001</v>
      </c>
    </row>
    <row r="4797" spans="1:8" x14ac:dyDescent="0.3">
      <c r="A4797" s="2">
        <v>767</v>
      </c>
      <c r="B4797" t="s">
        <v>1297</v>
      </c>
      <c r="C4797" t="s">
        <v>3221</v>
      </c>
      <c r="D4797" s="2">
        <v>1</v>
      </c>
      <c r="E4797" s="11" t="s">
        <v>383</v>
      </c>
      <c r="F4797" t="s">
        <v>114</v>
      </c>
      <c r="G4797" s="2" t="s">
        <v>4</v>
      </c>
      <c r="H4797" s="1">
        <v>164.19400000000002</v>
      </c>
    </row>
    <row r="4798" spans="1:8" x14ac:dyDescent="0.3">
      <c r="A4798" s="2">
        <v>767</v>
      </c>
      <c r="B4798" t="s">
        <v>1296</v>
      </c>
      <c r="C4798" t="s">
        <v>3</v>
      </c>
      <c r="D4798" s="2">
        <v>1</v>
      </c>
      <c r="E4798" s="11" t="s">
        <v>215</v>
      </c>
      <c r="F4798" t="s">
        <v>47</v>
      </c>
      <c r="G4798" s="2" t="s">
        <v>23</v>
      </c>
      <c r="H4798" s="1">
        <v>111.19400000000002</v>
      </c>
    </row>
    <row r="4799" spans="1:8" x14ac:dyDescent="0.3">
      <c r="A4799" s="2">
        <v>767</v>
      </c>
      <c r="B4799" t="s">
        <v>1295</v>
      </c>
      <c r="C4799" t="s">
        <v>3224</v>
      </c>
      <c r="D4799" s="2">
        <v>1</v>
      </c>
      <c r="E4799" s="11" t="s">
        <v>970</v>
      </c>
      <c r="F4799" t="s">
        <v>47</v>
      </c>
      <c r="G4799" s="2" t="s">
        <v>31</v>
      </c>
      <c r="H4799" s="1">
        <v>100.59400000000001</v>
      </c>
    </row>
    <row r="4800" spans="1:8" x14ac:dyDescent="0.3">
      <c r="A4800" s="2">
        <v>767</v>
      </c>
      <c r="B4800" t="s">
        <v>1294</v>
      </c>
      <c r="C4800" t="s">
        <v>3224</v>
      </c>
      <c r="D4800" s="2">
        <v>2</v>
      </c>
      <c r="E4800" s="11" t="s">
        <v>970</v>
      </c>
      <c r="F4800" t="s">
        <v>47</v>
      </c>
      <c r="G4800" s="2" t="s">
        <v>23</v>
      </c>
      <c r="H4800" s="1">
        <v>100.59400000000001</v>
      </c>
    </row>
    <row r="4801" spans="1:8" x14ac:dyDescent="0.3">
      <c r="A4801" s="2">
        <v>767</v>
      </c>
      <c r="B4801" t="s">
        <v>774</v>
      </c>
      <c r="C4801" t="s">
        <v>3</v>
      </c>
      <c r="D4801" s="2">
        <v>1</v>
      </c>
      <c r="E4801" s="11" t="s">
        <v>180</v>
      </c>
      <c r="F4801" t="s">
        <v>47</v>
      </c>
      <c r="G4801" s="2" t="s">
        <v>31</v>
      </c>
      <c r="H4801" s="1">
        <v>105.89400000000001</v>
      </c>
    </row>
    <row r="4802" spans="1:8" x14ac:dyDescent="0.3">
      <c r="A4802" s="2">
        <v>767</v>
      </c>
      <c r="B4802" t="s">
        <v>1293</v>
      </c>
      <c r="C4802" t="s">
        <v>3</v>
      </c>
      <c r="D4802" s="2">
        <v>1</v>
      </c>
      <c r="E4802" s="11" t="s">
        <v>180</v>
      </c>
      <c r="F4802" t="s">
        <v>47</v>
      </c>
      <c r="G4802" s="2" t="s">
        <v>23</v>
      </c>
      <c r="H4802" s="1">
        <v>105.89400000000001</v>
      </c>
    </row>
    <row r="4803" spans="1:8" x14ac:dyDescent="0.3">
      <c r="A4803" s="2">
        <v>767</v>
      </c>
      <c r="B4803" t="s">
        <v>1292</v>
      </c>
      <c r="C4803" t="s">
        <v>3220</v>
      </c>
      <c r="D4803" s="2">
        <v>1</v>
      </c>
      <c r="E4803" s="11" t="s">
        <v>174</v>
      </c>
      <c r="F4803" t="s">
        <v>36</v>
      </c>
      <c r="G4803" s="2" t="s">
        <v>4</v>
      </c>
      <c r="H4803" s="1">
        <v>74.094000000000008</v>
      </c>
    </row>
    <row r="4804" spans="1:8" x14ac:dyDescent="0.3">
      <c r="A4804" s="2">
        <v>767</v>
      </c>
      <c r="B4804" t="s">
        <v>1291</v>
      </c>
      <c r="C4804" t="s">
        <v>3220</v>
      </c>
      <c r="D4804" s="2">
        <v>1</v>
      </c>
      <c r="E4804" s="11" t="s">
        <v>174</v>
      </c>
      <c r="F4804" t="s">
        <v>36</v>
      </c>
      <c r="G4804" s="2" t="s">
        <v>31</v>
      </c>
      <c r="H4804" s="1">
        <v>74.094000000000008</v>
      </c>
    </row>
    <row r="4805" spans="1:8" x14ac:dyDescent="0.3">
      <c r="A4805" s="2">
        <v>767</v>
      </c>
      <c r="B4805" t="s">
        <v>922</v>
      </c>
      <c r="C4805" t="s">
        <v>3220</v>
      </c>
      <c r="D4805" s="2">
        <v>1</v>
      </c>
      <c r="E4805" s="11" t="s">
        <v>647</v>
      </c>
      <c r="F4805" t="s">
        <v>28</v>
      </c>
      <c r="G4805" s="2" t="s">
        <v>4</v>
      </c>
      <c r="H4805" s="1">
        <v>15.793999999999999</v>
      </c>
    </row>
    <row r="4806" spans="1:8" x14ac:dyDescent="0.3">
      <c r="A4806" s="2">
        <v>767</v>
      </c>
      <c r="B4806" t="s">
        <v>921</v>
      </c>
      <c r="C4806" t="s">
        <v>3220</v>
      </c>
      <c r="D4806" s="2">
        <v>1</v>
      </c>
      <c r="E4806" s="11" t="s">
        <v>647</v>
      </c>
      <c r="F4806" t="s">
        <v>28</v>
      </c>
      <c r="G4806" s="2" t="s">
        <v>31</v>
      </c>
      <c r="H4806" s="1">
        <v>15.793999999999999</v>
      </c>
    </row>
    <row r="4807" spans="1:8" x14ac:dyDescent="0.3">
      <c r="A4807" s="2">
        <v>767</v>
      </c>
      <c r="B4807" t="s">
        <v>1290</v>
      </c>
      <c r="C4807" t="s">
        <v>2</v>
      </c>
      <c r="D4807" s="2">
        <v>1</v>
      </c>
      <c r="E4807" s="11" t="s">
        <v>1288</v>
      </c>
      <c r="F4807" t="s">
        <v>28</v>
      </c>
      <c r="G4807" s="2" t="s">
        <v>4</v>
      </c>
      <c r="H4807" s="1">
        <v>89.994000000000014</v>
      </c>
    </row>
    <row r="4808" spans="1:8" x14ac:dyDescent="0.3">
      <c r="A4808" s="2">
        <v>767</v>
      </c>
      <c r="B4808" t="s">
        <v>1289</v>
      </c>
      <c r="C4808" t="s">
        <v>2</v>
      </c>
      <c r="D4808" s="2">
        <v>1</v>
      </c>
      <c r="E4808" s="11" t="s">
        <v>1288</v>
      </c>
      <c r="F4808" t="s">
        <v>28</v>
      </c>
      <c r="G4808" s="2" t="s">
        <v>31</v>
      </c>
      <c r="H4808" s="1">
        <v>89.994000000000014</v>
      </c>
    </row>
    <row r="4809" spans="1:8" x14ac:dyDescent="0.3">
      <c r="A4809" s="2">
        <v>767</v>
      </c>
      <c r="B4809" t="s">
        <v>1027</v>
      </c>
      <c r="C4809" t="s">
        <v>3220</v>
      </c>
      <c r="D4809" s="2">
        <v>1</v>
      </c>
      <c r="E4809" s="11" t="s">
        <v>700</v>
      </c>
      <c r="F4809" t="s">
        <v>24</v>
      </c>
      <c r="G4809" s="2" t="s">
        <v>31</v>
      </c>
      <c r="H4809" s="1">
        <v>15.793999999999999</v>
      </c>
    </row>
    <row r="4810" spans="1:8" x14ac:dyDescent="0.3">
      <c r="A4810" s="2">
        <v>767</v>
      </c>
      <c r="B4810" t="s">
        <v>1168</v>
      </c>
      <c r="C4810" t="s">
        <v>3220</v>
      </c>
      <c r="D4810" s="2">
        <v>1</v>
      </c>
      <c r="E4810" s="11" t="s">
        <v>700</v>
      </c>
      <c r="F4810" t="s">
        <v>24</v>
      </c>
      <c r="G4810" s="2" t="s">
        <v>23</v>
      </c>
      <c r="H4810" s="1">
        <v>15.793999999999999</v>
      </c>
    </row>
    <row r="4811" spans="1:8" x14ac:dyDescent="0.3">
      <c r="A4811" s="2">
        <v>767</v>
      </c>
      <c r="B4811" t="s">
        <v>1002</v>
      </c>
      <c r="C4811" t="s">
        <v>3</v>
      </c>
      <c r="D4811" s="2">
        <v>1</v>
      </c>
      <c r="E4811" s="11" t="s">
        <v>450</v>
      </c>
      <c r="F4811" t="s">
        <v>24</v>
      </c>
      <c r="G4811" s="2" t="s">
        <v>31</v>
      </c>
      <c r="H4811" s="1">
        <v>68.794000000000011</v>
      </c>
    </row>
    <row r="4812" spans="1:8" x14ac:dyDescent="0.3">
      <c r="A4812" s="2">
        <v>767</v>
      </c>
      <c r="B4812" t="s">
        <v>1167</v>
      </c>
      <c r="C4812" t="s">
        <v>3</v>
      </c>
      <c r="D4812" s="2">
        <v>1</v>
      </c>
      <c r="E4812" s="11" t="s">
        <v>450</v>
      </c>
      <c r="F4812" t="s">
        <v>24</v>
      </c>
      <c r="G4812" s="2" t="s">
        <v>23</v>
      </c>
      <c r="H4812" s="1">
        <v>68.794000000000011</v>
      </c>
    </row>
    <row r="4813" spans="1:8" x14ac:dyDescent="0.3">
      <c r="A4813" s="2">
        <v>768</v>
      </c>
      <c r="B4813" t="s">
        <v>1287</v>
      </c>
      <c r="C4813" t="s">
        <v>3217</v>
      </c>
      <c r="D4813" s="2">
        <v>1</v>
      </c>
      <c r="E4813" s="11" t="s">
        <v>1285</v>
      </c>
      <c r="F4813" t="s">
        <v>55</v>
      </c>
      <c r="G4813" s="2" t="s">
        <v>31</v>
      </c>
      <c r="H4813" s="1">
        <v>42.294000000000004</v>
      </c>
    </row>
    <row r="4814" spans="1:8" x14ac:dyDescent="0.3">
      <c r="A4814" s="2">
        <v>768</v>
      </c>
      <c r="B4814" t="s">
        <v>1286</v>
      </c>
      <c r="C4814" t="s">
        <v>3217</v>
      </c>
      <c r="D4814" s="2">
        <v>1</v>
      </c>
      <c r="E4814" s="11" t="s">
        <v>1285</v>
      </c>
      <c r="F4814" t="s">
        <v>55</v>
      </c>
      <c r="G4814" s="2" t="s">
        <v>23</v>
      </c>
      <c r="H4814" s="1">
        <v>42.294000000000004</v>
      </c>
    </row>
    <row r="4815" spans="1:8" x14ac:dyDescent="0.3">
      <c r="A4815" s="2">
        <v>768</v>
      </c>
      <c r="B4815" t="s">
        <v>1232</v>
      </c>
      <c r="C4815" t="s">
        <v>3224</v>
      </c>
      <c r="D4815" s="2">
        <v>1</v>
      </c>
      <c r="E4815" s="11" t="s">
        <v>1231</v>
      </c>
      <c r="F4815" t="s">
        <v>114</v>
      </c>
      <c r="G4815" s="2" t="s">
        <v>31</v>
      </c>
      <c r="H4815" s="1">
        <v>105.89400000000001</v>
      </c>
    </row>
    <row r="4816" spans="1:8" x14ac:dyDescent="0.3">
      <c r="A4816" s="2">
        <v>768</v>
      </c>
      <c r="B4816" t="s">
        <v>1284</v>
      </c>
      <c r="C4816" t="s">
        <v>1</v>
      </c>
      <c r="D4816" s="2">
        <v>1</v>
      </c>
      <c r="E4816" s="11" t="s">
        <v>76</v>
      </c>
      <c r="F4816" t="s">
        <v>78</v>
      </c>
      <c r="G4816" s="2" t="s">
        <v>4</v>
      </c>
      <c r="H4816" s="1">
        <v>63.494</v>
      </c>
    </row>
    <row r="4817" spans="1:8" x14ac:dyDescent="0.3">
      <c r="A4817" s="2">
        <v>768</v>
      </c>
      <c r="B4817" t="s">
        <v>79</v>
      </c>
      <c r="C4817" t="s">
        <v>1</v>
      </c>
      <c r="D4817" s="2">
        <v>1</v>
      </c>
      <c r="E4817" s="11" t="s">
        <v>76</v>
      </c>
      <c r="F4817" t="s">
        <v>78</v>
      </c>
      <c r="G4817" s="2" t="s">
        <v>31</v>
      </c>
      <c r="H4817" s="1">
        <v>63.494</v>
      </c>
    </row>
    <row r="4818" spans="1:8" x14ac:dyDescent="0.3">
      <c r="A4818" s="2">
        <v>768</v>
      </c>
      <c r="B4818" t="s">
        <v>212</v>
      </c>
      <c r="C4818" t="s">
        <v>3224</v>
      </c>
      <c r="D4818" s="2">
        <v>1</v>
      </c>
      <c r="E4818" s="11" t="s">
        <v>211</v>
      </c>
      <c r="F4818" t="s">
        <v>47</v>
      </c>
      <c r="G4818" s="2" t="s">
        <v>31</v>
      </c>
      <c r="H4818" s="1">
        <v>63.494000000000007</v>
      </c>
    </row>
    <row r="4819" spans="1:8" x14ac:dyDescent="0.3">
      <c r="A4819" s="2">
        <v>768</v>
      </c>
      <c r="B4819" t="s">
        <v>882</v>
      </c>
      <c r="C4819" t="s">
        <v>3224</v>
      </c>
      <c r="D4819" s="2">
        <v>1</v>
      </c>
      <c r="E4819" s="11" t="s">
        <v>656</v>
      </c>
      <c r="F4819" t="s">
        <v>47</v>
      </c>
      <c r="G4819" s="2" t="s">
        <v>31</v>
      </c>
      <c r="H4819" s="1">
        <v>74.094000000000008</v>
      </c>
    </row>
    <row r="4820" spans="1:8" x14ac:dyDescent="0.3">
      <c r="A4820" s="2">
        <v>768</v>
      </c>
      <c r="B4820" t="s">
        <v>1283</v>
      </c>
      <c r="C4820" t="s">
        <v>1</v>
      </c>
      <c r="D4820" s="2">
        <v>1</v>
      </c>
      <c r="E4820" s="11" t="s">
        <v>58</v>
      </c>
      <c r="F4820" t="s">
        <v>39</v>
      </c>
      <c r="G4820" s="2" t="s">
        <v>31</v>
      </c>
      <c r="H4820" s="1">
        <v>52.893999999999998</v>
      </c>
    </row>
    <row r="4821" spans="1:8" x14ac:dyDescent="0.3">
      <c r="A4821" s="2">
        <v>768</v>
      </c>
      <c r="B4821" t="s">
        <v>1282</v>
      </c>
      <c r="C4821" t="s">
        <v>3233</v>
      </c>
      <c r="D4821" s="2">
        <v>1</v>
      </c>
      <c r="E4821" s="11" t="s">
        <v>1278</v>
      </c>
      <c r="F4821" t="s">
        <v>39</v>
      </c>
      <c r="G4821" s="2" t="s">
        <v>4</v>
      </c>
      <c r="H4821" s="1">
        <v>100.59400000000001</v>
      </c>
    </row>
    <row r="4822" spans="1:8" x14ac:dyDescent="0.3">
      <c r="A4822" s="2">
        <v>768</v>
      </c>
      <c r="B4822" t="s">
        <v>1281</v>
      </c>
      <c r="C4822" t="s">
        <v>3224</v>
      </c>
      <c r="D4822" s="2">
        <v>1</v>
      </c>
      <c r="E4822" s="11" t="s">
        <v>211</v>
      </c>
      <c r="F4822" t="s">
        <v>39</v>
      </c>
      <c r="G4822" s="2" t="s">
        <v>23</v>
      </c>
      <c r="H4822" s="1">
        <v>63.494000000000007</v>
      </c>
    </row>
    <row r="4823" spans="1:8" x14ac:dyDescent="0.3">
      <c r="A4823" s="2">
        <v>768</v>
      </c>
      <c r="B4823" t="s">
        <v>1280</v>
      </c>
      <c r="C4823" t="s">
        <v>3224</v>
      </c>
      <c r="D4823" s="2">
        <v>1</v>
      </c>
      <c r="E4823" s="11" t="s">
        <v>656</v>
      </c>
      <c r="F4823" t="s">
        <v>39</v>
      </c>
      <c r="G4823" s="2" t="s">
        <v>4</v>
      </c>
      <c r="H4823" s="1">
        <v>74.094000000000008</v>
      </c>
    </row>
    <row r="4824" spans="1:8" x14ac:dyDescent="0.3">
      <c r="A4824" s="2">
        <v>768</v>
      </c>
      <c r="B4824" t="s">
        <v>1279</v>
      </c>
      <c r="C4824" t="s">
        <v>3233</v>
      </c>
      <c r="D4824" s="2">
        <v>1</v>
      </c>
      <c r="E4824" s="11" t="s">
        <v>1278</v>
      </c>
      <c r="F4824" t="s">
        <v>36</v>
      </c>
      <c r="G4824" s="2" t="s">
        <v>31</v>
      </c>
      <c r="H4824" s="1">
        <v>100.59400000000001</v>
      </c>
    </row>
    <row r="4825" spans="1:8" x14ac:dyDescent="0.3">
      <c r="A4825" s="2">
        <v>769</v>
      </c>
      <c r="B4825" t="s">
        <v>757</v>
      </c>
      <c r="C4825" t="s">
        <v>1</v>
      </c>
      <c r="D4825" s="2">
        <v>1</v>
      </c>
      <c r="E4825" s="11" t="s">
        <v>53</v>
      </c>
      <c r="F4825" t="s">
        <v>65</v>
      </c>
      <c r="G4825" s="2" t="s">
        <v>4</v>
      </c>
      <c r="H4825" s="1">
        <v>36.994</v>
      </c>
    </row>
    <row r="4826" spans="1:8" x14ac:dyDescent="0.3">
      <c r="A4826" s="2">
        <v>769</v>
      </c>
      <c r="B4826" t="s">
        <v>1277</v>
      </c>
      <c r="C4826" t="s">
        <v>3220</v>
      </c>
      <c r="D4826" s="2">
        <v>1</v>
      </c>
      <c r="E4826" s="11" t="s">
        <v>204</v>
      </c>
      <c r="F4826" t="s">
        <v>126</v>
      </c>
      <c r="G4826" s="2" t="s">
        <v>4</v>
      </c>
      <c r="H4826" s="1">
        <v>42.294000000000004</v>
      </c>
    </row>
    <row r="4827" spans="1:8" x14ac:dyDescent="0.3">
      <c r="A4827" s="2">
        <v>769</v>
      </c>
      <c r="B4827" t="s">
        <v>1232</v>
      </c>
      <c r="C4827" t="s">
        <v>3224</v>
      </c>
      <c r="D4827" s="2">
        <v>1</v>
      </c>
      <c r="E4827" s="11" t="s">
        <v>1231</v>
      </c>
      <c r="F4827" t="s">
        <v>114</v>
      </c>
      <c r="G4827" s="2" t="s">
        <v>31</v>
      </c>
      <c r="H4827" s="1">
        <v>105.89400000000001</v>
      </c>
    </row>
    <row r="4828" spans="1:8" x14ac:dyDescent="0.3">
      <c r="A4828" s="2">
        <v>769</v>
      </c>
      <c r="B4828" t="s">
        <v>1272</v>
      </c>
      <c r="C4828" t="s">
        <v>1</v>
      </c>
      <c r="D4828" s="2">
        <v>1</v>
      </c>
      <c r="E4828" s="11" t="s">
        <v>53</v>
      </c>
      <c r="F4828" t="s">
        <v>28</v>
      </c>
      <c r="G4828" s="2" t="s">
        <v>31</v>
      </c>
      <c r="H4828" s="1">
        <v>36.994</v>
      </c>
    </row>
    <row r="4829" spans="1:8" x14ac:dyDescent="0.3">
      <c r="A4829" s="2">
        <v>769</v>
      </c>
      <c r="B4829" t="s">
        <v>1276</v>
      </c>
      <c r="C4829" t="s">
        <v>3</v>
      </c>
      <c r="D4829" s="2">
        <v>1</v>
      </c>
      <c r="E4829" s="11" t="s">
        <v>434</v>
      </c>
      <c r="F4829" t="s">
        <v>55</v>
      </c>
      <c r="G4829" s="2" t="s">
        <v>4</v>
      </c>
      <c r="H4829" s="1">
        <v>105.89400000000001</v>
      </c>
    </row>
    <row r="4830" spans="1:8" x14ac:dyDescent="0.3">
      <c r="A4830" s="2">
        <v>769</v>
      </c>
      <c r="B4830" t="s">
        <v>1275</v>
      </c>
      <c r="C4830" t="s">
        <v>3</v>
      </c>
      <c r="D4830" s="2">
        <v>1</v>
      </c>
      <c r="E4830" s="11" t="s">
        <v>434</v>
      </c>
      <c r="F4830" t="s">
        <v>114</v>
      </c>
      <c r="G4830" s="2" t="s">
        <v>4</v>
      </c>
      <c r="H4830" s="1">
        <v>105.89400000000001</v>
      </c>
    </row>
    <row r="4831" spans="1:8" x14ac:dyDescent="0.3">
      <c r="A4831" s="2">
        <v>769</v>
      </c>
      <c r="B4831" t="s">
        <v>1213</v>
      </c>
      <c r="C4831" t="s">
        <v>3</v>
      </c>
      <c r="D4831" s="2">
        <v>1</v>
      </c>
      <c r="E4831" s="11" t="s">
        <v>434</v>
      </c>
      <c r="F4831" t="s">
        <v>114</v>
      </c>
      <c r="G4831" s="2" t="s">
        <v>31</v>
      </c>
      <c r="H4831" s="1">
        <v>105.89400000000001</v>
      </c>
    </row>
    <row r="4832" spans="1:8" x14ac:dyDescent="0.3">
      <c r="A4832" s="2">
        <v>769</v>
      </c>
      <c r="B4832" t="s">
        <v>1274</v>
      </c>
      <c r="C4832" t="s">
        <v>2</v>
      </c>
      <c r="D4832" s="2">
        <v>1</v>
      </c>
      <c r="E4832" s="11" t="s">
        <v>86</v>
      </c>
      <c r="F4832" t="s">
        <v>114</v>
      </c>
      <c r="G4832" s="2" t="s">
        <v>4</v>
      </c>
      <c r="H4832" s="1">
        <v>95.294000000000011</v>
      </c>
    </row>
    <row r="4833" spans="1:8" x14ac:dyDescent="0.3">
      <c r="A4833" s="2">
        <v>769</v>
      </c>
      <c r="B4833" t="s">
        <v>106</v>
      </c>
      <c r="C4833" t="s">
        <v>2</v>
      </c>
      <c r="D4833" s="2">
        <v>1</v>
      </c>
      <c r="E4833" s="11" t="s">
        <v>86</v>
      </c>
      <c r="F4833" t="s">
        <v>47</v>
      </c>
      <c r="G4833" s="2" t="s">
        <v>4</v>
      </c>
      <c r="H4833" s="1">
        <v>95.294000000000011</v>
      </c>
    </row>
    <row r="4834" spans="1:8" x14ac:dyDescent="0.3">
      <c r="A4834" s="2">
        <v>769</v>
      </c>
      <c r="B4834" t="s">
        <v>646</v>
      </c>
      <c r="C4834" t="s">
        <v>3220</v>
      </c>
      <c r="D4834" s="2">
        <v>1</v>
      </c>
      <c r="E4834" s="11" t="s">
        <v>637</v>
      </c>
      <c r="F4834" t="s">
        <v>47</v>
      </c>
      <c r="G4834" s="2" t="s">
        <v>4</v>
      </c>
      <c r="H4834" s="1">
        <v>15.793999999999999</v>
      </c>
    </row>
    <row r="4835" spans="1:8" x14ac:dyDescent="0.3">
      <c r="A4835" s="2">
        <v>769</v>
      </c>
      <c r="B4835" t="s">
        <v>266</v>
      </c>
      <c r="C4835" t="s">
        <v>3220</v>
      </c>
      <c r="D4835" s="2">
        <v>1</v>
      </c>
      <c r="E4835" s="11" t="s">
        <v>204</v>
      </c>
      <c r="F4835" t="s">
        <v>47</v>
      </c>
      <c r="G4835" s="2" t="s">
        <v>31</v>
      </c>
      <c r="H4835" s="1">
        <v>42.294000000000004</v>
      </c>
    </row>
    <row r="4836" spans="1:8" x14ac:dyDescent="0.3">
      <c r="A4836" s="2">
        <v>769</v>
      </c>
      <c r="B4836" t="s">
        <v>1273</v>
      </c>
      <c r="C4836" t="s">
        <v>1</v>
      </c>
      <c r="D4836" s="2">
        <v>1</v>
      </c>
      <c r="E4836" s="11" t="s">
        <v>58</v>
      </c>
      <c r="F4836" t="s">
        <v>39</v>
      </c>
      <c r="G4836" s="2" t="s">
        <v>23</v>
      </c>
      <c r="H4836" s="1">
        <v>52.893999999999998</v>
      </c>
    </row>
    <row r="4837" spans="1:8" x14ac:dyDescent="0.3">
      <c r="A4837" s="2">
        <v>769</v>
      </c>
      <c r="B4837" t="s">
        <v>1264</v>
      </c>
      <c r="C4837" t="s">
        <v>3220</v>
      </c>
      <c r="D4837" s="2">
        <v>1</v>
      </c>
      <c r="E4837" s="11" t="s">
        <v>204</v>
      </c>
      <c r="F4837" t="s">
        <v>39</v>
      </c>
      <c r="G4837" s="2" t="s">
        <v>4</v>
      </c>
      <c r="H4837" s="1">
        <v>42.294000000000004</v>
      </c>
    </row>
    <row r="4838" spans="1:8" x14ac:dyDescent="0.3">
      <c r="A4838" s="2">
        <v>769</v>
      </c>
      <c r="B4838" t="s">
        <v>87</v>
      </c>
      <c r="C4838" t="s">
        <v>2</v>
      </c>
      <c r="D4838" s="2">
        <v>1</v>
      </c>
      <c r="E4838" s="11" t="s">
        <v>86</v>
      </c>
      <c r="F4838" t="s">
        <v>36</v>
      </c>
      <c r="G4838" s="2" t="s">
        <v>4</v>
      </c>
      <c r="H4838" s="1">
        <v>95.294000000000011</v>
      </c>
    </row>
    <row r="4839" spans="1:8" x14ac:dyDescent="0.3">
      <c r="A4839" s="2">
        <v>769</v>
      </c>
      <c r="B4839" t="s">
        <v>1272</v>
      </c>
      <c r="C4839" t="s">
        <v>1</v>
      </c>
      <c r="D4839" s="2">
        <v>1</v>
      </c>
      <c r="E4839" s="11" t="s">
        <v>53</v>
      </c>
      <c r="F4839" t="s">
        <v>28</v>
      </c>
      <c r="G4839" s="2" t="s">
        <v>31</v>
      </c>
      <c r="H4839" s="1">
        <v>36.994</v>
      </c>
    </row>
    <row r="4840" spans="1:8" x14ac:dyDescent="0.3">
      <c r="A4840" s="2">
        <v>769</v>
      </c>
      <c r="B4840" t="s">
        <v>1271</v>
      </c>
      <c r="C4840" t="s">
        <v>3224</v>
      </c>
      <c r="D4840" s="2">
        <v>1</v>
      </c>
      <c r="E4840" s="11" t="s">
        <v>1270</v>
      </c>
      <c r="F4840" t="s">
        <v>24</v>
      </c>
      <c r="G4840" s="2" t="s">
        <v>23</v>
      </c>
      <c r="H4840" s="1">
        <v>68.794000000000011</v>
      </c>
    </row>
    <row r="4841" spans="1:8" x14ac:dyDescent="0.3">
      <c r="A4841" s="2">
        <v>769</v>
      </c>
      <c r="B4841" t="s">
        <v>639</v>
      </c>
      <c r="C4841" t="s">
        <v>3220</v>
      </c>
      <c r="D4841" s="2">
        <v>1</v>
      </c>
      <c r="E4841" s="11" t="s">
        <v>637</v>
      </c>
      <c r="F4841" t="s">
        <v>24</v>
      </c>
      <c r="G4841" s="2" t="s">
        <v>31</v>
      </c>
      <c r="H4841" s="1">
        <v>15.793999999999999</v>
      </c>
    </row>
    <row r="4842" spans="1:8" x14ac:dyDescent="0.3">
      <c r="A4842" s="2">
        <v>770</v>
      </c>
      <c r="B4842" t="s">
        <v>1269</v>
      </c>
      <c r="C4842" t="s">
        <v>3219</v>
      </c>
      <c r="D4842" s="2">
        <v>1</v>
      </c>
      <c r="E4842" s="11" t="s">
        <v>534</v>
      </c>
      <c r="F4842" t="s">
        <v>55</v>
      </c>
      <c r="G4842" s="2" t="s">
        <v>31</v>
      </c>
      <c r="H4842" s="1">
        <v>89.994000000000014</v>
      </c>
    </row>
    <row r="4843" spans="1:8" x14ac:dyDescent="0.3">
      <c r="A4843" s="2">
        <v>770</v>
      </c>
      <c r="B4843" t="s">
        <v>728</v>
      </c>
      <c r="C4843" t="s">
        <v>3220</v>
      </c>
      <c r="D4843" s="2">
        <v>1</v>
      </c>
      <c r="E4843" s="11" t="s">
        <v>204</v>
      </c>
      <c r="F4843" t="s">
        <v>65</v>
      </c>
      <c r="G4843" s="2" t="s">
        <v>31</v>
      </c>
      <c r="H4843" s="1">
        <v>42.294000000000004</v>
      </c>
    </row>
    <row r="4844" spans="1:8" x14ac:dyDescent="0.3">
      <c r="A4844" s="2">
        <v>770</v>
      </c>
      <c r="B4844" t="s">
        <v>1268</v>
      </c>
      <c r="C4844" t="s">
        <v>3238</v>
      </c>
      <c r="D4844" s="2">
        <v>1</v>
      </c>
      <c r="E4844" s="11" t="s">
        <v>871</v>
      </c>
      <c r="F4844" t="s">
        <v>65</v>
      </c>
      <c r="G4844" s="2" t="s">
        <v>31</v>
      </c>
      <c r="H4844" s="1">
        <v>68.794000000000011</v>
      </c>
    </row>
    <row r="4845" spans="1:8" x14ac:dyDescent="0.3">
      <c r="A4845" s="2">
        <v>770</v>
      </c>
      <c r="B4845" t="s">
        <v>1267</v>
      </c>
      <c r="C4845" t="s">
        <v>3238</v>
      </c>
      <c r="D4845" s="2">
        <v>1</v>
      </c>
      <c r="E4845" s="11" t="s">
        <v>871</v>
      </c>
      <c r="F4845" t="s">
        <v>65</v>
      </c>
      <c r="G4845" s="2" t="s">
        <v>23</v>
      </c>
      <c r="H4845" s="1">
        <v>68.794000000000011</v>
      </c>
    </row>
    <row r="4846" spans="1:8" x14ac:dyDescent="0.3">
      <c r="A4846" s="2">
        <v>770</v>
      </c>
      <c r="B4846" t="s">
        <v>868</v>
      </c>
      <c r="C4846" t="s">
        <v>1</v>
      </c>
      <c r="D4846" s="2">
        <v>1</v>
      </c>
      <c r="E4846" s="11" t="s">
        <v>357</v>
      </c>
      <c r="F4846" t="s">
        <v>62</v>
      </c>
      <c r="G4846" s="2" t="s">
        <v>4</v>
      </c>
      <c r="H4846" s="1">
        <v>52.893999999999998</v>
      </c>
    </row>
    <row r="4847" spans="1:8" x14ac:dyDescent="0.3">
      <c r="A4847" s="2">
        <v>770</v>
      </c>
      <c r="B4847" t="s">
        <v>1266</v>
      </c>
      <c r="C4847" t="s">
        <v>1</v>
      </c>
      <c r="D4847" s="2">
        <v>1</v>
      </c>
      <c r="E4847" s="11" t="s">
        <v>189</v>
      </c>
      <c r="F4847" t="s">
        <v>62</v>
      </c>
      <c r="G4847" s="2" t="s">
        <v>4</v>
      </c>
      <c r="H4847" s="1">
        <v>63.494000000000007</v>
      </c>
    </row>
    <row r="4848" spans="1:8" x14ac:dyDescent="0.3">
      <c r="A4848" s="2">
        <v>770</v>
      </c>
      <c r="B4848" t="s">
        <v>390</v>
      </c>
      <c r="C4848" t="s">
        <v>3224</v>
      </c>
      <c r="D4848" s="2">
        <v>1</v>
      </c>
      <c r="E4848" s="11" t="s">
        <v>195</v>
      </c>
      <c r="F4848" t="s">
        <v>55</v>
      </c>
      <c r="G4848" s="2" t="s">
        <v>23</v>
      </c>
      <c r="H4848" s="1">
        <v>84.694000000000017</v>
      </c>
    </row>
    <row r="4849" spans="1:8" x14ac:dyDescent="0.3">
      <c r="A4849" s="2">
        <v>770</v>
      </c>
      <c r="B4849" t="s">
        <v>678</v>
      </c>
      <c r="C4849" t="s">
        <v>3219</v>
      </c>
      <c r="D4849" s="2">
        <v>1</v>
      </c>
      <c r="E4849" s="11" t="s">
        <v>534</v>
      </c>
      <c r="F4849" t="s">
        <v>28</v>
      </c>
      <c r="G4849" s="2" t="s">
        <v>31</v>
      </c>
      <c r="H4849" s="1">
        <v>89.994000000000014</v>
      </c>
    </row>
    <row r="4850" spans="1:8" x14ac:dyDescent="0.3">
      <c r="A4850" s="2">
        <v>770</v>
      </c>
      <c r="B4850" t="s">
        <v>717</v>
      </c>
      <c r="C4850" t="s">
        <v>3220</v>
      </c>
      <c r="D4850" s="2">
        <v>1</v>
      </c>
      <c r="E4850" s="11" t="s">
        <v>204</v>
      </c>
      <c r="F4850" t="s">
        <v>28</v>
      </c>
      <c r="G4850" s="2" t="s">
        <v>31</v>
      </c>
      <c r="H4850" s="1">
        <v>42.294000000000004</v>
      </c>
    </row>
    <row r="4851" spans="1:8" x14ac:dyDescent="0.3">
      <c r="A4851" s="2">
        <v>770</v>
      </c>
      <c r="B4851" t="s">
        <v>1098</v>
      </c>
      <c r="C4851" t="s">
        <v>0</v>
      </c>
      <c r="D4851" s="2">
        <v>1</v>
      </c>
      <c r="E4851" s="11" t="s">
        <v>255</v>
      </c>
      <c r="F4851" t="s">
        <v>114</v>
      </c>
      <c r="G4851" s="2" t="s">
        <v>23</v>
      </c>
      <c r="H4851" s="1">
        <v>169.49400000000003</v>
      </c>
    </row>
    <row r="4852" spans="1:8" x14ac:dyDescent="0.3">
      <c r="A4852" s="2">
        <v>770</v>
      </c>
      <c r="B4852" t="s">
        <v>270</v>
      </c>
      <c r="C4852" t="s">
        <v>3220</v>
      </c>
      <c r="D4852" s="2">
        <v>1</v>
      </c>
      <c r="E4852" s="11" t="s">
        <v>204</v>
      </c>
      <c r="F4852" t="s">
        <v>114</v>
      </c>
      <c r="G4852" s="2" t="s">
        <v>4</v>
      </c>
      <c r="H4852" s="1">
        <v>42.294000000000004</v>
      </c>
    </row>
    <row r="4853" spans="1:8" x14ac:dyDescent="0.3">
      <c r="A4853" s="2">
        <v>770</v>
      </c>
      <c r="B4853" t="s">
        <v>1021</v>
      </c>
      <c r="C4853" t="s">
        <v>3220</v>
      </c>
      <c r="D4853" s="2">
        <v>1</v>
      </c>
      <c r="E4853" s="11" t="s">
        <v>204</v>
      </c>
      <c r="F4853" t="s">
        <v>959</v>
      </c>
      <c r="G4853" s="2" t="s">
        <v>23</v>
      </c>
      <c r="H4853" s="1">
        <v>42.294000000000004</v>
      </c>
    </row>
    <row r="4854" spans="1:8" x14ac:dyDescent="0.3">
      <c r="A4854" s="2">
        <v>770</v>
      </c>
      <c r="B4854" t="s">
        <v>1265</v>
      </c>
      <c r="C4854" t="s">
        <v>3219</v>
      </c>
      <c r="D4854" s="2">
        <v>1</v>
      </c>
      <c r="E4854" s="11" t="s">
        <v>534</v>
      </c>
      <c r="F4854" t="s">
        <v>47</v>
      </c>
      <c r="G4854" s="2" t="s">
        <v>31</v>
      </c>
      <c r="H4854" s="1">
        <v>89.994000000000014</v>
      </c>
    </row>
    <row r="4855" spans="1:8" x14ac:dyDescent="0.3">
      <c r="A4855" s="2">
        <v>770</v>
      </c>
      <c r="B4855" t="s">
        <v>1158</v>
      </c>
      <c r="C4855" t="s">
        <v>3334</v>
      </c>
      <c r="D4855" s="2">
        <v>2</v>
      </c>
      <c r="E4855" s="11" t="s">
        <v>448</v>
      </c>
      <c r="F4855" t="s">
        <v>47</v>
      </c>
      <c r="G4855" s="2" t="s">
        <v>31</v>
      </c>
      <c r="H4855" s="1">
        <v>164.19400000000002</v>
      </c>
    </row>
    <row r="4856" spans="1:8" x14ac:dyDescent="0.3">
      <c r="A4856" s="2">
        <v>770</v>
      </c>
      <c r="B4856" t="s">
        <v>882</v>
      </c>
      <c r="C4856" t="s">
        <v>3224</v>
      </c>
      <c r="D4856" s="2">
        <v>1</v>
      </c>
      <c r="E4856" s="11" t="s">
        <v>656</v>
      </c>
      <c r="F4856" t="s">
        <v>47</v>
      </c>
      <c r="G4856" s="2" t="s">
        <v>31</v>
      </c>
      <c r="H4856" s="1">
        <v>74.094000000000008</v>
      </c>
    </row>
    <row r="4857" spans="1:8" x14ac:dyDescent="0.3">
      <c r="A4857" s="2">
        <v>770</v>
      </c>
      <c r="B4857" t="s">
        <v>205</v>
      </c>
      <c r="C4857" t="s">
        <v>3220</v>
      </c>
      <c r="D4857" s="2">
        <v>1</v>
      </c>
      <c r="E4857" s="11" t="s">
        <v>204</v>
      </c>
      <c r="F4857" t="s">
        <v>47</v>
      </c>
      <c r="G4857" s="2" t="s">
        <v>203</v>
      </c>
      <c r="H4857" s="1">
        <v>42.294000000000004</v>
      </c>
    </row>
    <row r="4858" spans="1:8" x14ac:dyDescent="0.3">
      <c r="A4858" s="2">
        <v>770</v>
      </c>
      <c r="B4858" t="s">
        <v>266</v>
      </c>
      <c r="C4858" t="s">
        <v>3220</v>
      </c>
      <c r="D4858" s="2">
        <v>1</v>
      </c>
      <c r="E4858" s="11" t="s">
        <v>204</v>
      </c>
      <c r="F4858" t="s">
        <v>47</v>
      </c>
      <c r="G4858" s="2" t="s">
        <v>31</v>
      </c>
      <c r="H4858" s="1">
        <v>42.294000000000004</v>
      </c>
    </row>
    <row r="4859" spans="1:8" x14ac:dyDescent="0.3">
      <c r="A4859" s="2">
        <v>770</v>
      </c>
      <c r="B4859" t="s">
        <v>1154</v>
      </c>
      <c r="C4859" t="s">
        <v>1</v>
      </c>
      <c r="D4859" s="2">
        <v>1</v>
      </c>
      <c r="E4859" s="11" t="s">
        <v>222</v>
      </c>
      <c r="F4859" t="s">
        <v>39</v>
      </c>
      <c r="G4859" s="2" t="s">
        <v>31</v>
      </c>
      <c r="H4859" s="1">
        <v>52.893999999999998</v>
      </c>
    </row>
    <row r="4860" spans="1:8" x14ac:dyDescent="0.3">
      <c r="A4860" s="2">
        <v>770</v>
      </c>
      <c r="B4860" t="s">
        <v>1224</v>
      </c>
      <c r="C4860" t="s">
        <v>3224</v>
      </c>
      <c r="D4860" s="2">
        <v>1</v>
      </c>
      <c r="E4860" s="11" t="s">
        <v>1223</v>
      </c>
      <c r="F4860" t="s">
        <v>39</v>
      </c>
      <c r="G4860" s="2" t="s">
        <v>31</v>
      </c>
      <c r="H4860" s="1">
        <v>52.893999999999998</v>
      </c>
    </row>
    <row r="4861" spans="1:8" x14ac:dyDescent="0.3">
      <c r="A4861" s="2">
        <v>770</v>
      </c>
      <c r="B4861" t="s">
        <v>1121</v>
      </c>
      <c r="C4861" t="s">
        <v>3220</v>
      </c>
      <c r="D4861" s="2">
        <v>1</v>
      </c>
      <c r="E4861" s="11" t="s">
        <v>204</v>
      </c>
      <c r="F4861" t="s">
        <v>39</v>
      </c>
      <c r="G4861" s="2" t="s">
        <v>31</v>
      </c>
      <c r="H4861" s="1">
        <v>42.294000000000004</v>
      </c>
    </row>
    <row r="4862" spans="1:8" x14ac:dyDescent="0.3">
      <c r="A4862" s="2">
        <v>770</v>
      </c>
      <c r="B4862" t="s">
        <v>1264</v>
      </c>
      <c r="C4862" t="s">
        <v>3220</v>
      </c>
      <c r="D4862" s="2">
        <v>1</v>
      </c>
      <c r="E4862" s="11" t="s">
        <v>204</v>
      </c>
      <c r="F4862" t="s">
        <v>39</v>
      </c>
      <c r="G4862" s="2" t="s">
        <v>4</v>
      </c>
      <c r="H4862" s="1">
        <v>42.294000000000004</v>
      </c>
    </row>
    <row r="4863" spans="1:8" x14ac:dyDescent="0.3">
      <c r="A4863" s="2">
        <v>770</v>
      </c>
      <c r="B4863" t="s">
        <v>1263</v>
      </c>
      <c r="C4863" t="s">
        <v>3220</v>
      </c>
      <c r="D4863" s="2">
        <v>1</v>
      </c>
      <c r="E4863" s="11" t="s">
        <v>174</v>
      </c>
      <c r="F4863" t="s">
        <v>36</v>
      </c>
      <c r="G4863" s="2" t="s">
        <v>23</v>
      </c>
      <c r="H4863" s="1">
        <v>74.094000000000008</v>
      </c>
    </row>
    <row r="4864" spans="1:8" x14ac:dyDescent="0.3">
      <c r="A4864" s="2">
        <v>770</v>
      </c>
      <c r="B4864" t="s">
        <v>1262</v>
      </c>
      <c r="C4864" t="s">
        <v>0</v>
      </c>
      <c r="D4864" s="2">
        <v>1</v>
      </c>
      <c r="E4864" s="11" t="s">
        <v>183</v>
      </c>
      <c r="F4864" t="s">
        <v>36</v>
      </c>
      <c r="G4864" s="2" t="s">
        <v>31</v>
      </c>
      <c r="H4864" s="1">
        <v>153.59400000000002</v>
      </c>
    </row>
    <row r="4865" spans="1:8" x14ac:dyDescent="0.3">
      <c r="A4865" s="2">
        <v>770</v>
      </c>
      <c r="B4865" t="s">
        <v>1009</v>
      </c>
      <c r="C4865" t="s">
        <v>1</v>
      </c>
      <c r="D4865" s="2">
        <v>1</v>
      </c>
      <c r="E4865" s="11" t="s">
        <v>1008</v>
      </c>
      <c r="F4865" t="s">
        <v>36</v>
      </c>
      <c r="G4865" s="2" t="s">
        <v>23</v>
      </c>
      <c r="H4865" s="1">
        <v>95.294000000000011</v>
      </c>
    </row>
    <row r="4866" spans="1:8" x14ac:dyDescent="0.3">
      <c r="A4866" s="2">
        <v>770</v>
      </c>
      <c r="B4866" t="s">
        <v>1261</v>
      </c>
      <c r="C4866" t="s">
        <v>3220</v>
      </c>
      <c r="D4866" s="2">
        <v>1</v>
      </c>
      <c r="E4866" s="11" t="s">
        <v>204</v>
      </c>
      <c r="F4866" t="s">
        <v>36</v>
      </c>
      <c r="G4866" s="2" t="s">
        <v>4</v>
      </c>
      <c r="H4866" s="1">
        <v>42.294000000000004</v>
      </c>
    </row>
    <row r="4867" spans="1:8" x14ac:dyDescent="0.3">
      <c r="A4867" s="2">
        <v>770</v>
      </c>
      <c r="B4867" t="s">
        <v>1260</v>
      </c>
      <c r="C4867" t="s">
        <v>1</v>
      </c>
      <c r="D4867" s="2">
        <v>1</v>
      </c>
      <c r="E4867" s="11" t="s">
        <v>357</v>
      </c>
      <c r="F4867" t="s">
        <v>28</v>
      </c>
      <c r="G4867" s="2" t="s">
        <v>203</v>
      </c>
      <c r="H4867" s="1">
        <v>52.893999999999998</v>
      </c>
    </row>
    <row r="4868" spans="1:8" x14ac:dyDescent="0.3">
      <c r="A4868" s="2">
        <v>770</v>
      </c>
      <c r="B4868" t="s">
        <v>705</v>
      </c>
      <c r="C4868" t="s">
        <v>3220</v>
      </c>
      <c r="D4868" s="2">
        <v>1</v>
      </c>
      <c r="E4868" s="11" t="s">
        <v>174</v>
      </c>
      <c r="F4868" t="s">
        <v>28</v>
      </c>
      <c r="G4868" s="2" t="s">
        <v>31</v>
      </c>
      <c r="H4868" s="1">
        <v>74.094000000000008</v>
      </c>
    </row>
    <row r="4869" spans="1:8" x14ac:dyDescent="0.3">
      <c r="A4869" s="2">
        <v>770</v>
      </c>
      <c r="B4869" t="s">
        <v>1259</v>
      </c>
      <c r="C4869" t="s">
        <v>3220</v>
      </c>
      <c r="D4869" s="2">
        <v>1</v>
      </c>
      <c r="E4869" s="11" t="s">
        <v>1243</v>
      </c>
      <c r="F4869" t="s">
        <v>28</v>
      </c>
      <c r="G4869" s="2" t="s">
        <v>31</v>
      </c>
      <c r="H4869" s="1">
        <v>47.594000000000001</v>
      </c>
    </row>
    <row r="4870" spans="1:8" x14ac:dyDescent="0.3">
      <c r="A4870" s="2">
        <v>770</v>
      </c>
      <c r="B4870" t="s">
        <v>1258</v>
      </c>
      <c r="C4870" t="s">
        <v>3238</v>
      </c>
      <c r="D4870" s="2">
        <v>1</v>
      </c>
      <c r="E4870" s="11" t="s">
        <v>871</v>
      </c>
      <c r="F4870" t="s">
        <v>28</v>
      </c>
      <c r="G4870" s="2" t="s">
        <v>23</v>
      </c>
      <c r="H4870" s="1">
        <v>68.794000000000011</v>
      </c>
    </row>
    <row r="4871" spans="1:8" x14ac:dyDescent="0.3">
      <c r="A4871" s="2">
        <v>770</v>
      </c>
      <c r="B4871" t="s">
        <v>1257</v>
      </c>
      <c r="C4871" t="s">
        <v>1</v>
      </c>
      <c r="D4871" s="2">
        <v>1</v>
      </c>
      <c r="E4871" s="11" t="s">
        <v>1008</v>
      </c>
      <c r="F4871" t="s">
        <v>28</v>
      </c>
      <c r="G4871" s="2" t="s">
        <v>31</v>
      </c>
      <c r="H4871" s="1">
        <v>95.294000000000011</v>
      </c>
    </row>
    <row r="4872" spans="1:8" x14ac:dyDescent="0.3">
      <c r="A4872" s="2">
        <v>770</v>
      </c>
      <c r="B4872" t="s">
        <v>874</v>
      </c>
      <c r="C4872" t="s">
        <v>3224</v>
      </c>
      <c r="D4872" s="2">
        <v>1</v>
      </c>
      <c r="E4872" s="11" t="s">
        <v>656</v>
      </c>
      <c r="F4872" t="s">
        <v>28</v>
      </c>
      <c r="G4872" s="2" t="s">
        <v>4</v>
      </c>
      <c r="H4872" s="1">
        <v>74.094000000000008</v>
      </c>
    </row>
    <row r="4873" spans="1:8" x14ac:dyDescent="0.3">
      <c r="A4873" s="2">
        <v>770</v>
      </c>
      <c r="B4873" t="s">
        <v>1003</v>
      </c>
      <c r="C4873" t="s">
        <v>3220</v>
      </c>
      <c r="D4873" s="2">
        <v>1</v>
      </c>
      <c r="E4873" s="11" t="s">
        <v>204</v>
      </c>
      <c r="F4873" t="s">
        <v>28</v>
      </c>
      <c r="G4873" s="2" t="s">
        <v>203</v>
      </c>
      <c r="H4873" s="1">
        <v>42.294000000000004</v>
      </c>
    </row>
    <row r="4874" spans="1:8" x14ac:dyDescent="0.3">
      <c r="A4874" s="2">
        <v>770</v>
      </c>
      <c r="B4874" t="s">
        <v>717</v>
      </c>
      <c r="C4874" t="s">
        <v>3220</v>
      </c>
      <c r="D4874" s="2">
        <v>1</v>
      </c>
      <c r="E4874" s="11" t="s">
        <v>204</v>
      </c>
      <c r="F4874" t="s">
        <v>28</v>
      </c>
      <c r="G4874" s="2" t="s">
        <v>31</v>
      </c>
      <c r="H4874" s="1">
        <v>42.294000000000004</v>
      </c>
    </row>
    <row r="4875" spans="1:8" x14ac:dyDescent="0.3">
      <c r="A4875" s="2">
        <v>770</v>
      </c>
      <c r="B4875" t="s">
        <v>370</v>
      </c>
      <c r="C4875" t="s">
        <v>3224</v>
      </c>
      <c r="D4875" s="2">
        <v>1</v>
      </c>
      <c r="E4875" s="11" t="s">
        <v>132</v>
      </c>
      <c r="F4875" t="s">
        <v>24</v>
      </c>
      <c r="G4875" s="2" t="s">
        <v>31</v>
      </c>
      <c r="H4875" s="1">
        <v>84.694000000000017</v>
      </c>
    </row>
    <row r="4876" spans="1:8" x14ac:dyDescent="0.3">
      <c r="A4876" s="2">
        <v>770</v>
      </c>
      <c r="B4876" t="s">
        <v>947</v>
      </c>
      <c r="C4876" t="s">
        <v>3220</v>
      </c>
      <c r="D4876" s="2">
        <v>1</v>
      </c>
      <c r="E4876" s="11" t="s">
        <v>700</v>
      </c>
      <c r="F4876" t="s">
        <v>24</v>
      </c>
      <c r="G4876" s="2" t="s">
        <v>4</v>
      </c>
      <c r="H4876" s="1">
        <v>15.793999999999999</v>
      </c>
    </row>
    <row r="4877" spans="1:8" x14ac:dyDescent="0.3">
      <c r="A4877" s="2">
        <v>770</v>
      </c>
      <c r="B4877" t="s">
        <v>1256</v>
      </c>
      <c r="C4877" t="s">
        <v>3224</v>
      </c>
      <c r="D4877" s="2">
        <v>1</v>
      </c>
      <c r="E4877" s="11" t="s">
        <v>520</v>
      </c>
      <c r="F4877" t="s">
        <v>24</v>
      </c>
      <c r="G4877" s="2" t="s">
        <v>23</v>
      </c>
      <c r="H4877" s="1">
        <v>68.794000000000011</v>
      </c>
    </row>
    <row r="4878" spans="1:8" x14ac:dyDescent="0.3">
      <c r="A4878" s="2">
        <v>771</v>
      </c>
      <c r="B4878" t="s">
        <v>1255</v>
      </c>
      <c r="C4878" t="s">
        <v>3220</v>
      </c>
      <c r="D4878" s="2">
        <v>1</v>
      </c>
      <c r="E4878" s="11" t="s">
        <v>185</v>
      </c>
      <c r="F4878" t="s">
        <v>65</v>
      </c>
      <c r="G4878" s="2" t="s">
        <v>4</v>
      </c>
      <c r="H4878" s="1">
        <v>84.694000000000017</v>
      </c>
    </row>
    <row r="4879" spans="1:8" x14ac:dyDescent="0.3">
      <c r="A4879" s="2">
        <v>771</v>
      </c>
      <c r="B4879" t="s">
        <v>1254</v>
      </c>
      <c r="C4879" t="s">
        <v>3219</v>
      </c>
      <c r="D4879" s="2">
        <v>1</v>
      </c>
      <c r="E4879" s="11" t="s">
        <v>1175</v>
      </c>
      <c r="F4879" t="s">
        <v>65</v>
      </c>
      <c r="G4879" s="2" t="s">
        <v>4</v>
      </c>
      <c r="H4879" s="1">
        <v>158.89400000000001</v>
      </c>
    </row>
    <row r="4880" spans="1:8" x14ac:dyDescent="0.3">
      <c r="A4880" s="2">
        <v>771</v>
      </c>
      <c r="B4880" t="s">
        <v>1253</v>
      </c>
      <c r="C4880" t="s">
        <v>3224</v>
      </c>
      <c r="D4880" s="2">
        <v>1</v>
      </c>
      <c r="E4880" s="11" t="s">
        <v>538</v>
      </c>
      <c r="F4880" t="s">
        <v>62</v>
      </c>
      <c r="G4880" s="2" t="s">
        <v>4</v>
      </c>
      <c r="H4880" s="1">
        <v>89.994000000000014</v>
      </c>
    </row>
    <row r="4881" spans="1:8" x14ac:dyDescent="0.3">
      <c r="A4881" s="2">
        <v>771</v>
      </c>
      <c r="B4881" t="s">
        <v>1252</v>
      </c>
      <c r="C4881" t="s">
        <v>3219</v>
      </c>
      <c r="D4881" s="2">
        <v>1</v>
      </c>
      <c r="E4881" s="11" t="s">
        <v>536</v>
      </c>
      <c r="F4881" t="s">
        <v>62</v>
      </c>
      <c r="G4881" s="2" t="s">
        <v>4</v>
      </c>
      <c r="H4881" s="1">
        <v>158.89400000000001</v>
      </c>
    </row>
    <row r="4882" spans="1:8" x14ac:dyDescent="0.3">
      <c r="A4882" s="2">
        <v>771</v>
      </c>
      <c r="B4882" t="s">
        <v>1251</v>
      </c>
      <c r="C4882" t="s">
        <v>3224</v>
      </c>
      <c r="D4882" s="2">
        <v>1</v>
      </c>
      <c r="E4882" s="11" t="s">
        <v>1248</v>
      </c>
      <c r="F4882" t="s">
        <v>114</v>
      </c>
      <c r="G4882" s="2" t="s">
        <v>4</v>
      </c>
      <c r="H4882" s="1">
        <v>95.294000000000011</v>
      </c>
    </row>
    <row r="4883" spans="1:8" x14ac:dyDescent="0.3">
      <c r="A4883" s="2">
        <v>771</v>
      </c>
      <c r="B4883" t="s">
        <v>933</v>
      </c>
      <c r="C4883" t="s">
        <v>3225</v>
      </c>
      <c r="D4883" s="2">
        <v>1</v>
      </c>
      <c r="E4883" s="11" t="s">
        <v>932</v>
      </c>
      <c r="F4883" t="s">
        <v>47</v>
      </c>
      <c r="G4883" s="2" t="s">
        <v>4</v>
      </c>
      <c r="H4883" s="1">
        <v>174.79400000000001</v>
      </c>
    </row>
    <row r="4884" spans="1:8" x14ac:dyDescent="0.3">
      <c r="A4884" s="2">
        <v>771</v>
      </c>
      <c r="B4884" t="s">
        <v>111</v>
      </c>
      <c r="C4884" t="s">
        <v>3219</v>
      </c>
      <c r="D4884" s="2">
        <v>1</v>
      </c>
      <c r="E4884" s="11" t="s">
        <v>109</v>
      </c>
      <c r="F4884" t="s">
        <v>47</v>
      </c>
      <c r="G4884" s="2" t="s">
        <v>4</v>
      </c>
      <c r="H4884" s="1">
        <v>158.89400000000001</v>
      </c>
    </row>
    <row r="4885" spans="1:8" x14ac:dyDescent="0.3">
      <c r="A4885" s="2">
        <v>771</v>
      </c>
      <c r="B4885" t="s">
        <v>1250</v>
      </c>
      <c r="C4885" t="s">
        <v>3224</v>
      </c>
      <c r="D4885" s="2">
        <v>1</v>
      </c>
      <c r="E4885" s="11" t="s">
        <v>520</v>
      </c>
      <c r="F4885" t="s">
        <v>47</v>
      </c>
      <c r="G4885" s="2" t="s">
        <v>4</v>
      </c>
      <c r="H4885" s="1">
        <v>68.794000000000011</v>
      </c>
    </row>
    <row r="4886" spans="1:8" x14ac:dyDescent="0.3">
      <c r="A4886" s="2">
        <v>771</v>
      </c>
      <c r="B4886" t="s">
        <v>206</v>
      </c>
      <c r="C4886" t="s">
        <v>3220</v>
      </c>
      <c r="D4886" s="2">
        <v>2</v>
      </c>
      <c r="E4886" s="11" t="s">
        <v>204</v>
      </c>
      <c r="F4886" t="s">
        <v>47</v>
      </c>
      <c r="G4886" s="2" t="s">
        <v>4</v>
      </c>
      <c r="H4886" s="1">
        <v>42.294000000000004</v>
      </c>
    </row>
    <row r="4887" spans="1:8" x14ac:dyDescent="0.3">
      <c r="A4887" s="2">
        <v>771</v>
      </c>
      <c r="B4887" t="s">
        <v>1249</v>
      </c>
      <c r="C4887" t="s">
        <v>3224</v>
      </c>
      <c r="D4887" s="2">
        <v>1</v>
      </c>
      <c r="E4887" s="11" t="s">
        <v>1248</v>
      </c>
      <c r="F4887" t="s">
        <v>39</v>
      </c>
      <c r="G4887" s="2" t="s">
        <v>4</v>
      </c>
      <c r="H4887" s="1">
        <v>95.294000000000011</v>
      </c>
    </row>
    <row r="4888" spans="1:8" x14ac:dyDescent="0.3">
      <c r="A4888" s="2">
        <v>771</v>
      </c>
      <c r="B4888" t="s">
        <v>196</v>
      </c>
      <c r="C4888" t="s">
        <v>3224</v>
      </c>
      <c r="D4888" s="2">
        <v>1</v>
      </c>
      <c r="E4888" s="11" t="s">
        <v>195</v>
      </c>
      <c r="F4888" t="s">
        <v>39</v>
      </c>
      <c r="G4888" s="2" t="s">
        <v>4</v>
      </c>
      <c r="H4888" s="1">
        <v>84.694000000000017</v>
      </c>
    </row>
    <row r="4889" spans="1:8" x14ac:dyDescent="0.3">
      <c r="A4889" s="2">
        <v>771</v>
      </c>
      <c r="B4889" t="s">
        <v>1247</v>
      </c>
      <c r="C4889" t="s">
        <v>3220</v>
      </c>
      <c r="D4889" s="2">
        <v>1</v>
      </c>
      <c r="E4889" s="11" t="s">
        <v>1138</v>
      </c>
      <c r="F4889" t="s">
        <v>39</v>
      </c>
      <c r="G4889" s="2" t="s">
        <v>4</v>
      </c>
      <c r="H4889" s="1">
        <v>68.794000000000011</v>
      </c>
    </row>
    <row r="4890" spans="1:8" x14ac:dyDescent="0.3">
      <c r="A4890" s="2">
        <v>771</v>
      </c>
      <c r="B4890" t="s">
        <v>93</v>
      </c>
      <c r="C4890" t="s">
        <v>3219</v>
      </c>
      <c r="D4890" s="2">
        <v>1</v>
      </c>
      <c r="E4890" s="11" t="s">
        <v>91</v>
      </c>
      <c r="F4890" t="s">
        <v>39</v>
      </c>
      <c r="G4890" s="2" t="s">
        <v>4</v>
      </c>
      <c r="H4890" s="1">
        <v>111.19400000000002</v>
      </c>
    </row>
    <row r="4891" spans="1:8" x14ac:dyDescent="0.3">
      <c r="A4891" s="2">
        <v>771</v>
      </c>
      <c r="B4891" t="s">
        <v>1246</v>
      </c>
      <c r="C4891" t="s">
        <v>3219</v>
      </c>
      <c r="D4891" s="2">
        <v>1</v>
      </c>
      <c r="E4891" s="11" t="s">
        <v>109</v>
      </c>
      <c r="F4891" t="s">
        <v>36</v>
      </c>
      <c r="G4891" s="2" t="s">
        <v>4</v>
      </c>
      <c r="H4891" s="1">
        <v>158.89400000000001</v>
      </c>
    </row>
    <row r="4892" spans="1:8" x14ac:dyDescent="0.3">
      <c r="A4892" s="2">
        <v>771</v>
      </c>
      <c r="B4892" t="s">
        <v>187</v>
      </c>
      <c r="C4892" t="s">
        <v>3220</v>
      </c>
      <c r="D4892" s="2">
        <v>1</v>
      </c>
      <c r="E4892" s="11" t="s">
        <v>185</v>
      </c>
      <c r="F4892" t="s">
        <v>36</v>
      </c>
      <c r="G4892" s="2" t="s">
        <v>4</v>
      </c>
      <c r="H4892" s="1">
        <v>84.694000000000017</v>
      </c>
    </row>
    <row r="4893" spans="1:8" x14ac:dyDescent="0.3">
      <c r="A4893" s="2">
        <v>771</v>
      </c>
      <c r="B4893" t="s">
        <v>1245</v>
      </c>
      <c r="C4893" t="s">
        <v>3219</v>
      </c>
      <c r="D4893" s="2">
        <v>1</v>
      </c>
      <c r="E4893" s="11" t="s">
        <v>1175</v>
      </c>
      <c r="F4893" t="s">
        <v>36</v>
      </c>
      <c r="G4893" s="2" t="s">
        <v>4</v>
      </c>
      <c r="H4893" s="1">
        <v>158.89400000000001</v>
      </c>
    </row>
    <row r="4894" spans="1:8" x14ac:dyDescent="0.3">
      <c r="A4894" s="2">
        <v>772</v>
      </c>
      <c r="B4894" t="s">
        <v>1244</v>
      </c>
      <c r="C4894" t="s">
        <v>3220</v>
      </c>
      <c r="D4894" s="2">
        <v>1</v>
      </c>
      <c r="E4894" s="11" t="s">
        <v>1243</v>
      </c>
      <c r="F4894" t="s">
        <v>55</v>
      </c>
      <c r="G4894" s="2" t="s">
        <v>23</v>
      </c>
      <c r="H4894" s="1">
        <v>47.594000000000001</v>
      </c>
    </row>
    <row r="4895" spans="1:8" x14ac:dyDescent="0.3">
      <c r="A4895" s="2">
        <v>772</v>
      </c>
      <c r="B4895" t="s">
        <v>296</v>
      </c>
      <c r="C4895" t="s">
        <v>1</v>
      </c>
      <c r="D4895" s="2">
        <v>1</v>
      </c>
      <c r="E4895" s="11" t="s">
        <v>281</v>
      </c>
      <c r="F4895" t="s">
        <v>55</v>
      </c>
      <c r="G4895" s="2" t="s">
        <v>31</v>
      </c>
      <c r="H4895" s="1">
        <v>58.194000000000003</v>
      </c>
    </row>
    <row r="4896" spans="1:8" x14ac:dyDescent="0.3">
      <c r="A4896" s="2">
        <v>772</v>
      </c>
      <c r="B4896" t="s">
        <v>369</v>
      </c>
      <c r="C4896" t="s">
        <v>3219</v>
      </c>
      <c r="D4896" s="2">
        <v>1</v>
      </c>
      <c r="E4896" s="11" t="s">
        <v>102</v>
      </c>
      <c r="F4896" t="s">
        <v>65</v>
      </c>
      <c r="G4896" s="2" t="s">
        <v>31</v>
      </c>
      <c r="H4896" s="1">
        <v>121.79400000000001</v>
      </c>
    </row>
    <row r="4897" spans="1:8" x14ac:dyDescent="0.3">
      <c r="A4897" s="2">
        <v>772</v>
      </c>
      <c r="B4897" t="s">
        <v>1242</v>
      </c>
      <c r="C4897" t="s">
        <v>1</v>
      </c>
      <c r="D4897" s="2">
        <v>1</v>
      </c>
      <c r="E4897" s="11" t="s">
        <v>1241</v>
      </c>
      <c r="F4897" t="s">
        <v>65</v>
      </c>
      <c r="G4897" s="2" t="s">
        <v>31</v>
      </c>
      <c r="H4897" s="1">
        <v>74.094000000000008</v>
      </c>
    </row>
    <row r="4898" spans="1:8" x14ac:dyDescent="0.3">
      <c r="A4898" s="2">
        <v>772</v>
      </c>
      <c r="B4898" t="s">
        <v>391</v>
      </c>
      <c r="C4898" t="s">
        <v>3</v>
      </c>
      <c r="D4898" s="2">
        <v>1</v>
      </c>
      <c r="E4898" s="11" t="s">
        <v>197</v>
      </c>
      <c r="F4898" t="s">
        <v>55</v>
      </c>
      <c r="G4898" s="2" t="s">
        <v>23</v>
      </c>
      <c r="H4898" s="1">
        <v>68.794000000000011</v>
      </c>
    </row>
    <row r="4899" spans="1:8" x14ac:dyDescent="0.3">
      <c r="A4899" s="2">
        <v>772</v>
      </c>
      <c r="B4899" t="s">
        <v>1240</v>
      </c>
      <c r="C4899" t="s">
        <v>1</v>
      </c>
      <c r="D4899" s="2">
        <v>1</v>
      </c>
      <c r="E4899" s="11" t="s">
        <v>281</v>
      </c>
      <c r="F4899" t="s">
        <v>959</v>
      </c>
      <c r="G4899" s="2" t="s">
        <v>31</v>
      </c>
      <c r="H4899" s="1">
        <v>58.194000000000003</v>
      </c>
    </row>
    <row r="4900" spans="1:8" x14ac:dyDescent="0.3">
      <c r="A4900" s="2">
        <v>772</v>
      </c>
      <c r="B4900" t="s">
        <v>716</v>
      </c>
      <c r="C4900" t="s">
        <v>3220</v>
      </c>
      <c r="D4900" s="2">
        <v>1</v>
      </c>
      <c r="E4900" s="11" t="s">
        <v>174</v>
      </c>
      <c r="F4900" t="s">
        <v>114</v>
      </c>
      <c r="G4900" s="2" t="s">
        <v>23</v>
      </c>
      <c r="H4900" s="1">
        <v>74.094000000000008</v>
      </c>
    </row>
    <row r="4901" spans="1:8" x14ac:dyDescent="0.3">
      <c r="A4901" s="2">
        <v>772</v>
      </c>
      <c r="B4901" t="s">
        <v>1239</v>
      </c>
      <c r="C4901" t="s">
        <v>1</v>
      </c>
      <c r="D4901" s="2">
        <v>1</v>
      </c>
      <c r="E4901" s="11" t="s">
        <v>281</v>
      </c>
      <c r="F4901" t="s">
        <v>78</v>
      </c>
      <c r="G4901" s="2" t="s">
        <v>31</v>
      </c>
      <c r="H4901" s="1">
        <v>58.194000000000003</v>
      </c>
    </row>
    <row r="4902" spans="1:8" x14ac:dyDescent="0.3">
      <c r="A4902" s="2">
        <v>772</v>
      </c>
      <c r="B4902" t="s">
        <v>1238</v>
      </c>
      <c r="C4902" t="s">
        <v>3261</v>
      </c>
      <c r="D4902" s="2">
        <v>1</v>
      </c>
      <c r="E4902" s="11" t="s">
        <v>1225</v>
      </c>
      <c r="F4902" t="s">
        <v>47</v>
      </c>
      <c r="G4902" s="2" t="s">
        <v>23</v>
      </c>
      <c r="H4902" s="1">
        <v>52.893999999999998</v>
      </c>
    </row>
    <row r="4903" spans="1:8" x14ac:dyDescent="0.3">
      <c r="A4903" s="2">
        <v>772</v>
      </c>
      <c r="B4903" t="s">
        <v>1237</v>
      </c>
      <c r="C4903" t="s">
        <v>1</v>
      </c>
      <c r="D4903" s="2">
        <v>1</v>
      </c>
      <c r="E4903" s="11" t="s">
        <v>281</v>
      </c>
      <c r="F4903" t="s">
        <v>47</v>
      </c>
      <c r="G4903" s="2" t="s">
        <v>31</v>
      </c>
      <c r="H4903" s="1">
        <v>58.194000000000003</v>
      </c>
    </row>
    <row r="4904" spans="1:8" x14ac:dyDescent="0.3">
      <c r="A4904" s="2">
        <v>772</v>
      </c>
      <c r="B4904" t="s">
        <v>710</v>
      </c>
      <c r="C4904" t="s">
        <v>3220</v>
      </c>
      <c r="D4904" s="2">
        <v>1</v>
      </c>
      <c r="E4904" s="11" t="s">
        <v>204</v>
      </c>
      <c r="F4904" t="s">
        <v>47</v>
      </c>
      <c r="G4904" s="2" t="s">
        <v>23</v>
      </c>
      <c r="H4904" s="1">
        <v>42.294000000000004</v>
      </c>
    </row>
    <row r="4905" spans="1:8" x14ac:dyDescent="0.3">
      <c r="A4905" s="2">
        <v>772</v>
      </c>
      <c r="B4905" t="s">
        <v>1236</v>
      </c>
      <c r="C4905" t="s">
        <v>0</v>
      </c>
      <c r="D4905" s="2">
        <v>1</v>
      </c>
      <c r="E4905" s="11" t="s">
        <v>549</v>
      </c>
      <c r="F4905" t="s">
        <v>39</v>
      </c>
      <c r="G4905" s="2" t="s">
        <v>31</v>
      </c>
      <c r="H4905" s="1">
        <v>164.19400000000002</v>
      </c>
    </row>
    <row r="4906" spans="1:8" x14ac:dyDescent="0.3">
      <c r="A4906" s="2">
        <v>772</v>
      </c>
      <c r="B4906" t="s">
        <v>1235</v>
      </c>
      <c r="C4906" t="s">
        <v>1</v>
      </c>
      <c r="D4906" s="2">
        <v>1</v>
      </c>
      <c r="E4906" s="11" t="s">
        <v>281</v>
      </c>
      <c r="F4906" t="s">
        <v>39</v>
      </c>
      <c r="G4906" s="2" t="s">
        <v>23</v>
      </c>
      <c r="H4906" s="1">
        <v>58.194000000000003</v>
      </c>
    </row>
    <row r="4907" spans="1:8" x14ac:dyDescent="0.3">
      <c r="A4907" s="2">
        <v>772</v>
      </c>
      <c r="B4907" t="s">
        <v>1121</v>
      </c>
      <c r="C4907" t="s">
        <v>3220</v>
      </c>
      <c r="D4907" s="2">
        <v>1</v>
      </c>
      <c r="E4907" s="11" t="s">
        <v>204</v>
      </c>
      <c r="F4907" t="s">
        <v>39</v>
      </c>
      <c r="G4907" s="2" t="s">
        <v>31</v>
      </c>
      <c r="H4907" s="1">
        <v>42.294000000000004</v>
      </c>
    </row>
    <row r="4908" spans="1:8" x14ac:dyDescent="0.3">
      <c r="A4908" s="2">
        <v>772</v>
      </c>
      <c r="B4908" t="s">
        <v>376</v>
      </c>
      <c r="C4908" t="s">
        <v>3220</v>
      </c>
      <c r="D4908" s="2">
        <v>1</v>
      </c>
      <c r="E4908" s="11" t="s">
        <v>174</v>
      </c>
      <c r="F4908" t="s">
        <v>28</v>
      </c>
      <c r="G4908" s="2" t="s">
        <v>23</v>
      </c>
      <c r="H4908" s="1">
        <v>74.094000000000008</v>
      </c>
    </row>
    <row r="4909" spans="1:8" x14ac:dyDescent="0.3">
      <c r="A4909" s="2">
        <v>772</v>
      </c>
      <c r="B4909" t="s">
        <v>289</v>
      </c>
      <c r="C4909" t="s">
        <v>3220</v>
      </c>
      <c r="D4909" s="2">
        <v>1</v>
      </c>
      <c r="E4909" s="11" t="s">
        <v>204</v>
      </c>
      <c r="F4909" t="s">
        <v>28</v>
      </c>
      <c r="G4909" s="2" t="s">
        <v>23</v>
      </c>
      <c r="H4909" s="1">
        <v>42.294000000000004</v>
      </c>
    </row>
    <row r="4910" spans="1:8" x14ac:dyDescent="0.3">
      <c r="A4910" s="2">
        <v>772</v>
      </c>
      <c r="B4910" t="s">
        <v>1168</v>
      </c>
      <c r="C4910" t="s">
        <v>3220</v>
      </c>
      <c r="D4910" s="2">
        <v>2</v>
      </c>
      <c r="E4910" s="11" t="s">
        <v>700</v>
      </c>
      <c r="F4910" t="s">
        <v>24</v>
      </c>
      <c r="G4910" s="2" t="s">
        <v>23</v>
      </c>
      <c r="H4910" s="1">
        <v>15.793999999999999</v>
      </c>
    </row>
    <row r="4911" spans="1:8" x14ac:dyDescent="0.3">
      <c r="A4911" s="2">
        <v>772</v>
      </c>
      <c r="B4911" t="s">
        <v>1002</v>
      </c>
      <c r="C4911" t="s">
        <v>3</v>
      </c>
      <c r="D4911" s="2">
        <v>2</v>
      </c>
      <c r="E4911" s="11" t="s">
        <v>450</v>
      </c>
      <c r="F4911" t="s">
        <v>24</v>
      </c>
      <c r="G4911" s="2" t="s">
        <v>31</v>
      </c>
      <c r="H4911" s="1">
        <v>68.794000000000011</v>
      </c>
    </row>
    <row r="4912" spans="1:8" x14ac:dyDescent="0.3">
      <c r="A4912" s="2">
        <v>773</v>
      </c>
      <c r="B4912" t="s">
        <v>1234</v>
      </c>
      <c r="C4912" t="s">
        <v>3220</v>
      </c>
      <c r="D4912" s="2">
        <v>1</v>
      </c>
      <c r="E4912" s="11" t="s">
        <v>146</v>
      </c>
      <c r="F4912" t="s">
        <v>62</v>
      </c>
      <c r="G4912" s="2" t="s">
        <v>31</v>
      </c>
      <c r="H4912" s="1">
        <v>36.994</v>
      </c>
    </row>
    <row r="4913" spans="1:8" x14ac:dyDescent="0.3">
      <c r="A4913" s="2">
        <v>773</v>
      </c>
      <c r="B4913" t="s">
        <v>794</v>
      </c>
      <c r="C4913" t="s">
        <v>3220</v>
      </c>
      <c r="D4913" s="2">
        <v>1</v>
      </c>
      <c r="E4913" s="11" t="s">
        <v>146</v>
      </c>
      <c r="F4913" t="s">
        <v>62</v>
      </c>
      <c r="G4913" s="2" t="s">
        <v>23</v>
      </c>
      <c r="H4913" s="1">
        <v>36.994</v>
      </c>
    </row>
    <row r="4914" spans="1:8" x14ac:dyDescent="0.3">
      <c r="A4914" s="2">
        <v>773</v>
      </c>
      <c r="B4914" t="s">
        <v>835</v>
      </c>
      <c r="C4914" t="s">
        <v>0</v>
      </c>
      <c r="D4914" s="2">
        <v>1</v>
      </c>
      <c r="E4914" s="11" t="s">
        <v>310</v>
      </c>
      <c r="F4914" t="s">
        <v>114</v>
      </c>
      <c r="G4914" s="2" t="s">
        <v>31</v>
      </c>
      <c r="H4914" s="1">
        <v>153.59400000000002</v>
      </c>
    </row>
    <row r="4915" spans="1:8" x14ac:dyDescent="0.3">
      <c r="A4915" s="2">
        <v>773</v>
      </c>
      <c r="B4915" t="s">
        <v>1233</v>
      </c>
      <c r="C4915" t="s">
        <v>0</v>
      </c>
      <c r="D4915" s="2">
        <v>1</v>
      </c>
      <c r="E4915" s="11" t="s">
        <v>1211</v>
      </c>
      <c r="F4915" t="s">
        <v>47</v>
      </c>
      <c r="G4915" s="2" t="s">
        <v>31</v>
      </c>
      <c r="H4915" s="1">
        <v>144.29</v>
      </c>
    </row>
    <row r="4916" spans="1:8" x14ac:dyDescent="0.3">
      <c r="A4916" s="2">
        <v>773</v>
      </c>
      <c r="B4916" t="s">
        <v>551</v>
      </c>
      <c r="C4916" t="s">
        <v>3334</v>
      </c>
      <c r="D4916" s="2">
        <v>1</v>
      </c>
      <c r="E4916" s="11" t="s">
        <v>448</v>
      </c>
      <c r="F4916" t="s">
        <v>39</v>
      </c>
      <c r="G4916" s="2" t="s">
        <v>23</v>
      </c>
      <c r="H4916" s="1">
        <v>164.19400000000002</v>
      </c>
    </row>
    <row r="4917" spans="1:8" x14ac:dyDescent="0.3">
      <c r="A4917" s="2">
        <v>773</v>
      </c>
      <c r="B4917" t="s">
        <v>1093</v>
      </c>
      <c r="C4917" t="s">
        <v>3225</v>
      </c>
      <c r="D4917" s="2">
        <v>1</v>
      </c>
      <c r="E4917" s="11" t="s">
        <v>886</v>
      </c>
      <c r="F4917" t="s">
        <v>28</v>
      </c>
      <c r="G4917" s="2" t="s">
        <v>23</v>
      </c>
      <c r="H4917" s="1">
        <v>174.79400000000001</v>
      </c>
    </row>
    <row r="4918" spans="1:8" x14ac:dyDescent="0.3">
      <c r="A4918" s="2">
        <v>774</v>
      </c>
      <c r="B4918" t="s">
        <v>1232</v>
      </c>
      <c r="C4918" t="s">
        <v>3224</v>
      </c>
      <c r="D4918" s="2">
        <v>1</v>
      </c>
      <c r="E4918" s="11" t="s">
        <v>1231</v>
      </c>
      <c r="F4918" t="s">
        <v>114</v>
      </c>
      <c r="G4918" s="2" t="s">
        <v>31</v>
      </c>
      <c r="H4918" s="1">
        <v>105.89400000000001</v>
      </c>
    </row>
    <row r="4919" spans="1:8" x14ac:dyDescent="0.3">
      <c r="A4919" s="2">
        <v>774</v>
      </c>
      <c r="B4919" t="s">
        <v>1230</v>
      </c>
      <c r="C4919" t="s">
        <v>3224</v>
      </c>
      <c r="D4919" s="2">
        <v>1</v>
      </c>
      <c r="E4919" s="11" t="s">
        <v>34</v>
      </c>
      <c r="F4919" t="s">
        <v>114</v>
      </c>
      <c r="G4919" s="2" t="s">
        <v>31</v>
      </c>
      <c r="H4919" s="1">
        <v>100.59400000000001</v>
      </c>
    </row>
    <row r="4920" spans="1:8" x14ac:dyDescent="0.3">
      <c r="A4920" s="2">
        <v>774</v>
      </c>
      <c r="B4920" t="s">
        <v>1229</v>
      </c>
      <c r="C4920" t="s">
        <v>3261</v>
      </c>
      <c r="D4920" s="2">
        <v>1</v>
      </c>
      <c r="E4920" s="11" t="s">
        <v>1225</v>
      </c>
      <c r="F4920" t="s">
        <v>47</v>
      </c>
      <c r="G4920" s="2" t="s">
        <v>31</v>
      </c>
      <c r="H4920" s="1">
        <v>52.893999999999998</v>
      </c>
    </row>
    <row r="4921" spans="1:8" x14ac:dyDescent="0.3">
      <c r="A4921" s="2">
        <v>774</v>
      </c>
      <c r="B4921" t="s">
        <v>1228</v>
      </c>
      <c r="C4921" t="s">
        <v>3</v>
      </c>
      <c r="D4921" s="2">
        <v>1</v>
      </c>
      <c r="E4921" s="11" t="s">
        <v>434</v>
      </c>
      <c r="F4921" t="s">
        <v>47</v>
      </c>
      <c r="G4921" s="2" t="s">
        <v>4</v>
      </c>
      <c r="H4921" s="1">
        <v>105.89400000000001</v>
      </c>
    </row>
    <row r="4922" spans="1:8" x14ac:dyDescent="0.3">
      <c r="A4922" s="2">
        <v>774</v>
      </c>
      <c r="B4922" t="s">
        <v>1227</v>
      </c>
      <c r="C4922" t="s">
        <v>3224</v>
      </c>
      <c r="D4922" s="2">
        <v>1</v>
      </c>
      <c r="E4922" s="11" t="s">
        <v>1204</v>
      </c>
      <c r="F4922" t="s">
        <v>47</v>
      </c>
      <c r="G4922" s="2" t="s">
        <v>4</v>
      </c>
      <c r="H4922" s="1">
        <v>89.994000000000014</v>
      </c>
    </row>
    <row r="4923" spans="1:8" x14ac:dyDescent="0.3">
      <c r="A4923" s="2">
        <v>774</v>
      </c>
      <c r="B4923" t="s">
        <v>1030</v>
      </c>
      <c r="C4923" t="s">
        <v>2</v>
      </c>
      <c r="D4923" s="2">
        <v>1</v>
      </c>
      <c r="E4923" s="11" t="s">
        <v>43</v>
      </c>
      <c r="F4923" t="s">
        <v>47</v>
      </c>
      <c r="G4923" s="2" t="s">
        <v>4</v>
      </c>
      <c r="H4923" s="1">
        <v>74.094000000000008</v>
      </c>
    </row>
    <row r="4924" spans="1:8" x14ac:dyDescent="0.3">
      <c r="A4924" s="2">
        <v>774</v>
      </c>
      <c r="B4924" t="s">
        <v>1226</v>
      </c>
      <c r="C4924" t="s">
        <v>3261</v>
      </c>
      <c r="D4924" s="2">
        <v>1</v>
      </c>
      <c r="E4924" s="11" t="s">
        <v>1225</v>
      </c>
      <c r="F4924" t="s">
        <v>39</v>
      </c>
      <c r="G4924" s="2" t="s">
        <v>31</v>
      </c>
      <c r="H4924" s="1">
        <v>52.893999999999998</v>
      </c>
    </row>
    <row r="4925" spans="1:8" x14ac:dyDescent="0.3">
      <c r="A4925" s="2">
        <v>774</v>
      </c>
      <c r="B4925" t="s">
        <v>101</v>
      </c>
      <c r="C4925" t="s">
        <v>2</v>
      </c>
      <c r="D4925" s="2">
        <v>1</v>
      </c>
      <c r="E4925" s="11" t="s">
        <v>60</v>
      </c>
      <c r="F4925" t="s">
        <v>39</v>
      </c>
      <c r="G4925" s="2" t="s">
        <v>4</v>
      </c>
      <c r="H4925" s="1">
        <v>68.794000000000011</v>
      </c>
    </row>
    <row r="4926" spans="1:8" x14ac:dyDescent="0.3">
      <c r="A4926" s="2">
        <v>774</v>
      </c>
      <c r="B4926" t="s">
        <v>196</v>
      </c>
      <c r="C4926" t="s">
        <v>3224</v>
      </c>
      <c r="D4926" s="2">
        <v>1</v>
      </c>
      <c r="E4926" s="11" t="s">
        <v>195</v>
      </c>
      <c r="F4926" t="s">
        <v>39</v>
      </c>
      <c r="G4926" s="2" t="s">
        <v>4</v>
      </c>
      <c r="H4926" s="1">
        <v>84.694000000000017</v>
      </c>
    </row>
    <row r="4927" spans="1:8" x14ac:dyDescent="0.3">
      <c r="A4927" s="2">
        <v>774</v>
      </c>
      <c r="B4927" t="s">
        <v>1224</v>
      </c>
      <c r="C4927" t="s">
        <v>3224</v>
      </c>
      <c r="D4927" s="2">
        <v>1</v>
      </c>
      <c r="E4927" s="11" t="s">
        <v>1223</v>
      </c>
      <c r="F4927" t="s">
        <v>39</v>
      </c>
      <c r="G4927" s="2" t="s">
        <v>31</v>
      </c>
      <c r="H4927" s="1">
        <v>52.893999999999998</v>
      </c>
    </row>
    <row r="4928" spans="1:8" x14ac:dyDescent="0.3">
      <c r="A4928" s="2">
        <v>774</v>
      </c>
      <c r="B4928" t="s">
        <v>44</v>
      </c>
      <c r="C4928" t="s">
        <v>2</v>
      </c>
      <c r="D4928" s="2">
        <v>1</v>
      </c>
      <c r="E4928" s="11" t="s">
        <v>43</v>
      </c>
      <c r="F4928" t="s">
        <v>39</v>
      </c>
      <c r="G4928" s="2" t="s">
        <v>4</v>
      </c>
      <c r="H4928" s="1">
        <v>74.094000000000008</v>
      </c>
    </row>
    <row r="4929" spans="1:8" x14ac:dyDescent="0.3">
      <c r="A4929" s="2">
        <v>774</v>
      </c>
      <c r="B4929" t="s">
        <v>1222</v>
      </c>
      <c r="C4929" t="s">
        <v>3224</v>
      </c>
      <c r="D4929" s="2">
        <v>1</v>
      </c>
      <c r="E4929" s="11" t="s">
        <v>970</v>
      </c>
      <c r="F4929" t="s">
        <v>28</v>
      </c>
      <c r="G4929" s="2" t="s">
        <v>4</v>
      </c>
      <c r="H4929" s="1">
        <v>100.59400000000001</v>
      </c>
    </row>
    <row r="4930" spans="1:8" x14ac:dyDescent="0.3">
      <c r="A4930" s="2">
        <v>775</v>
      </c>
      <c r="B4930" t="s">
        <v>659</v>
      </c>
      <c r="C4930" t="s">
        <v>3224</v>
      </c>
      <c r="D4930" s="2">
        <v>1</v>
      </c>
      <c r="E4930" s="11" t="s">
        <v>656</v>
      </c>
      <c r="F4930" t="s">
        <v>114</v>
      </c>
      <c r="G4930" s="2" t="s">
        <v>4</v>
      </c>
      <c r="H4930" s="1">
        <v>74.094000000000008</v>
      </c>
    </row>
    <row r="4931" spans="1:8" x14ac:dyDescent="0.3">
      <c r="A4931" s="2">
        <v>775</v>
      </c>
      <c r="B4931" t="s">
        <v>658</v>
      </c>
      <c r="C4931" t="s">
        <v>3224</v>
      </c>
      <c r="D4931" s="2">
        <v>3</v>
      </c>
      <c r="E4931" s="11" t="s">
        <v>656</v>
      </c>
      <c r="F4931" t="s">
        <v>114</v>
      </c>
      <c r="G4931" s="2" t="s">
        <v>31</v>
      </c>
      <c r="H4931" s="1">
        <v>74.094000000000008</v>
      </c>
    </row>
    <row r="4932" spans="1:8" x14ac:dyDescent="0.3">
      <c r="A4932" s="2">
        <v>775</v>
      </c>
      <c r="B4932" t="s">
        <v>657</v>
      </c>
      <c r="C4932" t="s">
        <v>3224</v>
      </c>
      <c r="D4932" s="2">
        <v>1</v>
      </c>
      <c r="E4932" s="11" t="s">
        <v>656</v>
      </c>
      <c r="F4932" t="s">
        <v>114</v>
      </c>
      <c r="G4932" s="2" t="s">
        <v>23</v>
      </c>
      <c r="H4932" s="1">
        <v>74.094000000000008</v>
      </c>
    </row>
    <row r="4933" spans="1:8" x14ac:dyDescent="0.3">
      <c r="A4933" s="2">
        <v>775</v>
      </c>
      <c r="B4933" t="s">
        <v>778</v>
      </c>
      <c r="C4933" t="s">
        <v>3219</v>
      </c>
      <c r="D4933" s="2">
        <v>1</v>
      </c>
      <c r="E4933" s="11" t="s">
        <v>66</v>
      </c>
      <c r="F4933" t="s">
        <v>28</v>
      </c>
      <c r="G4933" s="2" t="s">
        <v>4</v>
      </c>
      <c r="H4933" s="1">
        <v>180.09400000000002</v>
      </c>
    </row>
    <row r="4934" spans="1:8" x14ac:dyDescent="0.3">
      <c r="A4934" s="2">
        <v>775</v>
      </c>
      <c r="B4934" t="s">
        <v>792</v>
      </c>
      <c r="C4934" t="s">
        <v>3219</v>
      </c>
      <c r="D4934" s="2">
        <v>1</v>
      </c>
      <c r="E4934" s="11" t="s">
        <v>66</v>
      </c>
      <c r="F4934" t="s">
        <v>28</v>
      </c>
      <c r="G4934" s="2" t="s">
        <v>31</v>
      </c>
      <c r="H4934" s="1">
        <v>180.09400000000002</v>
      </c>
    </row>
    <row r="4935" spans="1:8" x14ac:dyDescent="0.3">
      <c r="A4935" s="2">
        <v>775</v>
      </c>
      <c r="B4935" t="s">
        <v>1221</v>
      </c>
      <c r="C4935" t="s">
        <v>3219</v>
      </c>
      <c r="D4935" s="2">
        <v>1</v>
      </c>
      <c r="E4935" s="11" t="s">
        <v>66</v>
      </c>
      <c r="F4935" t="s">
        <v>28</v>
      </c>
      <c r="G4935" s="2" t="s">
        <v>23</v>
      </c>
      <c r="H4935" s="1">
        <v>180.09400000000002</v>
      </c>
    </row>
    <row r="4936" spans="1:8" x14ac:dyDescent="0.3">
      <c r="A4936" s="2">
        <v>775</v>
      </c>
      <c r="B4936" t="s">
        <v>883</v>
      </c>
      <c r="C4936" t="s">
        <v>3224</v>
      </c>
      <c r="D4936" s="2">
        <v>1</v>
      </c>
      <c r="E4936" s="11" t="s">
        <v>656</v>
      </c>
      <c r="F4936" t="s">
        <v>47</v>
      </c>
      <c r="G4936" s="2" t="s">
        <v>4</v>
      </c>
      <c r="H4936" s="1">
        <v>74.094000000000008</v>
      </c>
    </row>
    <row r="4937" spans="1:8" x14ac:dyDescent="0.3">
      <c r="A4937" s="2">
        <v>775</v>
      </c>
      <c r="B4937" t="s">
        <v>882</v>
      </c>
      <c r="C4937" t="s">
        <v>3224</v>
      </c>
      <c r="D4937" s="2">
        <v>1</v>
      </c>
      <c r="E4937" s="11" t="s">
        <v>656</v>
      </c>
      <c r="F4937" t="s">
        <v>47</v>
      </c>
      <c r="G4937" s="2" t="s">
        <v>31</v>
      </c>
      <c r="H4937" s="1">
        <v>74.094000000000008</v>
      </c>
    </row>
    <row r="4938" spans="1:8" x14ac:dyDescent="0.3">
      <c r="A4938" s="2">
        <v>775</v>
      </c>
      <c r="B4938" t="s">
        <v>881</v>
      </c>
      <c r="C4938" t="s">
        <v>3224</v>
      </c>
      <c r="D4938" s="2">
        <v>2</v>
      </c>
      <c r="E4938" s="11" t="s">
        <v>656</v>
      </c>
      <c r="F4938" t="s">
        <v>47</v>
      </c>
      <c r="G4938" s="2" t="s">
        <v>23</v>
      </c>
      <c r="H4938" s="1">
        <v>74.094000000000008</v>
      </c>
    </row>
    <row r="4939" spans="1:8" x14ac:dyDescent="0.3">
      <c r="A4939" s="2">
        <v>776</v>
      </c>
      <c r="B4939" t="s">
        <v>993</v>
      </c>
      <c r="C4939" t="s">
        <v>3225</v>
      </c>
      <c r="D4939" s="2">
        <v>1</v>
      </c>
      <c r="E4939" s="11" t="s">
        <v>220</v>
      </c>
      <c r="F4939" t="s">
        <v>55</v>
      </c>
      <c r="G4939" s="2" t="s">
        <v>31</v>
      </c>
      <c r="H4939" s="1">
        <v>195.99400000000003</v>
      </c>
    </row>
    <row r="4940" spans="1:8" x14ac:dyDescent="0.3">
      <c r="A4940" s="2">
        <v>776</v>
      </c>
      <c r="B4940" t="s">
        <v>1220</v>
      </c>
      <c r="C4940" t="s">
        <v>0</v>
      </c>
      <c r="D4940" s="2">
        <v>1</v>
      </c>
      <c r="E4940" s="11" t="s">
        <v>1219</v>
      </c>
      <c r="F4940" t="s">
        <v>126</v>
      </c>
      <c r="G4940" s="2" t="s">
        <v>4</v>
      </c>
      <c r="H4940" s="1">
        <v>180.09400000000002</v>
      </c>
    </row>
    <row r="4941" spans="1:8" x14ac:dyDescent="0.3">
      <c r="A4941" s="2">
        <v>776</v>
      </c>
      <c r="B4941" t="s">
        <v>1218</v>
      </c>
      <c r="C4941" t="s">
        <v>3219</v>
      </c>
      <c r="D4941" s="2">
        <v>1</v>
      </c>
      <c r="E4941" s="11" t="s">
        <v>1173</v>
      </c>
      <c r="F4941" t="s">
        <v>81</v>
      </c>
      <c r="G4941" s="2" t="s">
        <v>4</v>
      </c>
      <c r="H4941" s="1">
        <v>116.49400000000001</v>
      </c>
    </row>
    <row r="4942" spans="1:8" x14ac:dyDescent="0.3">
      <c r="A4942" s="2">
        <v>776</v>
      </c>
      <c r="B4942" t="s">
        <v>530</v>
      </c>
      <c r="C4942" t="s">
        <v>3224</v>
      </c>
      <c r="D4942" s="2">
        <v>1</v>
      </c>
      <c r="E4942" s="11" t="s">
        <v>529</v>
      </c>
      <c r="F4942" t="s">
        <v>81</v>
      </c>
      <c r="G4942" s="2" t="s">
        <v>4</v>
      </c>
      <c r="H4942" s="1">
        <v>84.694000000000017</v>
      </c>
    </row>
    <row r="4943" spans="1:8" x14ac:dyDescent="0.3">
      <c r="A4943" s="2">
        <v>776</v>
      </c>
      <c r="B4943" t="s">
        <v>1217</v>
      </c>
      <c r="C4943" t="s">
        <v>3225</v>
      </c>
      <c r="D4943" s="2">
        <v>1</v>
      </c>
      <c r="E4943" s="11" t="s">
        <v>1216</v>
      </c>
      <c r="F4943" t="s">
        <v>62</v>
      </c>
      <c r="G4943" s="2" t="s">
        <v>4</v>
      </c>
      <c r="H4943" s="1">
        <v>206.59400000000002</v>
      </c>
    </row>
    <row r="4944" spans="1:8" x14ac:dyDescent="0.3">
      <c r="A4944" s="2">
        <v>776</v>
      </c>
      <c r="B4944" t="s">
        <v>1215</v>
      </c>
      <c r="C4944" t="s">
        <v>3219</v>
      </c>
      <c r="D4944" s="2">
        <v>1</v>
      </c>
      <c r="E4944" s="11" t="s">
        <v>1214</v>
      </c>
      <c r="F4944" t="s">
        <v>114</v>
      </c>
      <c r="G4944" s="2" t="s">
        <v>4</v>
      </c>
      <c r="H4944" s="1">
        <v>127.09400000000001</v>
      </c>
    </row>
    <row r="4945" spans="1:8" x14ac:dyDescent="0.3">
      <c r="A4945" s="2">
        <v>776</v>
      </c>
      <c r="B4945" t="s">
        <v>1213</v>
      </c>
      <c r="C4945" t="s">
        <v>3</v>
      </c>
      <c r="D4945" s="2">
        <v>1</v>
      </c>
      <c r="E4945" s="11" t="s">
        <v>434</v>
      </c>
      <c r="F4945" t="s">
        <v>114</v>
      </c>
      <c r="G4945" s="2" t="s">
        <v>31</v>
      </c>
      <c r="H4945" s="1">
        <v>105.89400000000001</v>
      </c>
    </row>
    <row r="4946" spans="1:8" x14ac:dyDescent="0.3">
      <c r="A4946" s="2">
        <v>776</v>
      </c>
      <c r="B4946" t="s">
        <v>1212</v>
      </c>
      <c r="C4946" t="s">
        <v>0</v>
      </c>
      <c r="D4946" s="2">
        <v>1</v>
      </c>
      <c r="E4946" s="11" t="s">
        <v>1211</v>
      </c>
      <c r="F4946" t="s">
        <v>47</v>
      </c>
      <c r="G4946" s="2" t="s">
        <v>4</v>
      </c>
      <c r="H4946" s="1">
        <v>144.29</v>
      </c>
    </row>
    <row r="4947" spans="1:8" x14ac:dyDescent="0.3">
      <c r="A4947" s="2">
        <v>776</v>
      </c>
      <c r="B4947" t="s">
        <v>1210</v>
      </c>
      <c r="C4947" t="s">
        <v>3224</v>
      </c>
      <c r="D4947" s="2">
        <v>1</v>
      </c>
      <c r="E4947" s="11" t="s">
        <v>970</v>
      </c>
      <c r="F4947" t="s">
        <v>47</v>
      </c>
      <c r="G4947" s="2" t="s">
        <v>4</v>
      </c>
      <c r="H4947" s="1">
        <v>100.59400000000001</v>
      </c>
    </row>
    <row r="4948" spans="1:8" x14ac:dyDescent="0.3">
      <c r="A4948" s="2">
        <v>776</v>
      </c>
      <c r="B4948" t="s">
        <v>1209</v>
      </c>
      <c r="C4948" t="s">
        <v>1</v>
      </c>
      <c r="D4948" s="2">
        <v>1</v>
      </c>
      <c r="E4948" s="11" t="s">
        <v>1008</v>
      </c>
      <c r="F4948" t="s">
        <v>47</v>
      </c>
      <c r="G4948" s="2" t="s">
        <v>31</v>
      </c>
      <c r="H4948" s="1">
        <v>95.294000000000011</v>
      </c>
    </row>
    <row r="4949" spans="1:8" x14ac:dyDescent="0.3">
      <c r="A4949" s="2">
        <v>776</v>
      </c>
      <c r="B4949" t="s">
        <v>1208</v>
      </c>
      <c r="C4949" t="s">
        <v>3219</v>
      </c>
      <c r="D4949" s="2">
        <v>1</v>
      </c>
      <c r="E4949" s="11" t="s">
        <v>109</v>
      </c>
      <c r="F4949" t="s">
        <v>36</v>
      </c>
      <c r="G4949" s="2" t="s">
        <v>31</v>
      </c>
      <c r="H4949" s="1">
        <v>158.89400000000001</v>
      </c>
    </row>
    <row r="4950" spans="1:8" x14ac:dyDescent="0.3">
      <c r="A4950" s="2">
        <v>776</v>
      </c>
      <c r="B4950" t="s">
        <v>1207</v>
      </c>
      <c r="C4950" t="s">
        <v>3225</v>
      </c>
      <c r="D4950" s="2">
        <v>1</v>
      </c>
      <c r="E4950" s="11" t="s">
        <v>886</v>
      </c>
      <c r="F4950" t="s">
        <v>28</v>
      </c>
      <c r="G4950" s="2" t="s">
        <v>31</v>
      </c>
      <c r="H4950" s="1">
        <v>174.79400000000001</v>
      </c>
    </row>
    <row r="4951" spans="1:8" x14ac:dyDescent="0.3">
      <c r="A4951" s="2">
        <v>777</v>
      </c>
      <c r="B4951" t="s">
        <v>1206</v>
      </c>
      <c r="C4951" t="s">
        <v>3238</v>
      </c>
      <c r="D4951" s="2">
        <v>1</v>
      </c>
      <c r="E4951" s="11" t="s">
        <v>871</v>
      </c>
      <c r="F4951" t="s">
        <v>55</v>
      </c>
      <c r="G4951" s="2" t="s">
        <v>23</v>
      </c>
      <c r="H4951" s="1">
        <v>68.794000000000011</v>
      </c>
    </row>
    <row r="4952" spans="1:8" x14ac:dyDescent="0.3">
      <c r="A4952" s="2">
        <v>777</v>
      </c>
      <c r="B4952" t="s">
        <v>1205</v>
      </c>
      <c r="C4952" t="s">
        <v>3224</v>
      </c>
      <c r="D4952" s="2">
        <v>1</v>
      </c>
      <c r="E4952" s="11" t="s">
        <v>1204</v>
      </c>
      <c r="F4952" t="s">
        <v>55</v>
      </c>
      <c r="G4952" s="2" t="s">
        <v>23</v>
      </c>
      <c r="H4952" s="1">
        <v>89.994000000000014</v>
      </c>
    </row>
    <row r="4953" spans="1:8" x14ac:dyDescent="0.3">
      <c r="A4953" s="2">
        <v>777</v>
      </c>
      <c r="B4953" t="s">
        <v>755</v>
      </c>
      <c r="C4953" t="s">
        <v>1</v>
      </c>
      <c r="D4953" s="2">
        <v>1</v>
      </c>
      <c r="E4953" s="11" t="s">
        <v>53</v>
      </c>
      <c r="F4953" t="s">
        <v>65</v>
      </c>
      <c r="G4953" s="2" t="s">
        <v>31</v>
      </c>
      <c r="H4953" s="1">
        <v>36.994</v>
      </c>
    </row>
    <row r="4954" spans="1:8" x14ac:dyDescent="0.3">
      <c r="A4954" s="2">
        <v>777</v>
      </c>
      <c r="B4954" t="s">
        <v>295</v>
      </c>
      <c r="C4954" t="s">
        <v>1</v>
      </c>
      <c r="D4954" s="2">
        <v>1</v>
      </c>
      <c r="E4954" s="11" t="s">
        <v>243</v>
      </c>
      <c r="F4954" t="s">
        <v>65</v>
      </c>
      <c r="G4954" s="2" t="s">
        <v>203</v>
      </c>
      <c r="H4954" s="1">
        <v>31.693999999999999</v>
      </c>
    </row>
    <row r="4955" spans="1:8" x14ac:dyDescent="0.3">
      <c r="A4955" s="2">
        <v>777</v>
      </c>
      <c r="B4955" t="s">
        <v>1203</v>
      </c>
      <c r="C4955" t="s">
        <v>1</v>
      </c>
      <c r="D4955" s="2">
        <v>1</v>
      </c>
      <c r="E4955" s="11" t="s">
        <v>281</v>
      </c>
      <c r="F4955" t="s">
        <v>65</v>
      </c>
      <c r="G4955" s="2" t="s">
        <v>203</v>
      </c>
      <c r="H4955" s="1">
        <v>58.194000000000003</v>
      </c>
    </row>
    <row r="4956" spans="1:8" x14ac:dyDescent="0.3">
      <c r="A4956" s="2">
        <v>777</v>
      </c>
      <c r="B4956" t="s">
        <v>1202</v>
      </c>
      <c r="C4956" t="s">
        <v>1</v>
      </c>
      <c r="D4956" s="2">
        <v>1</v>
      </c>
      <c r="E4956" s="11" t="s">
        <v>805</v>
      </c>
      <c r="F4956" t="s">
        <v>28</v>
      </c>
      <c r="G4956" s="2" t="s">
        <v>31</v>
      </c>
      <c r="H4956" s="1">
        <v>89.994000000000014</v>
      </c>
    </row>
    <row r="4957" spans="1:8" x14ac:dyDescent="0.3">
      <c r="A4957" s="2">
        <v>777</v>
      </c>
      <c r="B4957" t="s">
        <v>1201</v>
      </c>
      <c r="C4957" t="s">
        <v>3224</v>
      </c>
      <c r="D4957" s="2">
        <v>1</v>
      </c>
      <c r="E4957" s="11" t="s">
        <v>1145</v>
      </c>
      <c r="F4957" t="s">
        <v>254</v>
      </c>
      <c r="G4957" s="2" t="s">
        <v>23</v>
      </c>
      <c r="H4957" s="1">
        <v>121.79400000000001</v>
      </c>
    </row>
    <row r="4958" spans="1:8" x14ac:dyDescent="0.3">
      <c r="A4958" s="2">
        <v>777</v>
      </c>
      <c r="B4958" t="s">
        <v>1200</v>
      </c>
      <c r="C4958" t="s">
        <v>3</v>
      </c>
      <c r="D4958" s="2">
        <v>1</v>
      </c>
      <c r="E4958" s="11" t="s">
        <v>434</v>
      </c>
      <c r="F4958" t="s">
        <v>55</v>
      </c>
      <c r="G4958" s="2" t="s">
        <v>23</v>
      </c>
      <c r="H4958" s="1">
        <v>105.89400000000001</v>
      </c>
    </row>
    <row r="4959" spans="1:8" x14ac:dyDescent="0.3">
      <c r="A4959" s="2">
        <v>777</v>
      </c>
      <c r="B4959" t="s">
        <v>1199</v>
      </c>
      <c r="C4959" t="s">
        <v>1</v>
      </c>
      <c r="D4959" s="2">
        <v>1</v>
      </c>
      <c r="E4959" s="11" t="s">
        <v>805</v>
      </c>
      <c r="F4959" t="s">
        <v>55</v>
      </c>
      <c r="G4959" s="2" t="s">
        <v>23</v>
      </c>
      <c r="H4959" s="1">
        <v>89.994000000000014</v>
      </c>
    </row>
    <row r="4960" spans="1:8" x14ac:dyDescent="0.3">
      <c r="A4960" s="2">
        <v>777</v>
      </c>
      <c r="B4960" t="s">
        <v>244</v>
      </c>
      <c r="C4960" t="s">
        <v>1</v>
      </c>
      <c r="D4960" s="2">
        <v>1</v>
      </c>
      <c r="E4960" s="11" t="s">
        <v>243</v>
      </c>
      <c r="F4960" t="s">
        <v>241</v>
      </c>
      <c r="G4960" s="2" t="s">
        <v>203</v>
      </c>
      <c r="H4960" s="1">
        <v>31.693999999999999</v>
      </c>
    </row>
    <row r="4961" spans="1:8" x14ac:dyDescent="0.3">
      <c r="A4961" s="2">
        <v>777</v>
      </c>
      <c r="B4961" t="s">
        <v>1198</v>
      </c>
      <c r="C4961" t="s">
        <v>1</v>
      </c>
      <c r="D4961" s="2">
        <v>1</v>
      </c>
      <c r="E4961" s="11" t="s">
        <v>281</v>
      </c>
      <c r="F4961" t="s">
        <v>241</v>
      </c>
      <c r="G4961" s="2" t="s">
        <v>203</v>
      </c>
      <c r="H4961" s="1">
        <v>58.194000000000003</v>
      </c>
    </row>
    <row r="4962" spans="1:8" x14ac:dyDescent="0.3">
      <c r="A4962" s="2">
        <v>777</v>
      </c>
      <c r="B4962" t="s">
        <v>1197</v>
      </c>
      <c r="C4962" t="s">
        <v>3</v>
      </c>
      <c r="D4962" s="2">
        <v>1</v>
      </c>
      <c r="E4962" s="11" t="s">
        <v>1195</v>
      </c>
      <c r="F4962" t="s">
        <v>114</v>
      </c>
      <c r="G4962" s="2" t="s">
        <v>4</v>
      </c>
      <c r="H4962" s="1">
        <v>116.49400000000001</v>
      </c>
    </row>
    <row r="4963" spans="1:8" x14ac:dyDescent="0.3">
      <c r="A4963" s="2">
        <v>777</v>
      </c>
      <c r="B4963" t="s">
        <v>1196</v>
      </c>
      <c r="C4963" t="s">
        <v>3</v>
      </c>
      <c r="D4963" s="2">
        <v>1</v>
      </c>
      <c r="E4963" s="11" t="s">
        <v>1195</v>
      </c>
      <c r="F4963" t="s">
        <v>114</v>
      </c>
      <c r="G4963" s="2" t="s">
        <v>23</v>
      </c>
      <c r="H4963" s="1">
        <v>116.49400000000001</v>
      </c>
    </row>
    <row r="4964" spans="1:8" x14ac:dyDescent="0.3">
      <c r="A4964" s="2">
        <v>777</v>
      </c>
      <c r="B4964" t="s">
        <v>1194</v>
      </c>
      <c r="C4964" t="s">
        <v>3238</v>
      </c>
      <c r="D4964" s="2">
        <v>1</v>
      </c>
      <c r="E4964" s="11" t="s">
        <v>952</v>
      </c>
      <c r="F4964" t="s">
        <v>114</v>
      </c>
      <c r="G4964" s="2" t="s">
        <v>31</v>
      </c>
      <c r="H4964" s="1">
        <v>105.89400000000001</v>
      </c>
    </row>
    <row r="4965" spans="1:8" x14ac:dyDescent="0.3">
      <c r="A4965" s="2">
        <v>777</v>
      </c>
      <c r="B4965" t="s">
        <v>1193</v>
      </c>
      <c r="C4965" t="s">
        <v>3238</v>
      </c>
      <c r="D4965" s="2">
        <v>2</v>
      </c>
      <c r="E4965" s="11" t="s">
        <v>952</v>
      </c>
      <c r="F4965" t="s">
        <v>114</v>
      </c>
      <c r="G4965" s="2" t="s">
        <v>23</v>
      </c>
      <c r="H4965" s="1">
        <v>105.89400000000001</v>
      </c>
    </row>
    <row r="4966" spans="1:8" x14ac:dyDescent="0.3">
      <c r="A4966" s="2">
        <v>777</v>
      </c>
      <c r="B4966" t="s">
        <v>1192</v>
      </c>
      <c r="C4966" t="s">
        <v>1</v>
      </c>
      <c r="D4966" s="2">
        <v>1</v>
      </c>
      <c r="E4966" s="11" t="s">
        <v>805</v>
      </c>
      <c r="F4966" t="s">
        <v>114</v>
      </c>
      <c r="G4966" s="2" t="s">
        <v>31</v>
      </c>
      <c r="H4966" s="1">
        <v>89.994000000000014</v>
      </c>
    </row>
    <row r="4967" spans="1:8" x14ac:dyDescent="0.3">
      <c r="A4967" s="2">
        <v>777</v>
      </c>
      <c r="B4967" t="s">
        <v>1191</v>
      </c>
      <c r="C4967" t="s">
        <v>1</v>
      </c>
      <c r="D4967" s="2">
        <v>1</v>
      </c>
      <c r="E4967" s="11" t="s">
        <v>805</v>
      </c>
      <c r="F4967" t="s">
        <v>47</v>
      </c>
      <c r="G4967" s="2" t="s">
        <v>4</v>
      </c>
      <c r="H4967" s="1">
        <v>89.994000000000014</v>
      </c>
    </row>
    <row r="4968" spans="1:8" x14ac:dyDescent="0.3">
      <c r="A4968" s="2">
        <v>777</v>
      </c>
      <c r="B4968" t="s">
        <v>1190</v>
      </c>
      <c r="C4968" t="s">
        <v>1</v>
      </c>
      <c r="D4968" s="2">
        <v>2</v>
      </c>
      <c r="E4968" s="11" t="s">
        <v>281</v>
      </c>
      <c r="F4968" t="s">
        <v>47</v>
      </c>
      <c r="G4968" s="2" t="s">
        <v>203</v>
      </c>
      <c r="H4968" s="1">
        <v>58.194000000000003</v>
      </c>
    </row>
    <row r="4969" spans="1:8" x14ac:dyDescent="0.3">
      <c r="A4969" s="2">
        <v>777</v>
      </c>
      <c r="B4969" t="s">
        <v>1189</v>
      </c>
      <c r="C4969" t="s">
        <v>3</v>
      </c>
      <c r="D4969" s="2">
        <v>1</v>
      </c>
      <c r="E4969" s="11" t="s">
        <v>434</v>
      </c>
      <c r="F4969" t="s">
        <v>39</v>
      </c>
      <c r="G4969" s="2" t="s">
        <v>23</v>
      </c>
      <c r="H4969" s="1">
        <v>105.89400000000001</v>
      </c>
    </row>
    <row r="4970" spans="1:8" x14ac:dyDescent="0.3">
      <c r="A4970" s="2">
        <v>777</v>
      </c>
      <c r="B4970" t="s">
        <v>953</v>
      </c>
      <c r="C4970" t="s">
        <v>3238</v>
      </c>
      <c r="D4970" s="2">
        <v>1</v>
      </c>
      <c r="E4970" s="11" t="s">
        <v>952</v>
      </c>
      <c r="F4970" t="s">
        <v>39</v>
      </c>
      <c r="G4970" s="2" t="s">
        <v>23</v>
      </c>
      <c r="H4970" s="1">
        <v>105.89400000000001</v>
      </c>
    </row>
    <row r="4971" spans="1:8" x14ac:dyDescent="0.3">
      <c r="A4971" s="2">
        <v>777</v>
      </c>
      <c r="B4971" t="s">
        <v>1188</v>
      </c>
      <c r="C4971" t="s">
        <v>3238</v>
      </c>
      <c r="D4971" s="2">
        <v>1</v>
      </c>
      <c r="E4971" s="11" t="s">
        <v>952</v>
      </c>
      <c r="F4971" t="s">
        <v>39</v>
      </c>
      <c r="G4971" s="2" t="s">
        <v>4</v>
      </c>
      <c r="H4971" s="1">
        <v>105.89400000000001</v>
      </c>
    </row>
    <row r="4972" spans="1:8" x14ac:dyDescent="0.3">
      <c r="A4972" s="2">
        <v>777</v>
      </c>
      <c r="B4972" t="s">
        <v>953</v>
      </c>
      <c r="C4972" t="s">
        <v>3238</v>
      </c>
      <c r="D4972" s="2">
        <v>1</v>
      </c>
      <c r="E4972" s="11" t="s">
        <v>952</v>
      </c>
      <c r="F4972" t="s">
        <v>39</v>
      </c>
      <c r="G4972" s="2" t="s">
        <v>23</v>
      </c>
      <c r="H4972" s="1">
        <v>105.89400000000001</v>
      </c>
    </row>
    <row r="4973" spans="1:8" x14ac:dyDescent="0.3">
      <c r="A4973" s="2">
        <v>777</v>
      </c>
      <c r="B4973" t="s">
        <v>284</v>
      </c>
      <c r="C4973" t="s">
        <v>1</v>
      </c>
      <c r="D4973" s="2">
        <v>1</v>
      </c>
      <c r="E4973" s="11" t="s">
        <v>281</v>
      </c>
      <c r="F4973" t="s">
        <v>39</v>
      </c>
      <c r="G4973" s="2" t="s">
        <v>203</v>
      </c>
      <c r="H4973" s="1">
        <v>58.194000000000003</v>
      </c>
    </row>
    <row r="4974" spans="1:8" x14ac:dyDescent="0.3">
      <c r="A4974" s="2">
        <v>777</v>
      </c>
      <c r="B4974" t="s">
        <v>708</v>
      </c>
      <c r="C4974" t="s">
        <v>3220</v>
      </c>
      <c r="D4974" s="2">
        <v>1</v>
      </c>
      <c r="E4974" s="11" t="s">
        <v>204</v>
      </c>
      <c r="F4974" t="s">
        <v>39</v>
      </c>
      <c r="G4974" s="2" t="s">
        <v>23</v>
      </c>
      <c r="H4974" s="1">
        <v>42.294000000000004</v>
      </c>
    </row>
    <row r="4975" spans="1:8" x14ac:dyDescent="0.3">
      <c r="A4975" s="2">
        <v>777</v>
      </c>
      <c r="B4975" t="s">
        <v>1187</v>
      </c>
      <c r="C4975" t="s">
        <v>1</v>
      </c>
      <c r="D4975" s="2">
        <v>1</v>
      </c>
      <c r="E4975" s="11" t="s">
        <v>53</v>
      </c>
      <c r="F4975" t="s">
        <v>1186</v>
      </c>
      <c r="G4975" s="2" t="s">
        <v>203</v>
      </c>
      <c r="H4975" s="1">
        <v>36.994</v>
      </c>
    </row>
    <row r="4976" spans="1:8" x14ac:dyDescent="0.3">
      <c r="A4976" s="2">
        <v>777</v>
      </c>
      <c r="B4976" t="s">
        <v>1185</v>
      </c>
      <c r="C4976" t="s">
        <v>3224</v>
      </c>
      <c r="D4976" s="2">
        <v>1</v>
      </c>
      <c r="E4976" s="11" t="s">
        <v>1145</v>
      </c>
      <c r="F4976" t="s">
        <v>28</v>
      </c>
      <c r="G4976" s="2" t="s">
        <v>4</v>
      </c>
      <c r="H4976" s="1">
        <v>121.79400000000001</v>
      </c>
    </row>
    <row r="4977" spans="1:8" x14ac:dyDescent="0.3">
      <c r="A4977" s="2">
        <v>777</v>
      </c>
      <c r="B4977" t="s">
        <v>1184</v>
      </c>
      <c r="C4977" t="s">
        <v>3224</v>
      </c>
      <c r="D4977" s="2">
        <v>1</v>
      </c>
      <c r="E4977" s="11" t="s">
        <v>1145</v>
      </c>
      <c r="F4977" t="s">
        <v>28</v>
      </c>
      <c r="G4977" s="2" t="s">
        <v>31</v>
      </c>
      <c r="H4977" s="1">
        <v>121.79400000000001</v>
      </c>
    </row>
    <row r="4978" spans="1:8" x14ac:dyDescent="0.3">
      <c r="A4978" s="2">
        <v>777</v>
      </c>
      <c r="B4978" t="s">
        <v>1135</v>
      </c>
      <c r="C4978" t="s">
        <v>3</v>
      </c>
      <c r="D4978" s="2">
        <v>1</v>
      </c>
      <c r="E4978" s="11" t="s">
        <v>1133</v>
      </c>
      <c r="F4978" t="s">
        <v>28</v>
      </c>
      <c r="G4978" s="2" t="s">
        <v>4</v>
      </c>
      <c r="H4978" s="1">
        <v>74.094000000000008</v>
      </c>
    </row>
    <row r="4979" spans="1:8" x14ac:dyDescent="0.3">
      <c r="A4979" s="2">
        <v>777</v>
      </c>
      <c r="B4979" t="s">
        <v>718</v>
      </c>
      <c r="C4979" t="s">
        <v>1</v>
      </c>
      <c r="D4979" s="2">
        <v>1</v>
      </c>
      <c r="E4979" s="11" t="s">
        <v>281</v>
      </c>
      <c r="F4979" t="s">
        <v>28</v>
      </c>
      <c r="G4979" s="2" t="s">
        <v>4</v>
      </c>
      <c r="H4979" s="1">
        <v>58.194000000000003</v>
      </c>
    </row>
    <row r="4980" spans="1:8" x14ac:dyDescent="0.3">
      <c r="A4980" s="2">
        <v>777</v>
      </c>
      <c r="B4980" t="s">
        <v>1183</v>
      </c>
      <c r="C4980" t="s">
        <v>1</v>
      </c>
      <c r="D4980" s="2">
        <v>1</v>
      </c>
      <c r="E4980" s="11" t="s">
        <v>281</v>
      </c>
      <c r="F4980" t="s">
        <v>28</v>
      </c>
      <c r="G4980" s="2" t="s">
        <v>203</v>
      </c>
      <c r="H4980" s="1">
        <v>58.194000000000003</v>
      </c>
    </row>
    <row r="4981" spans="1:8" x14ac:dyDescent="0.3">
      <c r="A4981" s="2">
        <v>777</v>
      </c>
      <c r="B4981" t="s">
        <v>289</v>
      </c>
      <c r="C4981" t="s">
        <v>3220</v>
      </c>
      <c r="D4981" s="2">
        <v>3</v>
      </c>
      <c r="E4981" s="11" t="s">
        <v>204</v>
      </c>
      <c r="F4981" t="s">
        <v>28</v>
      </c>
      <c r="G4981" s="2" t="s">
        <v>23</v>
      </c>
      <c r="H4981" s="1">
        <v>42.294000000000004</v>
      </c>
    </row>
    <row r="4982" spans="1:8" x14ac:dyDescent="0.3">
      <c r="A4982" s="2">
        <v>777</v>
      </c>
      <c r="B4982" t="s">
        <v>282</v>
      </c>
      <c r="C4982" t="s">
        <v>1</v>
      </c>
      <c r="D4982" s="2">
        <v>1</v>
      </c>
      <c r="E4982" s="11" t="s">
        <v>281</v>
      </c>
      <c r="F4982" t="s">
        <v>24</v>
      </c>
      <c r="G4982" s="2" t="s">
        <v>203</v>
      </c>
      <c r="H4982" s="1">
        <v>58.194000000000003</v>
      </c>
    </row>
    <row r="4983" spans="1:8" x14ac:dyDescent="0.3">
      <c r="A4983" s="2">
        <v>778</v>
      </c>
      <c r="B4983" t="s">
        <v>1182</v>
      </c>
      <c r="C4983" t="s">
        <v>3220</v>
      </c>
      <c r="D4983" s="2">
        <v>1</v>
      </c>
      <c r="E4983" s="11" t="s">
        <v>293</v>
      </c>
      <c r="F4983" t="s">
        <v>65</v>
      </c>
      <c r="G4983" s="2" t="s">
        <v>4</v>
      </c>
      <c r="H4983" s="1">
        <v>21.094000000000001</v>
      </c>
    </row>
    <row r="4984" spans="1:8" x14ac:dyDescent="0.3">
      <c r="A4984" s="2">
        <v>778</v>
      </c>
      <c r="B4984" t="s">
        <v>588</v>
      </c>
      <c r="C4984" t="s">
        <v>3220</v>
      </c>
      <c r="D4984" s="2">
        <v>1</v>
      </c>
      <c r="E4984" s="11" t="s">
        <v>293</v>
      </c>
      <c r="F4984" t="s">
        <v>65</v>
      </c>
      <c r="G4984" s="2" t="s">
        <v>31</v>
      </c>
      <c r="H4984" s="1">
        <v>21.094000000000001</v>
      </c>
    </row>
    <row r="4985" spans="1:8" x14ac:dyDescent="0.3">
      <c r="A4985" s="2">
        <v>778</v>
      </c>
      <c r="B4985" t="s">
        <v>902</v>
      </c>
      <c r="C4985" t="s">
        <v>3220</v>
      </c>
      <c r="D4985" s="2">
        <v>1</v>
      </c>
      <c r="E4985" s="11" t="s">
        <v>293</v>
      </c>
      <c r="F4985" t="s">
        <v>65</v>
      </c>
      <c r="G4985" s="2" t="s">
        <v>23</v>
      </c>
      <c r="H4985" s="1">
        <v>21.094000000000001</v>
      </c>
    </row>
    <row r="4986" spans="1:8" x14ac:dyDescent="0.3">
      <c r="A4986" s="2">
        <v>778</v>
      </c>
      <c r="B4986" t="s">
        <v>1016</v>
      </c>
      <c r="C4986" t="s">
        <v>3220</v>
      </c>
      <c r="D4986" s="2">
        <v>1</v>
      </c>
      <c r="E4986" s="11" t="s">
        <v>204</v>
      </c>
      <c r="F4986" t="s">
        <v>959</v>
      </c>
      <c r="G4986" s="2" t="s">
        <v>203</v>
      </c>
      <c r="H4986" s="1">
        <v>42.294000000000004</v>
      </c>
    </row>
    <row r="4987" spans="1:8" x14ac:dyDescent="0.3">
      <c r="A4987" s="2">
        <v>778</v>
      </c>
      <c r="B4987" t="s">
        <v>1181</v>
      </c>
      <c r="C4987" t="s">
        <v>3221</v>
      </c>
      <c r="D4987" s="2">
        <v>1</v>
      </c>
      <c r="E4987" s="11" t="s">
        <v>1180</v>
      </c>
      <c r="F4987" t="s">
        <v>47</v>
      </c>
      <c r="G4987" s="2" t="s">
        <v>31</v>
      </c>
      <c r="H4987" s="1">
        <v>169.49400000000003</v>
      </c>
    </row>
    <row r="4988" spans="1:8" x14ac:dyDescent="0.3">
      <c r="A4988" s="2">
        <v>778</v>
      </c>
      <c r="B4988" t="s">
        <v>1179</v>
      </c>
      <c r="C4988" t="s">
        <v>3220</v>
      </c>
      <c r="D4988" s="2">
        <v>1</v>
      </c>
      <c r="E4988" s="11" t="s">
        <v>956</v>
      </c>
      <c r="F4988" t="s">
        <v>47</v>
      </c>
      <c r="G4988" s="2" t="s">
        <v>4</v>
      </c>
      <c r="H4988" s="1">
        <v>47.594000000000001</v>
      </c>
    </row>
    <row r="4989" spans="1:8" x14ac:dyDescent="0.3">
      <c r="A4989" s="2">
        <v>778</v>
      </c>
      <c r="B4989" t="s">
        <v>957</v>
      </c>
      <c r="C4989" t="s">
        <v>3220</v>
      </c>
      <c r="D4989" s="2">
        <v>1</v>
      </c>
      <c r="E4989" s="11" t="s">
        <v>956</v>
      </c>
      <c r="F4989" t="s">
        <v>47</v>
      </c>
      <c r="G4989" s="2" t="s">
        <v>31</v>
      </c>
      <c r="H4989" s="1">
        <v>47.594000000000001</v>
      </c>
    </row>
    <row r="4990" spans="1:8" x14ac:dyDescent="0.3">
      <c r="A4990" s="2">
        <v>778</v>
      </c>
      <c r="B4990" t="s">
        <v>1178</v>
      </c>
      <c r="C4990" t="s">
        <v>3220</v>
      </c>
      <c r="D4990" s="2">
        <v>1</v>
      </c>
      <c r="E4990" s="11" t="s">
        <v>956</v>
      </c>
      <c r="F4990" t="s">
        <v>47</v>
      </c>
      <c r="G4990" s="2" t="s">
        <v>23</v>
      </c>
      <c r="H4990" s="1">
        <v>47.594000000000001</v>
      </c>
    </row>
    <row r="4991" spans="1:8" x14ac:dyDescent="0.3">
      <c r="A4991" s="2">
        <v>778</v>
      </c>
      <c r="B4991" t="s">
        <v>916</v>
      </c>
      <c r="C4991" t="s">
        <v>3225</v>
      </c>
      <c r="D4991" s="2">
        <v>1</v>
      </c>
      <c r="E4991" s="11" t="s">
        <v>915</v>
      </c>
      <c r="F4991" t="s">
        <v>47</v>
      </c>
      <c r="G4991" s="2" t="s">
        <v>4</v>
      </c>
      <c r="H4991" s="1">
        <v>169.49400000000003</v>
      </c>
    </row>
    <row r="4992" spans="1:8" x14ac:dyDescent="0.3">
      <c r="A4992" s="2">
        <v>778</v>
      </c>
      <c r="B4992" t="s">
        <v>1177</v>
      </c>
      <c r="C4992" t="s">
        <v>3225</v>
      </c>
      <c r="D4992" s="2">
        <v>1</v>
      </c>
      <c r="E4992" s="11" t="s">
        <v>915</v>
      </c>
      <c r="F4992" t="s">
        <v>47</v>
      </c>
      <c r="G4992" s="2" t="s">
        <v>23</v>
      </c>
      <c r="H4992" s="1">
        <v>169.49400000000003</v>
      </c>
    </row>
    <row r="4993" spans="1:8" x14ac:dyDescent="0.3">
      <c r="A4993" s="2">
        <v>778</v>
      </c>
      <c r="B4993" t="s">
        <v>1118</v>
      </c>
      <c r="C4993" t="s">
        <v>3220</v>
      </c>
      <c r="D4993" s="2">
        <v>1</v>
      </c>
      <c r="E4993" s="11" t="s">
        <v>204</v>
      </c>
      <c r="F4993" t="s">
        <v>36</v>
      </c>
      <c r="G4993" s="2" t="s">
        <v>203</v>
      </c>
      <c r="H4993" s="1">
        <v>42.294000000000004</v>
      </c>
    </row>
    <row r="4994" spans="1:8" x14ac:dyDescent="0.3">
      <c r="A4994" s="2">
        <v>778</v>
      </c>
      <c r="B4994" t="s">
        <v>1093</v>
      </c>
      <c r="C4994" t="s">
        <v>3225</v>
      </c>
      <c r="D4994" s="2">
        <v>1</v>
      </c>
      <c r="E4994" s="11" t="s">
        <v>886</v>
      </c>
      <c r="F4994" t="s">
        <v>28</v>
      </c>
      <c r="G4994" s="2" t="s">
        <v>23</v>
      </c>
      <c r="H4994" s="1">
        <v>174.79400000000001</v>
      </c>
    </row>
    <row r="4995" spans="1:8" x14ac:dyDescent="0.3">
      <c r="A4995" s="2">
        <v>779</v>
      </c>
      <c r="B4995" t="s">
        <v>993</v>
      </c>
      <c r="C4995" t="s">
        <v>3225</v>
      </c>
      <c r="D4995" s="2">
        <v>1</v>
      </c>
      <c r="E4995" s="11" t="s">
        <v>220</v>
      </c>
      <c r="F4995" t="s">
        <v>55</v>
      </c>
      <c r="G4995" s="2" t="s">
        <v>31</v>
      </c>
      <c r="H4995" s="1">
        <v>195.99400000000003</v>
      </c>
    </row>
    <row r="4996" spans="1:8" x14ac:dyDescent="0.3">
      <c r="A4996" s="2">
        <v>779</v>
      </c>
      <c r="B4996" t="s">
        <v>1127</v>
      </c>
      <c r="C4996" t="s">
        <v>3219</v>
      </c>
      <c r="D4996" s="2">
        <v>1</v>
      </c>
      <c r="E4996" s="11" t="s">
        <v>102</v>
      </c>
      <c r="F4996" t="s">
        <v>55</v>
      </c>
      <c r="G4996" s="2" t="s">
        <v>31</v>
      </c>
      <c r="H4996" s="1">
        <v>121.79400000000001</v>
      </c>
    </row>
    <row r="4997" spans="1:8" x14ac:dyDescent="0.3">
      <c r="A4997" s="2">
        <v>779</v>
      </c>
      <c r="B4997" t="s">
        <v>967</v>
      </c>
      <c r="C4997" t="s">
        <v>3220</v>
      </c>
      <c r="D4997" s="2">
        <v>1</v>
      </c>
      <c r="E4997" s="11" t="s">
        <v>185</v>
      </c>
      <c r="F4997" t="s">
        <v>65</v>
      </c>
      <c r="G4997" s="2" t="s">
        <v>31</v>
      </c>
      <c r="H4997" s="1">
        <v>84.694000000000017</v>
      </c>
    </row>
    <row r="4998" spans="1:8" x14ac:dyDescent="0.3">
      <c r="A4998" s="2">
        <v>779</v>
      </c>
      <c r="B4998" t="s">
        <v>1176</v>
      </c>
      <c r="C4998" t="s">
        <v>3219</v>
      </c>
      <c r="D4998" s="2">
        <v>1</v>
      </c>
      <c r="E4998" s="11" t="s">
        <v>1175</v>
      </c>
      <c r="F4998" t="s">
        <v>65</v>
      </c>
      <c r="G4998" s="2" t="s">
        <v>31</v>
      </c>
      <c r="H4998" s="1">
        <v>158.89400000000001</v>
      </c>
    </row>
    <row r="4999" spans="1:8" x14ac:dyDescent="0.3">
      <c r="A4999" s="2">
        <v>779</v>
      </c>
      <c r="B4999" t="s">
        <v>1174</v>
      </c>
      <c r="C4999" t="s">
        <v>3219</v>
      </c>
      <c r="D4999" s="2">
        <v>1</v>
      </c>
      <c r="E4999" s="11" t="s">
        <v>1173</v>
      </c>
      <c r="F4999" t="s">
        <v>81</v>
      </c>
      <c r="G4999" s="2" t="s">
        <v>31</v>
      </c>
      <c r="H4999" s="1">
        <v>116.49400000000001</v>
      </c>
    </row>
    <row r="5000" spans="1:8" x14ac:dyDescent="0.3">
      <c r="A5000" s="2">
        <v>779</v>
      </c>
      <c r="B5000" t="s">
        <v>1172</v>
      </c>
      <c r="C5000" t="s">
        <v>3219</v>
      </c>
      <c r="D5000" s="2">
        <v>1</v>
      </c>
      <c r="E5000" s="11" t="s">
        <v>1171</v>
      </c>
      <c r="F5000" t="s">
        <v>28</v>
      </c>
      <c r="G5000" s="2" t="s">
        <v>23</v>
      </c>
      <c r="H5000" s="1">
        <v>137.69400000000002</v>
      </c>
    </row>
    <row r="5001" spans="1:8" x14ac:dyDescent="0.3">
      <c r="A5001" s="2">
        <v>779</v>
      </c>
      <c r="B5001" t="s">
        <v>1129</v>
      </c>
      <c r="C5001" t="s">
        <v>3219</v>
      </c>
      <c r="D5001" s="2">
        <v>1</v>
      </c>
      <c r="E5001" s="11" t="s">
        <v>102</v>
      </c>
      <c r="F5001" t="s">
        <v>62</v>
      </c>
      <c r="G5001" s="2" t="s">
        <v>23</v>
      </c>
      <c r="H5001" s="1">
        <v>121.79400000000001</v>
      </c>
    </row>
    <row r="5002" spans="1:8" x14ac:dyDescent="0.3">
      <c r="A5002" s="2">
        <v>779</v>
      </c>
      <c r="B5002" t="s">
        <v>1170</v>
      </c>
      <c r="C5002" t="s">
        <v>3225</v>
      </c>
      <c r="D5002" s="2">
        <v>1</v>
      </c>
      <c r="E5002" s="11" t="s">
        <v>831</v>
      </c>
      <c r="F5002" t="s">
        <v>62</v>
      </c>
      <c r="G5002" s="2" t="s">
        <v>31</v>
      </c>
      <c r="H5002" s="1">
        <v>190.69400000000002</v>
      </c>
    </row>
    <row r="5003" spans="1:8" x14ac:dyDescent="0.3">
      <c r="A5003" s="2">
        <v>779</v>
      </c>
      <c r="B5003" t="s">
        <v>767</v>
      </c>
      <c r="C5003" t="s">
        <v>3225</v>
      </c>
      <c r="D5003" s="2">
        <v>1</v>
      </c>
      <c r="E5003" s="11" t="s">
        <v>491</v>
      </c>
      <c r="F5003" t="s">
        <v>62</v>
      </c>
      <c r="G5003" s="2" t="s">
        <v>23</v>
      </c>
      <c r="H5003" s="1">
        <v>164.19400000000002</v>
      </c>
    </row>
    <row r="5004" spans="1:8" x14ac:dyDescent="0.3">
      <c r="A5004" s="2">
        <v>779</v>
      </c>
      <c r="B5004" t="s">
        <v>1169</v>
      </c>
      <c r="C5004" t="s">
        <v>0</v>
      </c>
      <c r="D5004" s="2">
        <v>1</v>
      </c>
      <c r="E5004" s="11" t="s">
        <v>1099</v>
      </c>
      <c r="F5004" t="s">
        <v>47</v>
      </c>
      <c r="G5004" s="2" t="s">
        <v>31</v>
      </c>
      <c r="H5004" s="1">
        <v>195.99400000000003</v>
      </c>
    </row>
    <row r="5005" spans="1:8" x14ac:dyDescent="0.3">
      <c r="A5005" s="2">
        <v>779</v>
      </c>
      <c r="B5005" t="s">
        <v>958</v>
      </c>
      <c r="C5005" t="s">
        <v>2</v>
      </c>
      <c r="D5005" s="2">
        <v>1</v>
      </c>
      <c r="E5005" s="11" t="s">
        <v>43</v>
      </c>
      <c r="F5005" t="s">
        <v>47</v>
      </c>
      <c r="G5005" s="2" t="s">
        <v>31</v>
      </c>
      <c r="H5005" s="1">
        <v>74.094000000000008</v>
      </c>
    </row>
    <row r="5006" spans="1:8" x14ac:dyDescent="0.3">
      <c r="A5006" s="2">
        <v>779</v>
      </c>
      <c r="B5006" t="s">
        <v>920</v>
      </c>
      <c r="C5006" t="s">
        <v>3220</v>
      </c>
      <c r="D5006" s="2">
        <v>1</v>
      </c>
      <c r="E5006" s="11" t="s">
        <v>647</v>
      </c>
      <c r="F5006" t="s">
        <v>28</v>
      </c>
      <c r="G5006" s="2" t="s">
        <v>23</v>
      </c>
      <c r="H5006" s="1">
        <v>15.793999999999999</v>
      </c>
    </row>
    <row r="5007" spans="1:8" x14ac:dyDescent="0.3">
      <c r="A5007" s="2">
        <v>779</v>
      </c>
      <c r="B5007" t="s">
        <v>1102</v>
      </c>
      <c r="C5007" t="s">
        <v>0</v>
      </c>
      <c r="D5007" s="2">
        <v>1</v>
      </c>
      <c r="E5007" s="11" t="s">
        <v>142</v>
      </c>
      <c r="F5007" t="s">
        <v>28</v>
      </c>
      <c r="G5007" s="2" t="s">
        <v>31</v>
      </c>
      <c r="H5007" s="1">
        <v>121.79400000000001</v>
      </c>
    </row>
    <row r="5008" spans="1:8" x14ac:dyDescent="0.3">
      <c r="A5008" s="2">
        <v>779</v>
      </c>
      <c r="B5008" t="s">
        <v>1168</v>
      </c>
      <c r="C5008" t="s">
        <v>3220</v>
      </c>
      <c r="D5008" s="2">
        <v>1</v>
      </c>
      <c r="E5008" s="11" t="s">
        <v>700</v>
      </c>
      <c r="F5008" t="s">
        <v>24</v>
      </c>
      <c r="G5008" s="2" t="s">
        <v>23</v>
      </c>
      <c r="H5008" s="1">
        <v>15.793999999999999</v>
      </c>
    </row>
    <row r="5009" spans="1:8" x14ac:dyDescent="0.3">
      <c r="A5009" s="2">
        <v>779</v>
      </c>
      <c r="B5009" t="s">
        <v>1167</v>
      </c>
      <c r="C5009" t="s">
        <v>3</v>
      </c>
      <c r="D5009" s="2">
        <v>1</v>
      </c>
      <c r="E5009" s="11" t="s">
        <v>450</v>
      </c>
      <c r="F5009" t="s">
        <v>24</v>
      </c>
      <c r="G5009" s="2" t="s">
        <v>23</v>
      </c>
      <c r="H5009" s="1">
        <v>68.794000000000011</v>
      </c>
    </row>
    <row r="5010" spans="1:8" x14ac:dyDescent="0.3">
      <c r="A5010" s="2">
        <v>779</v>
      </c>
      <c r="B5010" t="s">
        <v>1166</v>
      </c>
      <c r="C5010" t="s">
        <v>0</v>
      </c>
      <c r="D5010" s="2">
        <v>1</v>
      </c>
      <c r="E5010" s="11" t="s">
        <v>1099</v>
      </c>
      <c r="F5010" t="s">
        <v>24</v>
      </c>
      <c r="G5010" s="2" t="s">
        <v>23</v>
      </c>
      <c r="H5010" s="1">
        <v>195.99400000000003</v>
      </c>
    </row>
    <row r="5011" spans="1:8" x14ac:dyDescent="0.3">
      <c r="A5011" s="2">
        <v>780</v>
      </c>
      <c r="B5011" t="s">
        <v>1053</v>
      </c>
      <c r="C5011" t="s">
        <v>1</v>
      </c>
      <c r="D5011" s="2">
        <v>1</v>
      </c>
      <c r="E5011" s="11" t="s">
        <v>222</v>
      </c>
      <c r="F5011" t="s">
        <v>65</v>
      </c>
      <c r="G5011" s="2" t="s">
        <v>31</v>
      </c>
      <c r="H5011" s="1">
        <v>52.893999999999998</v>
      </c>
    </row>
    <row r="5012" spans="1:8" x14ac:dyDescent="0.3">
      <c r="A5012" s="2">
        <v>780</v>
      </c>
      <c r="B5012" t="s">
        <v>1052</v>
      </c>
      <c r="C5012" t="s">
        <v>1</v>
      </c>
      <c r="D5012" s="2">
        <v>1</v>
      </c>
      <c r="E5012" s="11" t="s">
        <v>222</v>
      </c>
      <c r="F5012" t="s">
        <v>65</v>
      </c>
      <c r="G5012" s="2" t="s">
        <v>23</v>
      </c>
      <c r="H5012" s="1">
        <v>52.893999999999998</v>
      </c>
    </row>
    <row r="5013" spans="1:8" x14ac:dyDescent="0.3">
      <c r="A5013" s="2">
        <v>780</v>
      </c>
      <c r="B5013" t="s">
        <v>1165</v>
      </c>
      <c r="C5013" t="s">
        <v>1</v>
      </c>
      <c r="D5013" s="2">
        <v>1</v>
      </c>
      <c r="E5013" s="11" t="s">
        <v>58</v>
      </c>
      <c r="F5013" t="s">
        <v>65</v>
      </c>
      <c r="G5013" s="2" t="s">
        <v>31</v>
      </c>
      <c r="H5013" s="1">
        <v>52.893999999999998</v>
      </c>
    </row>
    <row r="5014" spans="1:8" x14ac:dyDescent="0.3">
      <c r="A5014" s="2">
        <v>780</v>
      </c>
      <c r="B5014" t="s">
        <v>1164</v>
      </c>
      <c r="C5014" t="s">
        <v>1</v>
      </c>
      <c r="D5014" s="2">
        <v>1</v>
      </c>
      <c r="E5014" s="11" t="s">
        <v>58</v>
      </c>
      <c r="F5014" t="s">
        <v>28</v>
      </c>
      <c r="G5014" s="2" t="s">
        <v>31</v>
      </c>
      <c r="H5014" s="1">
        <v>52.893999999999998</v>
      </c>
    </row>
    <row r="5015" spans="1:8" x14ac:dyDescent="0.3">
      <c r="A5015" s="2">
        <v>780</v>
      </c>
      <c r="B5015" t="s">
        <v>721</v>
      </c>
      <c r="C5015" t="s">
        <v>1</v>
      </c>
      <c r="D5015" s="2">
        <v>1</v>
      </c>
      <c r="E5015" s="11" t="s">
        <v>285</v>
      </c>
      <c r="F5015" t="s">
        <v>62</v>
      </c>
      <c r="G5015" s="2" t="s">
        <v>31</v>
      </c>
      <c r="H5015" s="1">
        <v>68.794000000000011</v>
      </c>
    </row>
    <row r="5016" spans="1:8" x14ac:dyDescent="0.3">
      <c r="A5016" s="2">
        <v>780</v>
      </c>
      <c r="B5016" t="s">
        <v>720</v>
      </c>
      <c r="C5016" t="s">
        <v>1</v>
      </c>
      <c r="D5016" s="2">
        <v>1</v>
      </c>
      <c r="E5016" s="11" t="s">
        <v>285</v>
      </c>
      <c r="F5016" t="s">
        <v>62</v>
      </c>
      <c r="G5016" s="2" t="s">
        <v>23</v>
      </c>
      <c r="H5016" s="1">
        <v>68.794000000000011</v>
      </c>
    </row>
    <row r="5017" spans="1:8" x14ac:dyDescent="0.3">
      <c r="A5017" s="2">
        <v>780</v>
      </c>
      <c r="B5017" t="s">
        <v>808</v>
      </c>
      <c r="C5017" t="s">
        <v>1</v>
      </c>
      <c r="D5017" s="2">
        <v>1</v>
      </c>
      <c r="E5017" s="11" t="s">
        <v>807</v>
      </c>
      <c r="F5017" t="s">
        <v>55</v>
      </c>
      <c r="G5017" s="2" t="s">
        <v>31</v>
      </c>
      <c r="H5017" s="1">
        <v>79.394000000000005</v>
      </c>
    </row>
    <row r="5018" spans="1:8" x14ac:dyDescent="0.3">
      <c r="A5018" s="2">
        <v>780</v>
      </c>
      <c r="B5018" t="s">
        <v>941</v>
      </c>
      <c r="C5018" t="s">
        <v>1</v>
      </c>
      <c r="D5018" s="2">
        <v>1</v>
      </c>
      <c r="E5018" s="11" t="s">
        <v>807</v>
      </c>
      <c r="F5018" t="s">
        <v>55</v>
      </c>
      <c r="G5018" s="2" t="s">
        <v>23</v>
      </c>
      <c r="H5018" s="1">
        <v>79.394000000000005</v>
      </c>
    </row>
    <row r="5019" spans="1:8" x14ac:dyDescent="0.3">
      <c r="A5019" s="2">
        <v>780</v>
      </c>
      <c r="B5019" t="s">
        <v>608</v>
      </c>
      <c r="C5019" t="s">
        <v>1</v>
      </c>
      <c r="D5019" s="2">
        <v>1</v>
      </c>
      <c r="E5019" s="11" t="s">
        <v>599</v>
      </c>
      <c r="F5019" t="s">
        <v>114</v>
      </c>
      <c r="G5019" s="2" t="s">
        <v>31</v>
      </c>
      <c r="H5019" s="1">
        <v>79.394000000000005</v>
      </c>
    </row>
    <row r="5020" spans="1:8" x14ac:dyDescent="0.3">
      <c r="A5020" s="2">
        <v>780</v>
      </c>
      <c r="B5020" t="s">
        <v>779</v>
      </c>
      <c r="C5020" t="s">
        <v>1</v>
      </c>
      <c r="D5020" s="2">
        <v>1</v>
      </c>
      <c r="E5020" s="11" t="s">
        <v>599</v>
      </c>
      <c r="F5020" t="s">
        <v>114</v>
      </c>
      <c r="G5020" s="2" t="s">
        <v>23</v>
      </c>
      <c r="H5020" s="1">
        <v>79.394000000000005</v>
      </c>
    </row>
    <row r="5021" spans="1:8" x14ac:dyDescent="0.3">
      <c r="A5021" s="2">
        <v>780</v>
      </c>
      <c r="B5021" t="s">
        <v>1063</v>
      </c>
      <c r="C5021" t="s">
        <v>1</v>
      </c>
      <c r="D5021" s="2">
        <v>1</v>
      </c>
      <c r="E5021" s="11" t="s">
        <v>807</v>
      </c>
      <c r="F5021" t="s">
        <v>114</v>
      </c>
      <c r="G5021" s="2" t="s">
        <v>31</v>
      </c>
      <c r="H5021" s="1">
        <v>79.394000000000005</v>
      </c>
    </row>
    <row r="5022" spans="1:8" x14ac:dyDescent="0.3">
      <c r="A5022" s="2">
        <v>780</v>
      </c>
      <c r="B5022" t="s">
        <v>1163</v>
      </c>
      <c r="C5022" t="s">
        <v>1</v>
      </c>
      <c r="D5022" s="2">
        <v>1</v>
      </c>
      <c r="E5022" s="11" t="s">
        <v>807</v>
      </c>
      <c r="F5022" t="s">
        <v>114</v>
      </c>
      <c r="G5022" s="2" t="s">
        <v>23</v>
      </c>
      <c r="H5022" s="1">
        <v>79.394000000000005</v>
      </c>
    </row>
    <row r="5023" spans="1:8" x14ac:dyDescent="0.3">
      <c r="A5023" s="2">
        <v>780</v>
      </c>
      <c r="B5023" t="s">
        <v>1162</v>
      </c>
      <c r="C5023" t="s">
        <v>1</v>
      </c>
      <c r="D5023" s="2">
        <v>1</v>
      </c>
      <c r="E5023" s="11" t="s">
        <v>285</v>
      </c>
      <c r="F5023" t="s">
        <v>47</v>
      </c>
      <c r="G5023" s="2" t="s">
        <v>4</v>
      </c>
      <c r="H5023" s="1">
        <v>68.794000000000011</v>
      </c>
    </row>
    <row r="5024" spans="1:8" x14ac:dyDescent="0.3">
      <c r="A5024" s="2">
        <v>780</v>
      </c>
      <c r="B5024" t="s">
        <v>1161</v>
      </c>
      <c r="C5024" t="s">
        <v>1</v>
      </c>
      <c r="D5024" s="2">
        <v>1</v>
      </c>
      <c r="E5024" s="11" t="s">
        <v>285</v>
      </c>
      <c r="F5024" t="s">
        <v>47</v>
      </c>
      <c r="G5024" s="2" t="s">
        <v>31</v>
      </c>
      <c r="H5024" s="1">
        <v>68.794000000000011</v>
      </c>
    </row>
    <row r="5025" spans="1:8" x14ac:dyDescent="0.3">
      <c r="A5025" s="2">
        <v>780</v>
      </c>
      <c r="B5025" t="s">
        <v>1160</v>
      </c>
      <c r="C5025" t="s">
        <v>1</v>
      </c>
      <c r="D5025" s="2">
        <v>1</v>
      </c>
      <c r="E5025" s="11" t="s">
        <v>285</v>
      </c>
      <c r="F5025" t="s">
        <v>47</v>
      </c>
      <c r="G5025" s="2" t="s">
        <v>23</v>
      </c>
      <c r="H5025" s="1">
        <v>68.794000000000011</v>
      </c>
    </row>
    <row r="5026" spans="1:8" x14ac:dyDescent="0.3">
      <c r="A5026" s="2">
        <v>780</v>
      </c>
      <c r="B5026" t="s">
        <v>713</v>
      </c>
      <c r="C5026" t="s">
        <v>1</v>
      </c>
      <c r="D5026" s="2">
        <v>1</v>
      </c>
      <c r="E5026" s="11" t="s">
        <v>222</v>
      </c>
      <c r="F5026" t="s">
        <v>47</v>
      </c>
      <c r="G5026" s="2" t="s">
        <v>4</v>
      </c>
      <c r="H5026" s="1">
        <v>52.893999999999998</v>
      </c>
    </row>
    <row r="5027" spans="1:8" x14ac:dyDescent="0.3">
      <c r="A5027" s="2">
        <v>780</v>
      </c>
      <c r="B5027" t="s">
        <v>223</v>
      </c>
      <c r="C5027" t="s">
        <v>1</v>
      </c>
      <c r="D5027" s="2">
        <v>1</v>
      </c>
      <c r="E5027" s="11" t="s">
        <v>222</v>
      </c>
      <c r="F5027" t="s">
        <v>47</v>
      </c>
      <c r="G5027" s="2" t="s">
        <v>203</v>
      </c>
      <c r="H5027" s="1">
        <v>52.893999999999998</v>
      </c>
    </row>
    <row r="5028" spans="1:8" x14ac:dyDescent="0.3">
      <c r="A5028" s="2">
        <v>780</v>
      </c>
      <c r="B5028" t="s">
        <v>712</v>
      </c>
      <c r="C5028" t="s">
        <v>1</v>
      </c>
      <c r="D5028" s="2">
        <v>1</v>
      </c>
      <c r="E5028" s="11" t="s">
        <v>222</v>
      </c>
      <c r="F5028" t="s">
        <v>47</v>
      </c>
      <c r="G5028" s="2" t="s">
        <v>23</v>
      </c>
      <c r="H5028" s="1">
        <v>52.893999999999998</v>
      </c>
    </row>
    <row r="5029" spans="1:8" x14ac:dyDescent="0.3">
      <c r="A5029" s="2">
        <v>780</v>
      </c>
      <c r="B5029" t="s">
        <v>1159</v>
      </c>
      <c r="C5029" t="s">
        <v>3334</v>
      </c>
      <c r="D5029" s="2">
        <v>1</v>
      </c>
      <c r="E5029" s="11" t="s">
        <v>448</v>
      </c>
      <c r="F5029" t="s">
        <v>47</v>
      </c>
      <c r="G5029" s="2" t="s">
        <v>4</v>
      </c>
      <c r="H5029" s="1">
        <v>164.19400000000002</v>
      </c>
    </row>
    <row r="5030" spans="1:8" x14ac:dyDescent="0.3">
      <c r="A5030" s="2">
        <v>780</v>
      </c>
      <c r="B5030" t="s">
        <v>1158</v>
      </c>
      <c r="C5030" t="s">
        <v>3334</v>
      </c>
      <c r="D5030" s="2">
        <v>1</v>
      </c>
      <c r="E5030" s="11" t="s">
        <v>448</v>
      </c>
      <c r="F5030" t="s">
        <v>47</v>
      </c>
      <c r="G5030" s="2" t="s">
        <v>31</v>
      </c>
      <c r="H5030" s="1">
        <v>164.19400000000002</v>
      </c>
    </row>
    <row r="5031" spans="1:8" x14ac:dyDescent="0.3">
      <c r="A5031" s="2">
        <v>780</v>
      </c>
      <c r="B5031" t="s">
        <v>775</v>
      </c>
      <c r="C5031" t="s">
        <v>3334</v>
      </c>
      <c r="D5031" s="2">
        <v>1</v>
      </c>
      <c r="E5031" s="11" t="s">
        <v>448</v>
      </c>
      <c r="F5031" t="s">
        <v>47</v>
      </c>
      <c r="G5031" s="2" t="s">
        <v>23</v>
      </c>
      <c r="H5031" s="1">
        <v>164.19400000000002</v>
      </c>
    </row>
    <row r="5032" spans="1:8" x14ac:dyDescent="0.3">
      <c r="A5032" s="2">
        <v>780</v>
      </c>
      <c r="B5032" t="s">
        <v>602</v>
      </c>
      <c r="C5032" t="s">
        <v>1</v>
      </c>
      <c r="D5032" s="2">
        <v>1</v>
      </c>
      <c r="E5032" s="11" t="s">
        <v>599</v>
      </c>
      <c r="F5032" t="s">
        <v>47</v>
      </c>
      <c r="G5032" s="2" t="s">
        <v>4</v>
      </c>
      <c r="H5032" s="1">
        <v>79.394000000000005</v>
      </c>
    </row>
    <row r="5033" spans="1:8" x14ac:dyDescent="0.3">
      <c r="A5033" s="2">
        <v>780</v>
      </c>
      <c r="B5033" t="s">
        <v>1061</v>
      </c>
      <c r="C5033" t="s">
        <v>1</v>
      </c>
      <c r="D5033" s="2">
        <v>1</v>
      </c>
      <c r="E5033" s="11" t="s">
        <v>599</v>
      </c>
      <c r="F5033" t="s">
        <v>47</v>
      </c>
      <c r="G5033" s="2" t="s">
        <v>31</v>
      </c>
      <c r="H5033" s="1">
        <v>79.394000000000005</v>
      </c>
    </row>
    <row r="5034" spans="1:8" x14ac:dyDescent="0.3">
      <c r="A5034" s="2">
        <v>780</v>
      </c>
      <c r="B5034" t="s">
        <v>773</v>
      </c>
      <c r="C5034" t="s">
        <v>1</v>
      </c>
      <c r="D5034" s="2">
        <v>1</v>
      </c>
      <c r="E5034" s="11" t="s">
        <v>599</v>
      </c>
      <c r="F5034" t="s">
        <v>47</v>
      </c>
      <c r="G5034" s="2" t="s">
        <v>23</v>
      </c>
      <c r="H5034" s="1">
        <v>79.394000000000005</v>
      </c>
    </row>
    <row r="5035" spans="1:8" x14ac:dyDescent="0.3">
      <c r="A5035" s="2">
        <v>780</v>
      </c>
      <c r="B5035" t="s">
        <v>1157</v>
      </c>
      <c r="C5035" t="s">
        <v>1</v>
      </c>
      <c r="D5035" s="2">
        <v>1</v>
      </c>
      <c r="E5035" s="11" t="s">
        <v>807</v>
      </c>
      <c r="F5035" t="s">
        <v>47</v>
      </c>
      <c r="G5035" s="2" t="s">
        <v>4</v>
      </c>
      <c r="H5035" s="1">
        <v>79.394000000000005</v>
      </c>
    </row>
    <row r="5036" spans="1:8" x14ac:dyDescent="0.3">
      <c r="A5036" s="2">
        <v>780</v>
      </c>
      <c r="B5036" t="s">
        <v>1156</v>
      </c>
      <c r="C5036" t="s">
        <v>1</v>
      </c>
      <c r="D5036" s="2">
        <v>1</v>
      </c>
      <c r="E5036" s="11" t="s">
        <v>807</v>
      </c>
      <c r="F5036" t="s">
        <v>47</v>
      </c>
      <c r="G5036" s="2" t="s">
        <v>31</v>
      </c>
      <c r="H5036" s="1">
        <v>79.394000000000005</v>
      </c>
    </row>
    <row r="5037" spans="1:8" x14ac:dyDescent="0.3">
      <c r="A5037" s="2">
        <v>780</v>
      </c>
      <c r="B5037" t="s">
        <v>1155</v>
      </c>
      <c r="C5037" t="s">
        <v>1</v>
      </c>
      <c r="D5037" s="2">
        <v>1</v>
      </c>
      <c r="E5037" s="11" t="s">
        <v>807</v>
      </c>
      <c r="F5037" t="s">
        <v>47</v>
      </c>
      <c r="G5037" s="2" t="s">
        <v>23</v>
      </c>
      <c r="H5037" s="1">
        <v>79.394000000000005</v>
      </c>
    </row>
    <row r="5038" spans="1:8" x14ac:dyDescent="0.3">
      <c r="A5038" s="2">
        <v>780</v>
      </c>
      <c r="B5038" t="s">
        <v>859</v>
      </c>
      <c r="C5038" t="s">
        <v>1</v>
      </c>
      <c r="D5038" s="2">
        <v>1</v>
      </c>
      <c r="E5038" s="11" t="s">
        <v>285</v>
      </c>
      <c r="F5038" t="s">
        <v>39</v>
      </c>
      <c r="G5038" s="2" t="s">
        <v>31</v>
      </c>
      <c r="H5038" s="1">
        <v>68.794000000000011</v>
      </c>
    </row>
    <row r="5039" spans="1:8" x14ac:dyDescent="0.3">
      <c r="A5039" s="2">
        <v>780</v>
      </c>
      <c r="B5039" t="s">
        <v>709</v>
      </c>
      <c r="C5039" t="s">
        <v>1</v>
      </c>
      <c r="D5039" s="2">
        <v>1</v>
      </c>
      <c r="E5039" s="11" t="s">
        <v>285</v>
      </c>
      <c r="F5039" t="s">
        <v>39</v>
      </c>
      <c r="G5039" s="2" t="s">
        <v>23</v>
      </c>
      <c r="H5039" s="1">
        <v>68.794000000000011</v>
      </c>
    </row>
    <row r="5040" spans="1:8" x14ac:dyDescent="0.3">
      <c r="A5040" s="2">
        <v>780</v>
      </c>
      <c r="B5040" t="s">
        <v>1154</v>
      </c>
      <c r="C5040" t="s">
        <v>1</v>
      </c>
      <c r="D5040" s="2">
        <v>1</v>
      </c>
      <c r="E5040" s="11" t="s">
        <v>222</v>
      </c>
      <c r="F5040" t="s">
        <v>39</v>
      </c>
      <c r="G5040" s="2" t="s">
        <v>31</v>
      </c>
      <c r="H5040" s="1">
        <v>52.893999999999998</v>
      </c>
    </row>
    <row r="5041" spans="1:8" x14ac:dyDescent="0.3">
      <c r="A5041" s="2">
        <v>780</v>
      </c>
      <c r="B5041" t="s">
        <v>1153</v>
      </c>
      <c r="C5041" t="s">
        <v>1</v>
      </c>
      <c r="D5041" s="2">
        <v>1</v>
      </c>
      <c r="E5041" s="11" t="s">
        <v>58</v>
      </c>
      <c r="F5041" t="s">
        <v>39</v>
      </c>
      <c r="G5041" s="2" t="s">
        <v>4</v>
      </c>
      <c r="H5041" s="1">
        <v>52.893999999999998</v>
      </c>
    </row>
    <row r="5042" spans="1:8" x14ac:dyDescent="0.3">
      <c r="A5042" s="2">
        <v>780</v>
      </c>
      <c r="B5042" t="s">
        <v>600</v>
      </c>
      <c r="C5042" t="s">
        <v>1</v>
      </c>
      <c r="D5042" s="2">
        <v>1</v>
      </c>
      <c r="E5042" s="11" t="s">
        <v>599</v>
      </c>
      <c r="F5042" t="s">
        <v>39</v>
      </c>
      <c r="G5042" s="2" t="s">
        <v>4</v>
      </c>
      <c r="H5042" s="1">
        <v>79.394000000000005</v>
      </c>
    </row>
    <row r="5043" spans="1:8" x14ac:dyDescent="0.3">
      <c r="A5043" s="2">
        <v>780</v>
      </c>
      <c r="B5043" t="s">
        <v>950</v>
      </c>
      <c r="C5043" t="s">
        <v>1</v>
      </c>
      <c r="D5043" s="2">
        <v>1</v>
      </c>
      <c r="E5043" s="11" t="s">
        <v>599</v>
      </c>
      <c r="F5043" t="s">
        <v>39</v>
      </c>
      <c r="G5043" s="2" t="s">
        <v>31</v>
      </c>
      <c r="H5043" s="1">
        <v>79.394000000000005</v>
      </c>
    </row>
    <row r="5044" spans="1:8" x14ac:dyDescent="0.3">
      <c r="A5044" s="2">
        <v>780</v>
      </c>
      <c r="B5044" t="s">
        <v>772</v>
      </c>
      <c r="C5044" t="s">
        <v>1</v>
      </c>
      <c r="D5044" s="2">
        <v>1</v>
      </c>
      <c r="E5044" s="11" t="s">
        <v>599</v>
      </c>
      <c r="F5044" t="s">
        <v>39</v>
      </c>
      <c r="G5044" s="2" t="s">
        <v>23</v>
      </c>
      <c r="H5044" s="1">
        <v>79.394000000000005</v>
      </c>
    </row>
    <row r="5045" spans="1:8" x14ac:dyDescent="0.3">
      <c r="A5045" s="2">
        <v>780</v>
      </c>
      <c r="B5045" t="s">
        <v>1152</v>
      </c>
      <c r="C5045" t="s">
        <v>1</v>
      </c>
      <c r="D5045" s="2">
        <v>1</v>
      </c>
      <c r="E5045" s="11" t="s">
        <v>285</v>
      </c>
      <c r="F5045" t="s">
        <v>28</v>
      </c>
      <c r="G5045" s="2" t="s">
        <v>31</v>
      </c>
      <c r="H5045" s="1">
        <v>68.794000000000011</v>
      </c>
    </row>
    <row r="5046" spans="1:8" x14ac:dyDescent="0.3">
      <c r="A5046" s="2">
        <v>780</v>
      </c>
      <c r="B5046" t="s">
        <v>1151</v>
      </c>
      <c r="C5046" t="s">
        <v>1</v>
      </c>
      <c r="D5046" s="2">
        <v>1</v>
      </c>
      <c r="E5046" s="11" t="s">
        <v>599</v>
      </c>
      <c r="F5046" t="s">
        <v>28</v>
      </c>
      <c r="G5046" s="2" t="s">
        <v>31</v>
      </c>
      <c r="H5046" s="1">
        <v>79.394000000000005</v>
      </c>
    </row>
    <row r="5047" spans="1:8" x14ac:dyDescent="0.3">
      <c r="A5047" s="2">
        <v>780</v>
      </c>
      <c r="B5047" t="s">
        <v>1055</v>
      </c>
      <c r="C5047" t="s">
        <v>1</v>
      </c>
      <c r="D5047" s="2">
        <v>1</v>
      </c>
      <c r="E5047" s="11" t="s">
        <v>599</v>
      </c>
      <c r="F5047" t="s">
        <v>28</v>
      </c>
      <c r="G5047" s="2" t="s">
        <v>23</v>
      </c>
      <c r="H5047" s="1">
        <v>79.394000000000005</v>
      </c>
    </row>
    <row r="5048" spans="1:8" x14ac:dyDescent="0.3">
      <c r="A5048" s="2">
        <v>780</v>
      </c>
      <c r="B5048" t="s">
        <v>1150</v>
      </c>
      <c r="C5048" t="s">
        <v>1</v>
      </c>
      <c r="D5048" s="2">
        <v>1</v>
      </c>
      <c r="E5048" s="11" t="s">
        <v>222</v>
      </c>
      <c r="F5048" t="s">
        <v>24</v>
      </c>
      <c r="G5048" s="2" t="s">
        <v>4</v>
      </c>
      <c r="H5048" s="1">
        <v>52.893999999999998</v>
      </c>
    </row>
    <row r="5049" spans="1:8" x14ac:dyDescent="0.3">
      <c r="A5049" s="2">
        <v>780</v>
      </c>
      <c r="B5049" t="s">
        <v>1047</v>
      </c>
      <c r="C5049" t="s">
        <v>1</v>
      </c>
      <c r="D5049" s="2">
        <v>1</v>
      </c>
      <c r="E5049" s="11" t="s">
        <v>222</v>
      </c>
      <c r="F5049" t="s">
        <v>24</v>
      </c>
      <c r="G5049" s="2" t="s">
        <v>31</v>
      </c>
      <c r="H5049" s="1">
        <v>52.893999999999998</v>
      </c>
    </row>
    <row r="5050" spans="1:8" x14ac:dyDescent="0.3">
      <c r="A5050" s="2">
        <v>780</v>
      </c>
      <c r="B5050" t="s">
        <v>850</v>
      </c>
      <c r="C5050" t="s">
        <v>1</v>
      </c>
      <c r="D5050" s="2">
        <v>1</v>
      </c>
      <c r="E5050" s="11" t="s">
        <v>222</v>
      </c>
      <c r="F5050" t="s">
        <v>24</v>
      </c>
      <c r="G5050" s="2" t="s">
        <v>23</v>
      </c>
      <c r="H5050" s="1">
        <v>52.893999999999998</v>
      </c>
    </row>
    <row r="5051" spans="1:8" x14ac:dyDescent="0.3">
      <c r="A5051" s="2">
        <v>781</v>
      </c>
      <c r="B5051" t="s">
        <v>1149</v>
      </c>
      <c r="C5051" t="s">
        <v>3224</v>
      </c>
      <c r="D5051" s="2">
        <v>1</v>
      </c>
      <c r="E5051" s="11" t="s">
        <v>1089</v>
      </c>
      <c r="F5051" t="s">
        <v>65</v>
      </c>
      <c r="G5051" s="2" t="s">
        <v>31</v>
      </c>
      <c r="H5051" s="1">
        <v>74.094000000000008</v>
      </c>
    </row>
    <row r="5052" spans="1:8" x14ac:dyDescent="0.3">
      <c r="A5052" s="2">
        <v>781</v>
      </c>
      <c r="B5052" t="s">
        <v>131</v>
      </c>
      <c r="C5052" t="s">
        <v>3219</v>
      </c>
      <c r="D5052" s="2">
        <v>1</v>
      </c>
      <c r="E5052" s="11" t="s">
        <v>102</v>
      </c>
      <c r="F5052" t="s">
        <v>65</v>
      </c>
      <c r="G5052" s="2" t="s">
        <v>4</v>
      </c>
      <c r="H5052" s="1">
        <v>121.79400000000001</v>
      </c>
    </row>
    <row r="5053" spans="1:8" x14ac:dyDescent="0.3">
      <c r="A5053" s="2">
        <v>781</v>
      </c>
      <c r="B5053" t="s">
        <v>865</v>
      </c>
      <c r="C5053" t="s">
        <v>1</v>
      </c>
      <c r="D5053" s="2">
        <v>1</v>
      </c>
      <c r="E5053" s="11" t="s">
        <v>807</v>
      </c>
      <c r="F5053" t="s">
        <v>28</v>
      </c>
      <c r="G5053" s="2" t="s">
        <v>4</v>
      </c>
      <c r="H5053" s="1">
        <v>79.394000000000005</v>
      </c>
    </row>
    <row r="5054" spans="1:8" x14ac:dyDescent="0.3">
      <c r="A5054" s="2">
        <v>781</v>
      </c>
      <c r="B5054" t="s">
        <v>769</v>
      </c>
      <c r="C5054" t="s">
        <v>3224</v>
      </c>
      <c r="D5054" s="2">
        <v>1</v>
      </c>
      <c r="E5054" s="11" t="s">
        <v>663</v>
      </c>
      <c r="F5054" t="s">
        <v>114</v>
      </c>
      <c r="G5054" s="2" t="s">
        <v>31</v>
      </c>
      <c r="H5054" s="1">
        <v>111.19400000000002</v>
      </c>
    </row>
    <row r="5055" spans="1:8" x14ac:dyDescent="0.3">
      <c r="A5055" s="2">
        <v>781</v>
      </c>
      <c r="B5055" t="s">
        <v>77</v>
      </c>
      <c r="C5055" t="s">
        <v>1</v>
      </c>
      <c r="D5055" s="2">
        <v>1</v>
      </c>
      <c r="E5055" s="11" t="s">
        <v>76</v>
      </c>
      <c r="F5055" t="s">
        <v>47</v>
      </c>
      <c r="G5055" s="2" t="s">
        <v>23</v>
      </c>
      <c r="H5055" s="1">
        <v>63.494</v>
      </c>
    </row>
    <row r="5056" spans="1:8" x14ac:dyDescent="0.3">
      <c r="A5056" s="2">
        <v>781</v>
      </c>
      <c r="B5056" t="s">
        <v>584</v>
      </c>
      <c r="C5056" t="s">
        <v>3219</v>
      </c>
      <c r="D5056" s="2">
        <v>1</v>
      </c>
      <c r="E5056" s="11" t="s">
        <v>66</v>
      </c>
      <c r="F5056" t="s">
        <v>47</v>
      </c>
      <c r="G5056" s="2" t="s">
        <v>31</v>
      </c>
      <c r="H5056" s="1">
        <v>180.09400000000002</v>
      </c>
    </row>
    <row r="5057" spans="1:8" x14ac:dyDescent="0.3">
      <c r="A5057" s="2">
        <v>781</v>
      </c>
      <c r="B5057" t="s">
        <v>933</v>
      </c>
      <c r="C5057" t="s">
        <v>3225</v>
      </c>
      <c r="D5057" s="2">
        <v>1</v>
      </c>
      <c r="E5057" s="11" t="s">
        <v>932</v>
      </c>
      <c r="F5057" t="s">
        <v>47</v>
      </c>
      <c r="G5057" s="2" t="s">
        <v>4</v>
      </c>
      <c r="H5057" s="1">
        <v>174.79400000000001</v>
      </c>
    </row>
    <row r="5058" spans="1:8" x14ac:dyDescent="0.3">
      <c r="A5058" s="2">
        <v>781</v>
      </c>
      <c r="B5058" t="s">
        <v>774</v>
      </c>
      <c r="C5058" t="s">
        <v>3</v>
      </c>
      <c r="D5058" s="2">
        <v>1</v>
      </c>
      <c r="E5058" s="11" t="s">
        <v>180</v>
      </c>
      <c r="F5058" t="s">
        <v>47</v>
      </c>
      <c r="G5058" s="2" t="s">
        <v>31</v>
      </c>
      <c r="H5058" s="1">
        <v>105.89400000000001</v>
      </c>
    </row>
    <row r="5059" spans="1:8" x14ac:dyDescent="0.3">
      <c r="A5059" s="2">
        <v>781</v>
      </c>
      <c r="B5059" t="s">
        <v>1051</v>
      </c>
      <c r="C5059" t="s">
        <v>3219</v>
      </c>
      <c r="D5059" s="2">
        <v>1</v>
      </c>
      <c r="E5059" s="11" t="s">
        <v>119</v>
      </c>
      <c r="F5059" t="s">
        <v>47</v>
      </c>
      <c r="G5059" s="2" t="s">
        <v>31</v>
      </c>
      <c r="H5059" s="1">
        <v>148.29400000000001</v>
      </c>
    </row>
    <row r="5060" spans="1:8" x14ac:dyDescent="0.3">
      <c r="A5060" s="2">
        <v>781</v>
      </c>
      <c r="B5060" t="s">
        <v>1041</v>
      </c>
      <c r="C5060" t="s">
        <v>3</v>
      </c>
      <c r="D5060" s="2">
        <v>1</v>
      </c>
      <c r="E5060" s="11" t="s">
        <v>197</v>
      </c>
      <c r="F5060" t="s">
        <v>39</v>
      </c>
      <c r="G5060" s="2" t="s">
        <v>23</v>
      </c>
      <c r="H5060" s="1">
        <v>68.794000000000011</v>
      </c>
    </row>
    <row r="5061" spans="1:8" x14ac:dyDescent="0.3">
      <c r="A5061" s="2">
        <v>781</v>
      </c>
      <c r="B5061" t="s">
        <v>1148</v>
      </c>
      <c r="C5061" t="s">
        <v>3224</v>
      </c>
      <c r="D5061" s="2">
        <v>1</v>
      </c>
      <c r="E5061" s="11" t="s">
        <v>195</v>
      </c>
      <c r="F5061" t="s">
        <v>39</v>
      </c>
      <c r="G5061" s="2" t="s">
        <v>31</v>
      </c>
      <c r="H5061" s="1">
        <v>84.694000000000017</v>
      </c>
    </row>
    <row r="5062" spans="1:8" x14ac:dyDescent="0.3">
      <c r="A5062" s="2">
        <v>781</v>
      </c>
      <c r="B5062" t="s">
        <v>971</v>
      </c>
      <c r="C5062" t="s">
        <v>3224</v>
      </c>
      <c r="D5062" s="2">
        <v>1</v>
      </c>
      <c r="E5062" s="11" t="s">
        <v>970</v>
      </c>
      <c r="F5062" t="s">
        <v>28</v>
      </c>
      <c r="G5062" s="2" t="s">
        <v>23</v>
      </c>
      <c r="H5062" s="1">
        <v>100.59400000000001</v>
      </c>
    </row>
    <row r="5063" spans="1:8" x14ac:dyDescent="0.3">
      <c r="A5063" s="2">
        <v>781</v>
      </c>
      <c r="B5063" t="s">
        <v>496</v>
      </c>
      <c r="C5063" t="s">
        <v>3</v>
      </c>
      <c r="D5063" s="2">
        <v>1</v>
      </c>
      <c r="E5063" s="11" t="s">
        <v>180</v>
      </c>
      <c r="F5063" t="s">
        <v>28</v>
      </c>
      <c r="G5063" s="2" t="s">
        <v>31</v>
      </c>
      <c r="H5063" s="1">
        <v>105.89400000000001</v>
      </c>
    </row>
    <row r="5064" spans="1:8" x14ac:dyDescent="0.3">
      <c r="A5064" s="2">
        <v>781</v>
      </c>
      <c r="B5064" t="s">
        <v>874</v>
      </c>
      <c r="C5064" t="s">
        <v>3224</v>
      </c>
      <c r="D5064" s="2">
        <v>1</v>
      </c>
      <c r="E5064" s="11" t="s">
        <v>656</v>
      </c>
      <c r="F5064" t="s">
        <v>28</v>
      </c>
      <c r="G5064" s="2" t="s">
        <v>4</v>
      </c>
      <c r="H5064" s="1">
        <v>74.094000000000008</v>
      </c>
    </row>
    <row r="5065" spans="1:8" x14ac:dyDescent="0.3">
      <c r="A5065" s="2">
        <v>781</v>
      </c>
      <c r="B5065" t="s">
        <v>1147</v>
      </c>
      <c r="C5065" t="s">
        <v>3225</v>
      </c>
      <c r="D5065" s="2">
        <v>1</v>
      </c>
      <c r="E5065" s="11" t="s">
        <v>915</v>
      </c>
      <c r="F5065" t="s">
        <v>28</v>
      </c>
      <c r="G5065" s="2" t="s">
        <v>4</v>
      </c>
      <c r="H5065" s="1">
        <v>169.49400000000003</v>
      </c>
    </row>
    <row r="5066" spans="1:8" x14ac:dyDescent="0.3">
      <c r="A5066" s="2">
        <v>782</v>
      </c>
      <c r="B5066" t="s">
        <v>1045</v>
      </c>
      <c r="C5066" t="s">
        <v>3224</v>
      </c>
      <c r="D5066" s="2">
        <v>1</v>
      </c>
      <c r="E5066" s="11" t="s">
        <v>538</v>
      </c>
      <c r="F5066" t="s">
        <v>114</v>
      </c>
      <c r="G5066" s="2" t="s">
        <v>23</v>
      </c>
      <c r="H5066" s="1">
        <v>89.994000000000014</v>
      </c>
    </row>
    <row r="5067" spans="1:8" x14ac:dyDescent="0.3">
      <c r="A5067" s="2">
        <v>782</v>
      </c>
      <c r="B5067" t="s">
        <v>1044</v>
      </c>
      <c r="C5067" t="s">
        <v>3219</v>
      </c>
      <c r="D5067" s="2">
        <v>1</v>
      </c>
      <c r="E5067" s="11" t="s">
        <v>536</v>
      </c>
      <c r="F5067" t="s">
        <v>114</v>
      </c>
      <c r="G5067" s="2" t="s">
        <v>23</v>
      </c>
      <c r="H5067" s="1">
        <v>158.89400000000001</v>
      </c>
    </row>
    <row r="5068" spans="1:8" x14ac:dyDescent="0.3">
      <c r="A5068" s="2">
        <v>782</v>
      </c>
      <c r="B5068" t="s">
        <v>256</v>
      </c>
      <c r="C5068" t="s">
        <v>0</v>
      </c>
      <c r="D5068" s="2">
        <v>1</v>
      </c>
      <c r="E5068" s="11" t="s">
        <v>255</v>
      </c>
      <c r="F5068" t="s">
        <v>254</v>
      </c>
      <c r="G5068" s="2" t="s">
        <v>31</v>
      </c>
      <c r="H5068" s="1">
        <v>169.49400000000003</v>
      </c>
    </row>
    <row r="5069" spans="1:8" x14ac:dyDescent="0.3">
      <c r="A5069" s="2">
        <v>782</v>
      </c>
      <c r="B5069" t="s">
        <v>301</v>
      </c>
      <c r="C5069" t="s">
        <v>3219</v>
      </c>
      <c r="D5069" s="2">
        <v>1</v>
      </c>
      <c r="E5069" s="11" t="s">
        <v>66</v>
      </c>
      <c r="F5069" t="s">
        <v>47</v>
      </c>
      <c r="G5069" s="2" t="s">
        <v>4</v>
      </c>
      <c r="H5069" s="1">
        <v>180.09400000000002</v>
      </c>
    </row>
    <row r="5070" spans="1:8" x14ac:dyDescent="0.3">
      <c r="A5070" s="2">
        <v>782</v>
      </c>
      <c r="B5070" t="s">
        <v>801</v>
      </c>
      <c r="C5070" t="s">
        <v>3225</v>
      </c>
      <c r="D5070" s="2">
        <v>1</v>
      </c>
      <c r="E5070" s="11" t="s">
        <v>491</v>
      </c>
      <c r="F5070" t="s">
        <v>47</v>
      </c>
      <c r="G5070" s="2" t="s">
        <v>23</v>
      </c>
      <c r="H5070" s="1">
        <v>164.19400000000002</v>
      </c>
    </row>
    <row r="5071" spans="1:8" x14ac:dyDescent="0.3">
      <c r="A5071" s="2">
        <v>782</v>
      </c>
      <c r="B5071" t="s">
        <v>1042</v>
      </c>
      <c r="C5071" t="s">
        <v>3225</v>
      </c>
      <c r="D5071" s="2">
        <v>1</v>
      </c>
      <c r="E5071" s="11" t="s">
        <v>915</v>
      </c>
      <c r="F5071" t="s">
        <v>47</v>
      </c>
      <c r="G5071" s="2" t="s">
        <v>31</v>
      </c>
      <c r="H5071" s="1">
        <v>169.49400000000003</v>
      </c>
    </row>
    <row r="5072" spans="1:8" x14ac:dyDescent="0.3">
      <c r="A5072" s="2">
        <v>782</v>
      </c>
      <c r="B5072" t="s">
        <v>1040</v>
      </c>
      <c r="C5072" t="s">
        <v>3224</v>
      </c>
      <c r="D5072" s="2">
        <v>1</v>
      </c>
      <c r="E5072" s="11" t="s">
        <v>195</v>
      </c>
      <c r="F5072" t="s">
        <v>39</v>
      </c>
      <c r="G5072" s="2" t="s">
        <v>23</v>
      </c>
      <c r="H5072" s="1">
        <v>84.694000000000017</v>
      </c>
    </row>
    <row r="5073" spans="1:8" x14ac:dyDescent="0.3">
      <c r="A5073" s="2">
        <v>782</v>
      </c>
      <c r="B5073" t="s">
        <v>69</v>
      </c>
      <c r="C5073" t="s">
        <v>0</v>
      </c>
      <c r="D5073" s="2">
        <v>1</v>
      </c>
      <c r="E5073" s="11" t="s">
        <v>68</v>
      </c>
      <c r="F5073" t="s">
        <v>39</v>
      </c>
      <c r="G5073" s="2" t="s">
        <v>23</v>
      </c>
      <c r="H5073" s="1">
        <v>180.09400000000002</v>
      </c>
    </row>
    <row r="5074" spans="1:8" x14ac:dyDescent="0.3">
      <c r="A5074" s="2">
        <v>782</v>
      </c>
      <c r="B5074" t="s">
        <v>1039</v>
      </c>
      <c r="C5074" t="s">
        <v>3225</v>
      </c>
      <c r="D5074" s="2">
        <v>1</v>
      </c>
      <c r="E5074" s="11" t="s">
        <v>1038</v>
      </c>
      <c r="F5074" t="s">
        <v>36</v>
      </c>
      <c r="G5074" s="2" t="s">
        <v>23</v>
      </c>
      <c r="H5074" s="1">
        <v>180.09400000000002</v>
      </c>
    </row>
    <row r="5075" spans="1:8" x14ac:dyDescent="0.3">
      <c r="A5075" s="2">
        <v>782</v>
      </c>
      <c r="B5075" t="s">
        <v>1093</v>
      </c>
      <c r="C5075" t="s">
        <v>3225</v>
      </c>
      <c r="D5075" s="2">
        <v>1</v>
      </c>
      <c r="E5075" s="11" t="s">
        <v>886</v>
      </c>
      <c r="F5075" t="s">
        <v>28</v>
      </c>
      <c r="G5075" s="2" t="s">
        <v>23</v>
      </c>
      <c r="H5075" s="1">
        <v>174.79400000000001</v>
      </c>
    </row>
    <row r="5076" spans="1:8" x14ac:dyDescent="0.3">
      <c r="A5076" s="2">
        <v>782</v>
      </c>
      <c r="B5076" t="s">
        <v>1146</v>
      </c>
      <c r="C5076" t="s">
        <v>3224</v>
      </c>
      <c r="D5076" s="2">
        <v>1</v>
      </c>
      <c r="E5076" s="11" t="s">
        <v>1145</v>
      </c>
      <c r="F5076" t="s">
        <v>28</v>
      </c>
      <c r="G5076" s="2" t="s">
        <v>23</v>
      </c>
      <c r="H5076" s="1">
        <v>121.79400000000001</v>
      </c>
    </row>
    <row r="5077" spans="1:8" x14ac:dyDescent="0.3">
      <c r="A5077" s="2">
        <v>782</v>
      </c>
      <c r="B5077" t="s">
        <v>1134</v>
      </c>
      <c r="C5077" t="s">
        <v>3</v>
      </c>
      <c r="D5077" s="2">
        <v>1</v>
      </c>
      <c r="E5077" s="11" t="s">
        <v>1133</v>
      </c>
      <c r="F5077" t="s">
        <v>28</v>
      </c>
      <c r="G5077" s="2" t="s">
        <v>23</v>
      </c>
      <c r="H5077" s="1">
        <v>74.094000000000008</v>
      </c>
    </row>
    <row r="5078" spans="1:8" x14ac:dyDescent="0.3">
      <c r="A5078" s="2">
        <v>783</v>
      </c>
      <c r="B5078" t="s">
        <v>729</v>
      </c>
      <c r="C5078" t="s">
        <v>1</v>
      </c>
      <c r="D5078" s="2">
        <v>1</v>
      </c>
      <c r="E5078" s="11" t="s">
        <v>281</v>
      </c>
      <c r="F5078" t="s">
        <v>65</v>
      </c>
      <c r="G5078" s="2" t="s">
        <v>31</v>
      </c>
      <c r="H5078" s="1">
        <v>58.194000000000003</v>
      </c>
    </row>
    <row r="5079" spans="1:8" x14ac:dyDescent="0.3">
      <c r="A5079" s="2">
        <v>783</v>
      </c>
      <c r="B5079" t="s">
        <v>748</v>
      </c>
      <c r="C5079" t="s">
        <v>1</v>
      </c>
      <c r="D5079" s="2">
        <v>1</v>
      </c>
      <c r="E5079" s="11" t="s">
        <v>740</v>
      </c>
      <c r="F5079" t="s">
        <v>65</v>
      </c>
      <c r="G5079" s="2" t="s">
        <v>23</v>
      </c>
      <c r="H5079" s="1">
        <v>52.893999999999998</v>
      </c>
    </row>
    <row r="5080" spans="1:8" x14ac:dyDescent="0.3">
      <c r="A5080" s="2">
        <v>783</v>
      </c>
      <c r="B5080" t="s">
        <v>1144</v>
      </c>
      <c r="C5080" t="s">
        <v>1</v>
      </c>
      <c r="D5080" s="2">
        <v>1</v>
      </c>
      <c r="E5080" s="11" t="s">
        <v>770</v>
      </c>
      <c r="F5080" t="s">
        <v>65</v>
      </c>
      <c r="G5080" s="2" t="s">
        <v>31</v>
      </c>
      <c r="H5080" s="1">
        <v>89.994000000000014</v>
      </c>
    </row>
    <row r="5081" spans="1:8" x14ac:dyDescent="0.3">
      <c r="A5081" s="2">
        <v>783</v>
      </c>
      <c r="B5081" t="s">
        <v>1143</v>
      </c>
      <c r="C5081" t="s">
        <v>1</v>
      </c>
      <c r="D5081" s="2">
        <v>1</v>
      </c>
      <c r="E5081" s="11" t="s">
        <v>807</v>
      </c>
      <c r="F5081" t="s">
        <v>28</v>
      </c>
      <c r="G5081" s="2" t="s">
        <v>31</v>
      </c>
      <c r="H5081" s="1">
        <v>79.394000000000005</v>
      </c>
    </row>
    <row r="5082" spans="1:8" x14ac:dyDescent="0.3">
      <c r="A5082" s="2">
        <v>783</v>
      </c>
      <c r="B5082" t="s">
        <v>741</v>
      </c>
      <c r="C5082" t="s">
        <v>1</v>
      </c>
      <c r="D5082" s="2">
        <v>1</v>
      </c>
      <c r="E5082" s="11" t="s">
        <v>740</v>
      </c>
      <c r="F5082" t="s">
        <v>62</v>
      </c>
      <c r="G5082" s="2" t="s">
        <v>31</v>
      </c>
      <c r="H5082" s="1">
        <v>52.893999999999998</v>
      </c>
    </row>
    <row r="5083" spans="1:8" x14ac:dyDescent="0.3">
      <c r="A5083" s="2">
        <v>783</v>
      </c>
      <c r="B5083" t="s">
        <v>961</v>
      </c>
      <c r="C5083" t="s">
        <v>3220</v>
      </c>
      <c r="D5083" s="2">
        <v>1</v>
      </c>
      <c r="E5083" s="11" t="s">
        <v>960</v>
      </c>
      <c r="F5083" t="s">
        <v>959</v>
      </c>
      <c r="G5083" s="2" t="s">
        <v>23</v>
      </c>
      <c r="H5083" s="1">
        <v>42.294000000000004</v>
      </c>
    </row>
    <row r="5084" spans="1:8" x14ac:dyDescent="0.3">
      <c r="A5084" s="2">
        <v>783</v>
      </c>
      <c r="B5084" t="s">
        <v>1142</v>
      </c>
      <c r="C5084" t="s">
        <v>3219</v>
      </c>
      <c r="D5084" s="2">
        <v>1</v>
      </c>
      <c r="E5084" s="11" t="s">
        <v>102</v>
      </c>
      <c r="F5084" t="s">
        <v>114</v>
      </c>
      <c r="G5084" s="2" t="s">
        <v>4</v>
      </c>
      <c r="H5084" s="1">
        <v>121.79400000000001</v>
      </c>
    </row>
    <row r="5085" spans="1:8" x14ac:dyDescent="0.3">
      <c r="A5085" s="2">
        <v>783</v>
      </c>
      <c r="B5085" t="s">
        <v>1141</v>
      </c>
      <c r="C5085" t="s">
        <v>3224</v>
      </c>
      <c r="D5085" s="2">
        <v>1</v>
      </c>
      <c r="E5085" s="11" t="s">
        <v>132</v>
      </c>
      <c r="F5085" t="s">
        <v>114</v>
      </c>
      <c r="G5085" s="2" t="s">
        <v>31</v>
      </c>
      <c r="H5085" s="1">
        <v>84.694000000000017</v>
      </c>
    </row>
    <row r="5086" spans="1:8" x14ac:dyDescent="0.3">
      <c r="A5086" s="2">
        <v>783</v>
      </c>
      <c r="B5086" t="s">
        <v>1140</v>
      </c>
      <c r="C5086" t="s">
        <v>3220</v>
      </c>
      <c r="D5086" s="2">
        <v>1</v>
      </c>
      <c r="E5086" s="11" t="s">
        <v>146</v>
      </c>
      <c r="F5086" t="s">
        <v>114</v>
      </c>
      <c r="G5086" s="2" t="s">
        <v>23</v>
      </c>
      <c r="H5086" s="1">
        <v>36.994</v>
      </c>
    </row>
    <row r="5087" spans="1:8" x14ac:dyDescent="0.3">
      <c r="A5087" s="2">
        <v>783</v>
      </c>
      <c r="B5087" t="s">
        <v>658</v>
      </c>
      <c r="C5087" t="s">
        <v>3224</v>
      </c>
      <c r="D5087" s="2">
        <v>1</v>
      </c>
      <c r="E5087" s="11" t="s">
        <v>656</v>
      </c>
      <c r="F5087" t="s">
        <v>114</v>
      </c>
      <c r="G5087" s="2" t="s">
        <v>31</v>
      </c>
      <c r="H5087" s="1">
        <v>74.094000000000008</v>
      </c>
    </row>
    <row r="5088" spans="1:8" x14ac:dyDescent="0.3">
      <c r="A5088" s="2">
        <v>783</v>
      </c>
      <c r="B5088" t="s">
        <v>1139</v>
      </c>
      <c r="C5088" t="s">
        <v>3220</v>
      </c>
      <c r="D5088" s="2">
        <v>1</v>
      </c>
      <c r="E5088" s="11" t="s">
        <v>1138</v>
      </c>
      <c r="F5088" t="s">
        <v>47</v>
      </c>
      <c r="G5088" s="2" t="s">
        <v>23</v>
      </c>
      <c r="H5088" s="1">
        <v>68.794000000000011</v>
      </c>
    </row>
    <row r="5089" spans="1:8" x14ac:dyDescent="0.3">
      <c r="A5089" s="2">
        <v>783</v>
      </c>
      <c r="B5089" t="s">
        <v>1061</v>
      </c>
      <c r="C5089" t="s">
        <v>1</v>
      </c>
      <c r="D5089" s="2">
        <v>1</v>
      </c>
      <c r="E5089" s="11" t="s">
        <v>599</v>
      </c>
      <c r="F5089" t="s">
        <v>47</v>
      </c>
      <c r="G5089" s="2" t="s">
        <v>31</v>
      </c>
      <c r="H5089" s="1">
        <v>79.394000000000005</v>
      </c>
    </row>
    <row r="5090" spans="1:8" x14ac:dyDescent="0.3">
      <c r="A5090" s="2">
        <v>783</v>
      </c>
      <c r="B5090" t="s">
        <v>1137</v>
      </c>
      <c r="C5090" t="s">
        <v>3217</v>
      </c>
      <c r="D5090" s="2">
        <v>1</v>
      </c>
      <c r="E5090" s="11" t="s">
        <v>425</v>
      </c>
      <c r="F5090" t="s">
        <v>39</v>
      </c>
      <c r="G5090" s="2" t="s">
        <v>31</v>
      </c>
      <c r="H5090" s="1">
        <v>84.694000000000017</v>
      </c>
    </row>
    <row r="5091" spans="1:8" x14ac:dyDescent="0.3">
      <c r="A5091" s="2">
        <v>783</v>
      </c>
      <c r="B5091" t="s">
        <v>950</v>
      </c>
      <c r="C5091" t="s">
        <v>1</v>
      </c>
      <c r="D5091" s="2">
        <v>1</v>
      </c>
      <c r="E5091" s="11" t="s">
        <v>599</v>
      </c>
      <c r="F5091" t="s">
        <v>39</v>
      </c>
      <c r="G5091" s="2" t="s">
        <v>31</v>
      </c>
      <c r="H5091" s="1">
        <v>79.394000000000005</v>
      </c>
    </row>
    <row r="5092" spans="1:8" x14ac:dyDescent="0.3">
      <c r="A5092" s="2">
        <v>783</v>
      </c>
      <c r="B5092" t="s">
        <v>1136</v>
      </c>
      <c r="C5092" t="s">
        <v>1</v>
      </c>
      <c r="D5092" s="2">
        <v>1</v>
      </c>
      <c r="E5092" s="11" t="s">
        <v>53</v>
      </c>
      <c r="F5092" t="s">
        <v>36</v>
      </c>
      <c r="G5092" s="2" t="s">
        <v>31</v>
      </c>
      <c r="H5092" s="1">
        <v>36.994</v>
      </c>
    </row>
    <row r="5093" spans="1:8" x14ac:dyDescent="0.3">
      <c r="A5093" s="2">
        <v>783</v>
      </c>
      <c r="B5093" t="s">
        <v>1135</v>
      </c>
      <c r="C5093" t="s">
        <v>3</v>
      </c>
      <c r="D5093" s="2">
        <v>1</v>
      </c>
      <c r="E5093" s="11" t="s">
        <v>1133</v>
      </c>
      <c r="F5093" t="s">
        <v>28</v>
      </c>
      <c r="G5093" s="2" t="s">
        <v>4</v>
      </c>
      <c r="H5093" s="1">
        <v>74.094000000000008</v>
      </c>
    </row>
    <row r="5094" spans="1:8" x14ac:dyDescent="0.3">
      <c r="A5094" s="2">
        <v>783</v>
      </c>
      <c r="B5094" t="s">
        <v>1134</v>
      </c>
      <c r="C5094" t="s">
        <v>3</v>
      </c>
      <c r="D5094" s="2">
        <v>1</v>
      </c>
      <c r="E5094" s="11" t="s">
        <v>1133</v>
      </c>
      <c r="F5094" t="s">
        <v>28</v>
      </c>
      <c r="G5094" s="2" t="s">
        <v>23</v>
      </c>
      <c r="H5094" s="1">
        <v>74.094000000000008</v>
      </c>
    </row>
    <row r="5095" spans="1:8" x14ac:dyDescent="0.3">
      <c r="A5095" s="2">
        <v>783</v>
      </c>
      <c r="B5095" t="s">
        <v>1132</v>
      </c>
      <c r="C5095" t="s">
        <v>3220</v>
      </c>
      <c r="D5095" s="2">
        <v>1</v>
      </c>
      <c r="E5095" s="11" t="s">
        <v>956</v>
      </c>
      <c r="F5095" t="s">
        <v>28</v>
      </c>
      <c r="G5095" s="2" t="s">
        <v>23</v>
      </c>
      <c r="H5095" s="1">
        <v>47.594000000000001</v>
      </c>
    </row>
    <row r="5096" spans="1:8" x14ac:dyDescent="0.3">
      <c r="A5096" s="2">
        <v>783</v>
      </c>
      <c r="B5096" t="s">
        <v>1131</v>
      </c>
      <c r="C5096" t="s">
        <v>1</v>
      </c>
      <c r="D5096" s="2">
        <v>1</v>
      </c>
      <c r="E5096" s="11" t="s">
        <v>740</v>
      </c>
      <c r="F5096" t="s">
        <v>28</v>
      </c>
      <c r="G5096" s="2" t="s">
        <v>31</v>
      </c>
      <c r="H5096" s="1">
        <v>52.893999999999998</v>
      </c>
    </row>
    <row r="5097" spans="1:8" x14ac:dyDescent="0.3">
      <c r="A5097" s="2">
        <v>783</v>
      </c>
      <c r="B5097" t="s">
        <v>1056</v>
      </c>
      <c r="C5097" t="s">
        <v>1</v>
      </c>
      <c r="D5097" s="2">
        <v>1</v>
      </c>
      <c r="E5097" s="11" t="s">
        <v>599</v>
      </c>
      <c r="F5097" t="s">
        <v>28</v>
      </c>
      <c r="G5097" s="2" t="s">
        <v>4</v>
      </c>
      <c r="H5097" s="1">
        <v>79.394000000000005</v>
      </c>
    </row>
    <row r="5098" spans="1:8" x14ac:dyDescent="0.3">
      <c r="A5098" s="2">
        <v>784</v>
      </c>
      <c r="B5098" t="s">
        <v>1130</v>
      </c>
      <c r="C5098" t="s">
        <v>3219</v>
      </c>
      <c r="D5098" s="2">
        <v>1</v>
      </c>
      <c r="E5098" s="11" t="s">
        <v>673</v>
      </c>
      <c r="F5098" t="s">
        <v>55</v>
      </c>
      <c r="G5098" s="2" t="s">
        <v>31</v>
      </c>
      <c r="H5098" s="1">
        <v>89.994000000000014</v>
      </c>
    </row>
    <row r="5099" spans="1:8" x14ac:dyDescent="0.3">
      <c r="A5099" s="2">
        <v>784</v>
      </c>
      <c r="B5099" t="s">
        <v>1129</v>
      </c>
      <c r="C5099" t="s">
        <v>3219</v>
      </c>
      <c r="D5099" s="2">
        <v>1</v>
      </c>
      <c r="E5099" s="11" t="s">
        <v>102</v>
      </c>
      <c r="F5099" t="s">
        <v>62</v>
      </c>
      <c r="G5099" s="2" t="s">
        <v>23</v>
      </c>
      <c r="H5099" s="1">
        <v>121.79400000000001</v>
      </c>
    </row>
    <row r="5100" spans="1:8" x14ac:dyDescent="0.3">
      <c r="A5100" s="2">
        <v>784</v>
      </c>
      <c r="B5100" t="s">
        <v>1128</v>
      </c>
      <c r="C5100" t="s">
        <v>0</v>
      </c>
      <c r="D5100" s="2">
        <v>2</v>
      </c>
      <c r="E5100" s="11" t="s">
        <v>142</v>
      </c>
      <c r="F5100" t="s">
        <v>62</v>
      </c>
      <c r="G5100" s="2" t="s">
        <v>23</v>
      </c>
      <c r="H5100" s="1">
        <v>121.79400000000001</v>
      </c>
    </row>
    <row r="5101" spans="1:8" x14ac:dyDescent="0.3">
      <c r="A5101" s="2">
        <v>784</v>
      </c>
      <c r="B5101" t="s">
        <v>1127</v>
      </c>
      <c r="C5101" t="s">
        <v>3219</v>
      </c>
      <c r="D5101" s="2">
        <v>1</v>
      </c>
      <c r="E5101" s="11" t="s">
        <v>102</v>
      </c>
      <c r="F5101" t="s">
        <v>55</v>
      </c>
      <c r="G5101" s="2" t="s">
        <v>31</v>
      </c>
      <c r="H5101" s="1">
        <v>121.79400000000001</v>
      </c>
    </row>
    <row r="5102" spans="1:8" x14ac:dyDescent="0.3">
      <c r="A5102" s="2">
        <v>784</v>
      </c>
      <c r="B5102" t="s">
        <v>121</v>
      </c>
      <c r="C5102" t="s">
        <v>3219</v>
      </c>
      <c r="D5102" s="2">
        <v>1</v>
      </c>
      <c r="E5102" s="11" t="s">
        <v>119</v>
      </c>
      <c r="F5102" t="s">
        <v>55</v>
      </c>
      <c r="G5102" s="2" t="s">
        <v>31</v>
      </c>
      <c r="H5102" s="1">
        <v>148.29400000000001</v>
      </c>
    </row>
    <row r="5103" spans="1:8" x14ac:dyDescent="0.3">
      <c r="A5103" s="2">
        <v>784</v>
      </c>
      <c r="B5103" t="s">
        <v>863</v>
      </c>
      <c r="C5103" t="s">
        <v>3233</v>
      </c>
      <c r="D5103" s="2">
        <v>1</v>
      </c>
      <c r="E5103" s="11" t="s">
        <v>862</v>
      </c>
      <c r="F5103" t="s">
        <v>114</v>
      </c>
      <c r="G5103" s="2" t="s">
        <v>23</v>
      </c>
      <c r="H5103" s="1">
        <v>68.794000000000011</v>
      </c>
    </row>
    <row r="5104" spans="1:8" x14ac:dyDescent="0.3">
      <c r="A5104" s="2">
        <v>784</v>
      </c>
      <c r="B5104" t="s">
        <v>164</v>
      </c>
      <c r="C5104" t="s">
        <v>3220</v>
      </c>
      <c r="D5104" s="2">
        <v>1</v>
      </c>
      <c r="E5104" s="11" t="s">
        <v>140</v>
      </c>
      <c r="F5104" t="s">
        <v>114</v>
      </c>
      <c r="G5104" s="2" t="s">
        <v>4</v>
      </c>
      <c r="H5104" s="1">
        <v>42.294000000000004</v>
      </c>
    </row>
    <row r="5105" spans="1:8" x14ac:dyDescent="0.3">
      <c r="A5105" s="2">
        <v>784</v>
      </c>
      <c r="B5105" t="s">
        <v>824</v>
      </c>
      <c r="C5105" t="s">
        <v>3220</v>
      </c>
      <c r="D5105" s="2">
        <v>1</v>
      </c>
      <c r="E5105" s="11" t="s">
        <v>140</v>
      </c>
      <c r="F5105" t="s">
        <v>114</v>
      </c>
      <c r="G5105" s="2" t="s">
        <v>31</v>
      </c>
      <c r="H5105" s="1">
        <v>42.294000000000004</v>
      </c>
    </row>
    <row r="5106" spans="1:8" x14ac:dyDescent="0.3">
      <c r="A5106" s="2">
        <v>784</v>
      </c>
      <c r="B5106" t="s">
        <v>1062</v>
      </c>
      <c r="C5106" t="s">
        <v>3224</v>
      </c>
      <c r="D5106" s="2">
        <v>1</v>
      </c>
      <c r="E5106" s="11" t="s">
        <v>494</v>
      </c>
      <c r="F5106" t="s">
        <v>114</v>
      </c>
      <c r="G5106" s="2" t="s">
        <v>23</v>
      </c>
      <c r="H5106" s="1">
        <v>47.594000000000001</v>
      </c>
    </row>
    <row r="5107" spans="1:8" x14ac:dyDescent="0.3">
      <c r="A5107" s="2">
        <v>784</v>
      </c>
      <c r="B5107" t="s">
        <v>301</v>
      </c>
      <c r="C5107" t="s">
        <v>3219</v>
      </c>
      <c r="D5107" s="2">
        <v>1</v>
      </c>
      <c r="E5107" s="11" t="s">
        <v>66</v>
      </c>
      <c r="F5107" t="s">
        <v>47</v>
      </c>
      <c r="G5107" s="2" t="s">
        <v>4</v>
      </c>
      <c r="H5107" s="1">
        <v>180.09400000000002</v>
      </c>
    </row>
    <row r="5108" spans="1:8" x14ac:dyDescent="0.3">
      <c r="A5108" s="2">
        <v>784</v>
      </c>
      <c r="B5108" t="s">
        <v>584</v>
      </c>
      <c r="C5108" t="s">
        <v>3219</v>
      </c>
      <c r="D5108" s="2">
        <v>1</v>
      </c>
      <c r="E5108" s="11" t="s">
        <v>66</v>
      </c>
      <c r="F5108" t="s">
        <v>47</v>
      </c>
      <c r="G5108" s="2" t="s">
        <v>31</v>
      </c>
      <c r="H5108" s="1">
        <v>180.09400000000002</v>
      </c>
    </row>
    <row r="5109" spans="1:8" x14ac:dyDescent="0.3">
      <c r="A5109" s="2">
        <v>784</v>
      </c>
      <c r="B5109" t="s">
        <v>300</v>
      </c>
      <c r="C5109" t="s">
        <v>3219</v>
      </c>
      <c r="D5109" s="2">
        <v>1</v>
      </c>
      <c r="E5109" s="11" t="s">
        <v>66</v>
      </c>
      <c r="F5109" t="s">
        <v>47</v>
      </c>
      <c r="G5109" s="2" t="s">
        <v>23</v>
      </c>
      <c r="H5109" s="1">
        <v>180.09400000000002</v>
      </c>
    </row>
    <row r="5110" spans="1:8" x14ac:dyDescent="0.3">
      <c r="A5110" s="2">
        <v>784</v>
      </c>
      <c r="B5110" t="s">
        <v>832</v>
      </c>
      <c r="C5110" t="s">
        <v>3225</v>
      </c>
      <c r="D5110" s="2">
        <v>1</v>
      </c>
      <c r="E5110" s="11" t="s">
        <v>831</v>
      </c>
      <c r="F5110" t="s">
        <v>47</v>
      </c>
      <c r="G5110" s="2" t="s">
        <v>4</v>
      </c>
      <c r="H5110" s="1">
        <v>190.69400000000002</v>
      </c>
    </row>
    <row r="5111" spans="1:8" x14ac:dyDescent="0.3">
      <c r="A5111" s="2">
        <v>784</v>
      </c>
      <c r="B5111" t="s">
        <v>916</v>
      </c>
      <c r="C5111" t="s">
        <v>3225</v>
      </c>
      <c r="D5111" s="2">
        <v>1</v>
      </c>
      <c r="E5111" s="11" t="s">
        <v>915</v>
      </c>
      <c r="F5111" t="s">
        <v>47</v>
      </c>
      <c r="G5111" s="2" t="s">
        <v>4</v>
      </c>
      <c r="H5111" s="1">
        <v>169.49400000000003</v>
      </c>
    </row>
    <row r="5112" spans="1:8" x14ac:dyDescent="0.3">
      <c r="A5112" s="2">
        <v>784</v>
      </c>
      <c r="B5112" t="s">
        <v>601</v>
      </c>
      <c r="C5112" t="s">
        <v>3224</v>
      </c>
      <c r="D5112" s="2">
        <v>1</v>
      </c>
      <c r="E5112" s="11" t="s">
        <v>494</v>
      </c>
      <c r="F5112" t="s">
        <v>47</v>
      </c>
      <c r="G5112" s="2" t="s">
        <v>31</v>
      </c>
      <c r="H5112" s="1">
        <v>47.594000000000001</v>
      </c>
    </row>
    <row r="5113" spans="1:8" x14ac:dyDescent="0.3">
      <c r="A5113" s="2">
        <v>784</v>
      </c>
      <c r="B5113" t="s">
        <v>914</v>
      </c>
      <c r="C5113" t="s">
        <v>3224</v>
      </c>
      <c r="D5113" s="2">
        <v>1</v>
      </c>
      <c r="E5113" s="11" t="s">
        <v>494</v>
      </c>
      <c r="F5113" t="s">
        <v>47</v>
      </c>
      <c r="G5113" s="2" t="s">
        <v>23</v>
      </c>
      <c r="H5113" s="1">
        <v>47.594000000000001</v>
      </c>
    </row>
    <row r="5114" spans="1:8" x14ac:dyDescent="0.3">
      <c r="A5114" s="2">
        <v>784</v>
      </c>
      <c r="B5114" t="s">
        <v>1126</v>
      </c>
      <c r="C5114" t="s">
        <v>3219</v>
      </c>
      <c r="D5114" s="2">
        <v>1</v>
      </c>
      <c r="E5114" s="11" t="s">
        <v>673</v>
      </c>
      <c r="F5114" t="s">
        <v>47</v>
      </c>
      <c r="G5114" s="2" t="s">
        <v>203</v>
      </c>
      <c r="H5114" s="1">
        <v>89.994000000000014</v>
      </c>
    </row>
    <row r="5115" spans="1:8" x14ac:dyDescent="0.3">
      <c r="A5115" s="2">
        <v>784</v>
      </c>
      <c r="B5115" t="s">
        <v>923</v>
      </c>
      <c r="C5115" t="s">
        <v>3225</v>
      </c>
      <c r="D5115" s="2">
        <v>1</v>
      </c>
      <c r="E5115" s="11" t="s">
        <v>915</v>
      </c>
      <c r="F5115" t="s">
        <v>39</v>
      </c>
      <c r="G5115" s="2" t="s">
        <v>23</v>
      </c>
      <c r="H5115" s="1">
        <v>169.49400000000003</v>
      </c>
    </row>
    <row r="5116" spans="1:8" x14ac:dyDescent="0.3">
      <c r="A5116" s="2">
        <v>784</v>
      </c>
      <c r="B5116" t="s">
        <v>654</v>
      </c>
      <c r="C5116" t="s">
        <v>3219</v>
      </c>
      <c r="D5116" s="2">
        <v>1</v>
      </c>
      <c r="E5116" s="11" t="s">
        <v>119</v>
      </c>
      <c r="F5116" t="s">
        <v>36</v>
      </c>
      <c r="G5116" s="2" t="s">
        <v>23</v>
      </c>
      <c r="H5116" s="1">
        <v>148.29400000000001</v>
      </c>
    </row>
    <row r="5117" spans="1:8" x14ac:dyDescent="0.3">
      <c r="A5117" s="2">
        <v>784</v>
      </c>
      <c r="B5117" t="s">
        <v>911</v>
      </c>
      <c r="C5117" t="s">
        <v>3224</v>
      </c>
      <c r="D5117" s="2">
        <v>1</v>
      </c>
      <c r="E5117" s="11" t="s">
        <v>494</v>
      </c>
      <c r="F5117" t="s">
        <v>36</v>
      </c>
      <c r="G5117" s="2" t="s">
        <v>23</v>
      </c>
      <c r="H5117" s="1">
        <v>47.594000000000001</v>
      </c>
    </row>
    <row r="5118" spans="1:8" x14ac:dyDescent="0.3">
      <c r="A5118" s="2">
        <v>784</v>
      </c>
      <c r="B5118" t="s">
        <v>910</v>
      </c>
      <c r="C5118" t="s">
        <v>0</v>
      </c>
      <c r="D5118" s="2">
        <v>1</v>
      </c>
      <c r="E5118" s="11" t="s">
        <v>142</v>
      </c>
      <c r="F5118" t="s">
        <v>28</v>
      </c>
      <c r="G5118" s="2" t="s">
        <v>4</v>
      </c>
      <c r="H5118" s="1">
        <v>121.79400000000001</v>
      </c>
    </row>
    <row r="5119" spans="1:8" x14ac:dyDescent="0.3">
      <c r="A5119" s="2">
        <v>784</v>
      </c>
      <c r="B5119" t="s">
        <v>1074</v>
      </c>
      <c r="C5119" t="s">
        <v>3225</v>
      </c>
      <c r="D5119" s="2">
        <v>1</v>
      </c>
      <c r="E5119" s="11" t="s">
        <v>915</v>
      </c>
      <c r="F5119" t="s">
        <v>28</v>
      </c>
      <c r="G5119" s="2" t="s">
        <v>31</v>
      </c>
      <c r="H5119" s="1">
        <v>169.49400000000003</v>
      </c>
    </row>
    <row r="5120" spans="1:8" x14ac:dyDescent="0.3">
      <c r="A5120" s="2">
        <v>785</v>
      </c>
      <c r="B5120" t="s">
        <v>1026</v>
      </c>
      <c r="C5120" t="s">
        <v>3220</v>
      </c>
      <c r="D5120" s="2">
        <v>1</v>
      </c>
      <c r="E5120" s="11" t="s">
        <v>204</v>
      </c>
      <c r="F5120" t="s">
        <v>55</v>
      </c>
      <c r="G5120" s="2" t="s">
        <v>203</v>
      </c>
      <c r="H5120" s="1">
        <v>42.294000000000004</v>
      </c>
    </row>
    <row r="5121" spans="1:8" x14ac:dyDescent="0.3">
      <c r="A5121" s="2">
        <v>785</v>
      </c>
      <c r="B5121" t="s">
        <v>1125</v>
      </c>
      <c r="C5121" t="s">
        <v>1</v>
      </c>
      <c r="D5121" s="2">
        <v>1</v>
      </c>
      <c r="E5121" s="11" t="s">
        <v>281</v>
      </c>
      <c r="F5121" t="s">
        <v>65</v>
      </c>
      <c r="G5121" s="2" t="s">
        <v>23</v>
      </c>
      <c r="H5121" s="1">
        <v>58.194000000000003</v>
      </c>
    </row>
    <row r="5122" spans="1:8" x14ac:dyDescent="0.3">
      <c r="A5122" s="2">
        <v>785</v>
      </c>
      <c r="B5122" t="s">
        <v>1125</v>
      </c>
      <c r="C5122" t="s">
        <v>1</v>
      </c>
      <c r="D5122" s="2">
        <v>1</v>
      </c>
      <c r="E5122" s="11" t="s">
        <v>281</v>
      </c>
      <c r="F5122" t="s">
        <v>65</v>
      </c>
      <c r="G5122" s="2" t="s">
        <v>23</v>
      </c>
      <c r="H5122" s="1">
        <v>58.194000000000003</v>
      </c>
    </row>
    <row r="5123" spans="1:8" x14ac:dyDescent="0.3">
      <c r="A5123" s="2">
        <v>785</v>
      </c>
      <c r="B5123" t="s">
        <v>1124</v>
      </c>
      <c r="C5123" t="s">
        <v>3220</v>
      </c>
      <c r="D5123" s="2">
        <v>1</v>
      </c>
      <c r="E5123" s="11" t="s">
        <v>204</v>
      </c>
      <c r="F5123" t="s">
        <v>126</v>
      </c>
      <c r="G5123" s="2" t="s">
        <v>203</v>
      </c>
      <c r="H5123" s="1">
        <v>42.294000000000004</v>
      </c>
    </row>
    <row r="5124" spans="1:8" x14ac:dyDescent="0.3">
      <c r="A5124" s="2">
        <v>785</v>
      </c>
      <c r="B5124" t="s">
        <v>719</v>
      </c>
      <c r="C5124" t="s">
        <v>3220</v>
      </c>
      <c r="D5124" s="2">
        <v>1</v>
      </c>
      <c r="E5124" s="11" t="s">
        <v>204</v>
      </c>
      <c r="F5124" t="s">
        <v>241</v>
      </c>
      <c r="G5124" s="2" t="s">
        <v>23</v>
      </c>
      <c r="H5124" s="1">
        <v>42.294000000000004</v>
      </c>
    </row>
    <row r="5125" spans="1:8" x14ac:dyDescent="0.3">
      <c r="A5125" s="2">
        <v>785</v>
      </c>
      <c r="B5125" t="s">
        <v>1003</v>
      </c>
      <c r="C5125" t="s">
        <v>3220</v>
      </c>
      <c r="D5125" s="2">
        <v>1</v>
      </c>
      <c r="E5125" s="11" t="s">
        <v>204</v>
      </c>
      <c r="F5125" t="s">
        <v>28</v>
      </c>
      <c r="G5125" s="2" t="s">
        <v>203</v>
      </c>
      <c r="H5125" s="1">
        <v>42.294000000000004</v>
      </c>
    </row>
    <row r="5126" spans="1:8" x14ac:dyDescent="0.3">
      <c r="A5126" s="2">
        <v>785</v>
      </c>
      <c r="B5126" t="s">
        <v>1123</v>
      </c>
      <c r="C5126" t="s">
        <v>1</v>
      </c>
      <c r="D5126" s="2">
        <v>1</v>
      </c>
      <c r="E5126" s="11" t="s">
        <v>281</v>
      </c>
      <c r="F5126" t="s">
        <v>55</v>
      </c>
      <c r="G5126" s="2" t="s">
        <v>23</v>
      </c>
      <c r="H5126" s="1">
        <v>58.194000000000003</v>
      </c>
    </row>
    <row r="5127" spans="1:8" x14ac:dyDescent="0.3">
      <c r="A5127" s="2">
        <v>785</v>
      </c>
      <c r="B5127" t="s">
        <v>278</v>
      </c>
      <c r="C5127" t="s">
        <v>3220</v>
      </c>
      <c r="D5127" s="2">
        <v>1</v>
      </c>
      <c r="E5127" s="11" t="s">
        <v>204</v>
      </c>
      <c r="F5127" t="s">
        <v>55</v>
      </c>
      <c r="G5127" s="2" t="s">
        <v>31</v>
      </c>
      <c r="H5127" s="1">
        <v>42.294000000000004</v>
      </c>
    </row>
    <row r="5128" spans="1:8" x14ac:dyDescent="0.3">
      <c r="A5128" s="2">
        <v>785</v>
      </c>
      <c r="B5128" t="s">
        <v>1122</v>
      </c>
      <c r="C5128" t="s">
        <v>1</v>
      </c>
      <c r="D5128" s="2">
        <v>1</v>
      </c>
      <c r="E5128" s="11" t="s">
        <v>281</v>
      </c>
      <c r="F5128" t="s">
        <v>683</v>
      </c>
      <c r="G5128" s="2" t="s">
        <v>31</v>
      </c>
      <c r="H5128" s="1">
        <v>58.194000000000003</v>
      </c>
    </row>
    <row r="5129" spans="1:8" x14ac:dyDescent="0.3">
      <c r="A5129" s="2">
        <v>785</v>
      </c>
      <c r="B5129" t="s">
        <v>1019</v>
      </c>
      <c r="C5129" t="s">
        <v>3220</v>
      </c>
      <c r="D5129" s="2">
        <v>1</v>
      </c>
      <c r="E5129" s="11" t="s">
        <v>204</v>
      </c>
      <c r="F5129" t="s">
        <v>683</v>
      </c>
      <c r="G5129" s="2" t="s">
        <v>31</v>
      </c>
      <c r="H5129" s="1">
        <v>42.294000000000004</v>
      </c>
    </row>
    <row r="5130" spans="1:8" x14ac:dyDescent="0.3">
      <c r="A5130" s="2">
        <v>785</v>
      </c>
      <c r="B5130" t="s">
        <v>1011</v>
      </c>
      <c r="C5130" t="s">
        <v>3220</v>
      </c>
      <c r="D5130" s="2">
        <v>1</v>
      </c>
      <c r="E5130" s="11" t="s">
        <v>204</v>
      </c>
      <c r="F5130" t="s">
        <v>276</v>
      </c>
      <c r="G5130" s="2" t="s">
        <v>203</v>
      </c>
      <c r="H5130" s="1">
        <v>42.294000000000004</v>
      </c>
    </row>
    <row r="5131" spans="1:8" x14ac:dyDescent="0.3">
      <c r="A5131" s="2">
        <v>785</v>
      </c>
      <c r="B5131" t="s">
        <v>266</v>
      </c>
      <c r="C5131" t="s">
        <v>3220</v>
      </c>
      <c r="D5131" s="2">
        <v>1</v>
      </c>
      <c r="E5131" s="11" t="s">
        <v>204</v>
      </c>
      <c r="F5131" t="s">
        <v>47</v>
      </c>
      <c r="G5131" s="2" t="s">
        <v>31</v>
      </c>
      <c r="H5131" s="1">
        <v>42.294000000000004</v>
      </c>
    </row>
    <row r="5132" spans="1:8" x14ac:dyDescent="0.3">
      <c r="A5132" s="2">
        <v>785</v>
      </c>
      <c r="B5132" t="s">
        <v>1121</v>
      </c>
      <c r="C5132" t="s">
        <v>3220</v>
      </c>
      <c r="D5132" s="2">
        <v>1</v>
      </c>
      <c r="E5132" s="11" t="s">
        <v>204</v>
      </c>
      <c r="F5132" t="s">
        <v>39</v>
      </c>
      <c r="G5132" s="2" t="s">
        <v>31</v>
      </c>
      <c r="H5132" s="1">
        <v>42.294000000000004</v>
      </c>
    </row>
    <row r="5133" spans="1:8" x14ac:dyDescent="0.3">
      <c r="A5133" s="2">
        <v>785</v>
      </c>
      <c r="B5133" t="s">
        <v>708</v>
      </c>
      <c r="C5133" t="s">
        <v>3220</v>
      </c>
      <c r="D5133" s="2">
        <v>2</v>
      </c>
      <c r="E5133" s="11" t="s">
        <v>204</v>
      </c>
      <c r="F5133" t="s">
        <v>39</v>
      </c>
      <c r="G5133" s="2" t="s">
        <v>23</v>
      </c>
      <c r="H5133" s="1">
        <v>42.294000000000004</v>
      </c>
    </row>
    <row r="5134" spans="1:8" x14ac:dyDescent="0.3">
      <c r="A5134" s="2">
        <v>785</v>
      </c>
      <c r="B5134" t="s">
        <v>1012</v>
      </c>
      <c r="C5134" t="s">
        <v>3220</v>
      </c>
      <c r="D5134" s="2">
        <v>1</v>
      </c>
      <c r="E5134" s="11" t="s">
        <v>204</v>
      </c>
      <c r="F5134" t="s">
        <v>39</v>
      </c>
      <c r="G5134" s="2" t="s">
        <v>203</v>
      </c>
      <c r="H5134" s="1">
        <v>42.294000000000004</v>
      </c>
    </row>
    <row r="5135" spans="1:8" x14ac:dyDescent="0.3">
      <c r="A5135" s="2">
        <v>785</v>
      </c>
      <c r="B5135" t="s">
        <v>1120</v>
      </c>
      <c r="C5135" t="s">
        <v>1</v>
      </c>
      <c r="D5135" s="2">
        <v>1</v>
      </c>
      <c r="E5135" s="11" t="s">
        <v>281</v>
      </c>
      <c r="F5135" t="s">
        <v>36</v>
      </c>
      <c r="G5135" s="2" t="s">
        <v>31</v>
      </c>
      <c r="H5135" s="1">
        <v>58.194000000000003</v>
      </c>
    </row>
    <row r="5136" spans="1:8" x14ac:dyDescent="0.3">
      <c r="A5136" s="2">
        <v>785</v>
      </c>
      <c r="B5136" t="s">
        <v>1119</v>
      </c>
      <c r="C5136" t="s">
        <v>1</v>
      </c>
      <c r="D5136" s="2">
        <v>1</v>
      </c>
      <c r="E5136" s="11" t="s">
        <v>281</v>
      </c>
      <c r="F5136" t="s">
        <v>36</v>
      </c>
      <c r="G5136" s="2" t="s">
        <v>23</v>
      </c>
      <c r="H5136" s="1">
        <v>58.194000000000003</v>
      </c>
    </row>
    <row r="5137" spans="1:8" x14ac:dyDescent="0.3">
      <c r="A5137" s="2">
        <v>785</v>
      </c>
      <c r="B5137" t="s">
        <v>1118</v>
      </c>
      <c r="C5137" t="s">
        <v>3220</v>
      </c>
      <c r="D5137" s="2">
        <v>2</v>
      </c>
      <c r="E5137" s="11" t="s">
        <v>204</v>
      </c>
      <c r="F5137" t="s">
        <v>36</v>
      </c>
      <c r="G5137" s="2" t="s">
        <v>203</v>
      </c>
      <c r="H5137" s="1">
        <v>42.294000000000004</v>
      </c>
    </row>
    <row r="5138" spans="1:8" x14ac:dyDescent="0.3">
      <c r="A5138" s="2">
        <v>785</v>
      </c>
      <c r="B5138" t="s">
        <v>1117</v>
      </c>
      <c r="C5138" t="s">
        <v>3220</v>
      </c>
      <c r="D5138" s="2">
        <v>1</v>
      </c>
      <c r="E5138" s="11" t="s">
        <v>204</v>
      </c>
      <c r="F5138" t="s">
        <v>1116</v>
      </c>
      <c r="G5138" s="2" t="s">
        <v>23</v>
      </c>
      <c r="H5138" s="1">
        <v>42.294000000000004</v>
      </c>
    </row>
    <row r="5139" spans="1:8" x14ac:dyDescent="0.3">
      <c r="A5139" s="2">
        <v>785</v>
      </c>
      <c r="B5139" t="s">
        <v>1115</v>
      </c>
      <c r="C5139" t="s">
        <v>1</v>
      </c>
      <c r="D5139" s="2">
        <v>1</v>
      </c>
      <c r="E5139" s="11" t="s">
        <v>281</v>
      </c>
      <c r="F5139" t="s">
        <v>28</v>
      </c>
      <c r="G5139" s="2" t="s">
        <v>31</v>
      </c>
      <c r="H5139" s="1">
        <v>58.194000000000003</v>
      </c>
    </row>
    <row r="5140" spans="1:8" x14ac:dyDescent="0.3">
      <c r="A5140" s="2">
        <v>785</v>
      </c>
      <c r="B5140" t="s">
        <v>1114</v>
      </c>
      <c r="C5140" t="s">
        <v>1</v>
      </c>
      <c r="D5140" s="2">
        <v>2</v>
      </c>
      <c r="E5140" s="11" t="s">
        <v>281</v>
      </c>
      <c r="F5140" t="s">
        <v>28</v>
      </c>
      <c r="G5140" s="2" t="s">
        <v>23</v>
      </c>
      <c r="H5140" s="1">
        <v>58.194000000000003</v>
      </c>
    </row>
    <row r="5141" spans="1:8" x14ac:dyDescent="0.3">
      <c r="A5141" s="2">
        <v>785</v>
      </c>
      <c r="B5141" t="s">
        <v>1114</v>
      </c>
      <c r="C5141" t="s">
        <v>1</v>
      </c>
      <c r="D5141" s="2">
        <v>1</v>
      </c>
      <c r="E5141" s="11" t="s">
        <v>281</v>
      </c>
      <c r="F5141" t="s">
        <v>28</v>
      </c>
      <c r="G5141" s="2" t="s">
        <v>23</v>
      </c>
      <c r="H5141" s="1">
        <v>58.194000000000003</v>
      </c>
    </row>
    <row r="5142" spans="1:8" x14ac:dyDescent="0.3">
      <c r="A5142" s="2">
        <v>785</v>
      </c>
      <c r="B5142" t="s">
        <v>1003</v>
      </c>
      <c r="C5142" t="s">
        <v>3220</v>
      </c>
      <c r="D5142" s="2">
        <v>1</v>
      </c>
      <c r="E5142" s="11" t="s">
        <v>204</v>
      </c>
      <c r="F5142" t="s">
        <v>28</v>
      </c>
      <c r="G5142" s="2" t="s">
        <v>203</v>
      </c>
      <c r="H5142" s="1">
        <v>42.294000000000004</v>
      </c>
    </row>
    <row r="5143" spans="1:8" x14ac:dyDescent="0.3">
      <c r="A5143" s="2">
        <v>785</v>
      </c>
      <c r="B5143" t="s">
        <v>717</v>
      </c>
      <c r="C5143" t="s">
        <v>3220</v>
      </c>
      <c r="D5143" s="2">
        <v>1</v>
      </c>
      <c r="E5143" s="11" t="s">
        <v>204</v>
      </c>
      <c r="F5143" t="s">
        <v>28</v>
      </c>
      <c r="G5143" s="2" t="s">
        <v>31</v>
      </c>
      <c r="H5143" s="1">
        <v>42.294000000000004</v>
      </c>
    </row>
    <row r="5144" spans="1:8" x14ac:dyDescent="0.3">
      <c r="A5144" s="2">
        <v>785</v>
      </c>
      <c r="B5144" t="s">
        <v>289</v>
      </c>
      <c r="C5144" t="s">
        <v>3220</v>
      </c>
      <c r="D5144" s="2">
        <v>2</v>
      </c>
      <c r="E5144" s="11" t="s">
        <v>204</v>
      </c>
      <c r="F5144" t="s">
        <v>28</v>
      </c>
      <c r="G5144" s="2" t="s">
        <v>23</v>
      </c>
      <c r="H5144" s="1">
        <v>42.294000000000004</v>
      </c>
    </row>
    <row r="5145" spans="1:8" x14ac:dyDescent="0.3">
      <c r="A5145" s="2">
        <v>785</v>
      </c>
      <c r="B5145" t="s">
        <v>1113</v>
      </c>
      <c r="C5145" t="s">
        <v>1</v>
      </c>
      <c r="D5145" s="2">
        <v>1</v>
      </c>
      <c r="E5145" s="11" t="s">
        <v>281</v>
      </c>
      <c r="F5145" t="s">
        <v>24</v>
      </c>
      <c r="G5145" s="2" t="s">
        <v>23</v>
      </c>
      <c r="H5145" s="1">
        <v>58.194000000000003</v>
      </c>
    </row>
    <row r="5146" spans="1:8" x14ac:dyDescent="0.3">
      <c r="A5146" s="2">
        <v>786</v>
      </c>
      <c r="B5146" t="s">
        <v>1112</v>
      </c>
      <c r="C5146" t="s">
        <v>0</v>
      </c>
      <c r="D5146" s="2">
        <v>1</v>
      </c>
      <c r="E5146" s="11" t="s">
        <v>690</v>
      </c>
      <c r="F5146" t="s">
        <v>65</v>
      </c>
      <c r="G5146" s="2" t="s">
        <v>31</v>
      </c>
      <c r="H5146" s="1">
        <v>190.69400000000002</v>
      </c>
    </row>
    <row r="5147" spans="1:8" x14ac:dyDescent="0.3">
      <c r="A5147" s="2">
        <v>786</v>
      </c>
      <c r="B5147" t="s">
        <v>1111</v>
      </c>
      <c r="C5147" t="s">
        <v>0</v>
      </c>
      <c r="D5147" s="2">
        <v>1</v>
      </c>
      <c r="E5147" s="11" t="s">
        <v>1109</v>
      </c>
      <c r="F5147" t="s">
        <v>65</v>
      </c>
      <c r="G5147" s="2" t="s">
        <v>31</v>
      </c>
      <c r="H5147" s="1">
        <v>137.69400000000002</v>
      </c>
    </row>
    <row r="5148" spans="1:8" x14ac:dyDescent="0.3">
      <c r="A5148" s="2">
        <v>786</v>
      </c>
      <c r="B5148" t="s">
        <v>1110</v>
      </c>
      <c r="C5148" t="s">
        <v>0</v>
      </c>
      <c r="D5148" s="2">
        <v>1</v>
      </c>
      <c r="E5148" s="11" t="s">
        <v>1109</v>
      </c>
      <c r="F5148" t="s">
        <v>65</v>
      </c>
      <c r="G5148" s="2" t="s">
        <v>23</v>
      </c>
      <c r="H5148" s="1">
        <v>137.69400000000002</v>
      </c>
    </row>
    <row r="5149" spans="1:8" x14ac:dyDescent="0.3">
      <c r="A5149" s="2">
        <v>786</v>
      </c>
      <c r="B5149" t="s">
        <v>1108</v>
      </c>
      <c r="C5149" t="s">
        <v>0</v>
      </c>
      <c r="D5149" s="2">
        <v>1</v>
      </c>
      <c r="E5149" s="11" t="s">
        <v>690</v>
      </c>
      <c r="F5149" t="s">
        <v>62</v>
      </c>
      <c r="G5149" s="2" t="s">
        <v>4</v>
      </c>
      <c r="H5149" s="1">
        <v>190.69400000000002</v>
      </c>
    </row>
    <row r="5150" spans="1:8" x14ac:dyDescent="0.3">
      <c r="A5150" s="2">
        <v>786</v>
      </c>
      <c r="B5150" t="s">
        <v>161</v>
      </c>
      <c r="C5150" t="s">
        <v>0</v>
      </c>
      <c r="D5150" s="2">
        <v>1</v>
      </c>
      <c r="E5150" s="11" t="s">
        <v>160</v>
      </c>
      <c r="F5150" t="s">
        <v>47</v>
      </c>
      <c r="G5150" s="2" t="s">
        <v>31</v>
      </c>
      <c r="H5150" s="1">
        <v>148.29400000000001</v>
      </c>
    </row>
    <row r="5151" spans="1:8" x14ac:dyDescent="0.3">
      <c r="A5151" s="2">
        <v>786</v>
      </c>
      <c r="B5151" t="s">
        <v>1107</v>
      </c>
      <c r="C5151" t="s">
        <v>0</v>
      </c>
      <c r="D5151" s="2">
        <v>1</v>
      </c>
      <c r="E5151" s="11" t="s">
        <v>1106</v>
      </c>
      <c r="F5151" t="s">
        <v>47</v>
      </c>
      <c r="G5151" s="2" t="s">
        <v>31</v>
      </c>
      <c r="H5151" s="1">
        <v>185.39400000000001</v>
      </c>
    </row>
    <row r="5152" spans="1:8" x14ac:dyDescent="0.3">
      <c r="A5152" s="2">
        <v>786</v>
      </c>
      <c r="B5152" t="s">
        <v>1105</v>
      </c>
      <c r="C5152" t="s">
        <v>0</v>
      </c>
      <c r="D5152" s="2">
        <v>1</v>
      </c>
      <c r="E5152" s="11" t="s">
        <v>1099</v>
      </c>
      <c r="F5152" t="s">
        <v>47</v>
      </c>
      <c r="G5152" s="2" t="s">
        <v>4</v>
      </c>
      <c r="H5152" s="1">
        <v>195.99400000000003</v>
      </c>
    </row>
    <row r="5153" spans="1:8" x14ac:dyDescent="0.3">
      <c r="A5153" s="2">
        <v>786</v>
      </c>
      <c r="B5153" t="s">
        <v>1104</v>
      </c>
      <c r="C5153" t="s">
        <v>0</v>
      </c>
      <c r="D5153" s="2">
        <v>1</v>
      </c>
      <c r="E5153" s="11" t="s">
        <v>183</v>
      </c>
      <c r="F5153" t="s">
        <v>36</v>
      </c>
      <c r="G5153" s="2" t="s">
        <v>4</v>
      </c>
      <c r="H5153" s="1">
        <v>153.59400000000002</v>
      </c>
    </row>
    <row r="5154" spans="1:8" x14ac:dyDescent="0.3">
      <c r="A5154" s="2">
        <v>786</v>
      </c>
      <c r="B5154" t="s">
        <v>1103</v>
      </c>
      <c r="C5154" t="s">
        <v>0</v>
      </c>
      <c r="D5154" s="2">
        <v>1</v>
      </c>
      <c r="E5154" s="11" t="s">
        <v>183</v>
      </c>
      <c r="F5154" t="s">
        <v>28</v>
      </c>
      <c r="G5154" s="2" t="s">
        <v>23</v>
      </c>
      <c r="H5154" s="1">
        <v>153.59400000000002</v>
      </c>
    </row>
    <row r="5155" spans="1:8" x14ac:dyDescent="0.3">
      <c r="A5155" s="2">
        <v>786</v>
      </c>
      <c r="B5155" t="s">
        <v>1102</v>
      </c>
      <c r="C5155" t="s">
        <v>0</v>
      </c>
      <c r="D5155" s="2">
        <v>1</v>
      </c>
      <c r="E5155" s="11" t="s">
        <v>142</v>
      </c>
      <c r="F5155" t="s">
        <v>28</v>
      </c>
      <c r="G5155" s="2" t="s">
        <v>31</v>
      </c>
      <c r="H5155" s="1">
        <v>121.79400000000001</v>
      </c>
    </row>
    <row r="5156" spans="1:8" x14ac:dyDescent="0.3">
      <c r="A5156" s="2">
        <v>786</v>
      </c>
      <c r="B5156" t="s">
        <v>1101</v>
      </c>
      <c r="C5156" t="s">
        <v>0</v>
      </c>
      <c r="D5156" s="2">
        <v>1</v>
      </c>
      <c r="E5156" s="11" t="s">
        <v>160</v>
      </c>
      <c r="F5156" t="s">
        <v>24</v>
      </c>
      <c r="G5156" s="2" t="s">
        <v>23</v>
      </c>
      <c r="H5156" s="1">
        <v>148.29400000000001</v>
      </c>
    </row>
    <row r="5157" spans="1:8" x14ac:dyDescent="0.3">
      <c r="A5157" s="2">
        <v>786</v>
      </c>
      <c r="B5157" t="s">
        <v>1100</v>
      </c>
      <c r="C5157" t="s">
        <v>0</v>
      </c>
      <c r="D5157" s="2">
        <v>1</v>
      </c>
      <c r="E5157" s="11" t="s">
        <v>1099</v>
      </c>
      <c r="F5157" t="s">
        <v>24</v>
      </c>
      <c r="G5157" s="2" t="s">
        <v>31</v>
      </c>
      <c r="H5157" s="1">
        <v>195.99400000000003</v>
      </c>
    </row>
    <row r="5158" spans="1:8" x14ac:dyDescent="0.3">
      <c r="A5158" s="2">
        <v>787</v>
      </c>
      <c r="B5158" t="s">
        <v>1098</v>
      </c>
      <c r="C5158" t="s">
        <v>0</v>
      </c>
      <c r="D5158" s="2">
        <v>1</v>
      </c>
      <c r="E5158" s="11" t="s">
        <v>255</v>
      </c>
      <c r="F5158" t="s">
        <v>114</v>
      </c>
      <c r="G5158" s="2" t="s">
        <v>23</v>
      </c>
      <c r="H5158" s="1">
        <v>169.49400000000003</v>
      </c>
    </row>
    <row r="5159" spans="1:8" x14ac:dyDescent="0.3">
      <c r="A5159" s="2">
        <v>787</v>
      </c>
      <c r="B5159" t="s">
        <v>769</v>
      </c>
      <c r="C5159" t="s">
        <v>3224</v>
      </c>
      <c r="D5159" s="2">
        <v>1</v>
      </c>
      <c r="E5159" s="11" t="s">
        <v>663</v>
      </c>
      <c r="F5159" t="s">
        <v>114</v>
      </c>
      <c r="G5159" s="2" t="s">
        <v>31</v>
      </c>
      <c r="H5159" s="1">
        <v>111.19400000000002</v>
      </c>
    </row>
    <row r="5160" spans="1:8" x14ac:dyDescent="0.3">
      <c r="A5160" s="2">
        <v>787</v>
      </c>
      <c r="B5160" t="s">
        <v>664</v>
      </c>
      <c r="C5160" t="s">
        <v>3224</v>
      </c>
      <c r="D5160" s="2">
        <v>1</v>
      </c>
      <c r="E5160" s="11" t="s">
        <v>663</v>
      </c>
      <c r="F5160" t="s">
        <v>114</v>
      </c>
      <c r="G5160" s="2" t="s">
        <v>23</v>
      </c>
      <c r="H5160" s="1">
        <v>111.19400000000002</v>
      </c>
    </row>
    <row r="5161" spans="1:8" x14ac:dyDescent="0.3">
      <c r="A5161" s="2">
        <v>787</v>
      </c>
      <c r="B5161" t="s">
        <v>698</v>
      </c>
      <c r="C5161" t="s">
        <v>3</v>
      </c>
      <c r="D5161" s="2">
        <v>1</v>
      </c>
      <c r="E5161" s="11" t="s">
        <v>450</v>
      </c>
      <c r="F5161" t="s">
        <v>47</v>
      </c>
      <c r="G5161" s="2" t="s">
        <v>23</v>
      </c>
      <c r="H5161" s="1">
        <v>68.794000000000011</v>
      </c>
    </row>
    <row r="5162" spans="1:8" x14ac:dyDescent="0.3">
      <c r="A5162" s="2">
        <v>787</v>
      </c>
      <c r="B5162" t="s">
        <v>1097</v>
      </c>
      <c r="C5162" t="s">
        <v>3233</v>
      </c>
      <c r="D5162" s="2">
        <v>1</v>
      </c>
      <c r="E5162" s="11" t="s">
        <v>1096</v>
      </c>
      <c r="F5162" t="s">
        <v>47</v>
      </c>
      <c r="G5162" s="2" t="s">
        <v>23</v>
      </c>
      <c r="H5162" s="1">
        <v>132.39400000000001</v>
      </c>
    </row>
    <row r="5163" spans="1:8" x14ac:dyDescent="0.3">
      <c r="A5163" s="2">
        <v>787</v>
      </c>
      <c r="B5163" t="s">
        <v>973</v>
      </c>
      <c r="C5163" t="s">
        <v>3219</v>
      </c>
      <c r="D5163" s="2">
        <v>1</v>
      </c>
      <c r="E5163" s="11" t="s">
        <v>119</v>
      </c>
      <c r="F5163" t="s">
        <v>47</v>
      </c>
      <c r="G5163" s="2" t="s">
        <v>4</v>
      </c>
      <c r="H5163" s="1">
        <v>148.29400000000001</v>
      </c>
    </row>
    <row r="5164" spans="1:8" x14ac:dyDescent="0.3">
      <c r="A5164" s="2">
        <v>787</v>
      </c>
      <c r="B5164" t="s">
        <v>1051</v>
      </c>
      <c r="C5164" t="s">
        <v>3219</v>
      </c>
      <c r="D5164" s="2">
        <v>1</v>
      </c>
      <c r="E5164" s="11" t="s">
        <v>119</v>
      </c>
      <c r="F5164" t="s">
        <v>47</v>
      </c>
      <c r="G5164" s="2" t="s">
        <v>31</v>
      </c>
      <c r="H5164" s="1">
        <v>148.29400000000001</v>
      </c>
    </row>
    <row r="5165" spans="1:8" x14ac:dyDescent="0.3">
      <c r="A5165" s="2">
        <v>787</v>
      </c>
      <c r="B5165" t="s">
        <v>655</v>
      </c>
      <c r="C5165" t="s">
        <v>3219</v>
      </c>
      <c r="D5165" s="2">
        <v>1</v>
      </c>
      <c r="E5165" s="11" t="s">
        <v>119</v>
      </c>
      <c r="F5165" t="s">
        <v>47</v>
      </c>
      <c r="G5165" s="2" t="s">
        <v>23</v>
      </c>
      <c r="H5165" s="1">
        <v>148.29400000000001</v>
      </c>
    </row>
    <row r="5166" spans="1:8" x14ac:dyDescent="0.3">
      <c r="A5166" s="2">
        <v>787</v>
      </c>
      <c r="B5166" t="s">
        <v>92</v>
      </c>
      <c r="C5166" t="s">
        <v>3219</v>
      </c>
      <c r="D5166" s="2">
        <v>1</v>
      </c>
      <c r="E5166" s="11" t="s">
        <v>91</v>
      </c>
      <c r="F5166" t="s">
        <v>39</v>
      </c>
      <c r="G5166" s="2" t="s">
        <v>23</v>
      </c>
      <c r="H5166" s="1">
        <v>111.19400000000002</v>
      </c>
    </row>
    <row r="5167" spans="1:8" x14ac:dyDescent="0.3">
      <c r="A5167" s="2">
        <v>787</v>
      </c>
      <c r="B5167" t="s">
        <v>600</v>
      </c>
      <c r="C5167" t="s">
        <v>1</v>
      </c>
      <c r="D5167" s="2">
        <v>1</v>
      </c>
      <c r="E5167" s="11" t="s">
        <v>599</v>
      </c>
      <c r="F5167" t="s">
        <v>39</v>
      </c>
      <c r="G5167" s="2" t="s">
        <v>4</v>
      </c>
      <c r="H5167" s="1">
        <v>79.394000000000005</v>
      </c>
    </row>
    <row r="5168" spans="1:8" x14ac:dyDescent="0.3">
      <c r="A5168" s="2">
        <v>787</v>
      </c>
      <c r="B5168" t="s">
        <v>950</v>
      </c>
      <c r="C5168" t="s">
        <v>1</v>
      </c>
      <c r="D5168" s="2">
        <v>1</v>
      </c>
      <c r="E5168" s="11" t="s">
        <v>599</v>
      </c>
      <c r="F5168" t="s">
        <v>39</v>
      </c>
      <c r="G5168" s="2" t="s">
        <v>31</v>
      </c>
      <c r="H5168" s="1">
        <v>79.394000000000005</v>
      </c>
    </row>
    <row r="5169" spans="1:8" x14ac:dyDescent="0.3">
      <c r="A5169" s="2">
        <v>787</v>
      </c>
      <c r="B5169" t="s">
        <v>772</v>
      </c>
      <c r="C5169" t="s">
        <v>1</v>
      </c>
      <c r="D5169" s="2">
        <v>1</v>
      </c>
      <c r="E5169" s="11" t="s">
        <v>599</v>
      </c>
      <c r="F5169" t="s">
        <v>39</v>
      </c>
      <c r="G5169" s="2" t="s">
        <v>23</v>
      </c>
      <c r="H5169" s="1">
        <v>79.394000000000005</v>
      </c>
    </row>
    <row r="5170" spans="1:8" x14ac:dyDescent="0.3">
      <c r="A5170" s="2">
        <v>788</v>
      </c>
      <c r="B5170" t="s">
        <v>1001</v>
      </c>
      <c r="C5170" t="s">
        <v>1</v>
      </c>
      <c r="D5170" s="2">
        <v>1</v>
      </c>
      <c r="E5170" s="11" t="s">
        <v>53</v>
      </c>
      <c r="F5170" t="s">
        <v>55</v>
      </c>
      <c r="G5170" s="2" t="s">
        <v>31</v>
      </c>
      <c r="H5170" s="1">
        <v>36.994</v>
      </c>
    </row>
    <row r="5171" spans="1:8" x14ac:dyDescent="0.3">
      <c r="A5171" s="2">
        <v>788</v>
      </c>
      <c r="B5171" t="s">
        <v>1095</v>
      </c>
      <c r="C5171" t="s">
        <v>3225</v>
      </c>
      <c r="D5171" s="2">
        <v>1</v>
      </c>
      <c r="E5171" s="11" t="s">
        <v>491</v>
      </c>
      <c r="F5171" t="s">
        <v>55</v>
      </c>
      <c r="G5171" s="2" t="s">
        <v>31</v>
      </c>
      <c r="H5171" s="1">
        <v>164.19400000000002</v>
      </c>
    </row>
    <row r="5172" spans="1:8" x14ac:dyDescent="0.3">
      <c r="A5172" s="2">
        <v>788</v>
      </c>
      <c r="B5172" t="s">
        <v>296</v>
      </c>
      <c r="C5172" t="s">
        <v>1</v>
      </c>
      <c r="D5172" s="2">
        <v>1</v>
      </c>
      <c r="E5172" s="11" t="s">
        <v>281</v>
      </c>
      <c r="F5172" t="s">
        <v>55</v>
      </c>
      <c r="G5172" s="2" t="s">
        <v>31</v>
      </c>
      <c r="H5172" s="1">
        <v>58.194000000000003</v>
      </c>
    </row>
    <row r="5173" spans="1:8" x14ac:dyDescent="0.3">
      <c r="A5173" s="2">
        <v>788</v>
      </c>
      <c r="B5173" t="s">
        <v>893</v>
      </c>
      <c r="C5173" t="s">
        <v>3219</v>
      </c>
      <c r="D5173" s="2">
        <v>1</v>
      </c>
      <c r="E5173" s="11" t="s">
        <v>892</v>
      </c>
      <c r="F5173" t="s">
        <v>55</v>
      </c>
      <c r="G5173" s="2" t="s">
        <v>31</v>
      </c>
      <c r="H5173" s="1">
        <v>158.89400000000001</v>
      </c>
    </row>
    <row r="5174" spans="1:8" x14ac:dyDescent="0.3">
      <c r="A5174" s="2">
        <v>788</v>
      </c>
      <c r="B5174" t="s">
        <v>757</v>
      </c>
      <c r="C5174" t="s">
        <v>1</v>
      </c>
      <c r="D5174" s="2">
        <v>1</v>
      </c>
      <c r="E5174" s="11" t="s">
        <v>53</v>
      </c>
      <c r="F5174" t="s">
        <v>65</v>
      </c>
      <c r="G5174" s="2" t="s">
        <v>4</v>
      </c>
      <c r="H5174" s="1">
        <v>36.994</v>
      </c>
    </row>
    <row r="5175" spans="1:8" x14ac:dyDescent="0.3">
      <c r="A5175" s="2">
        <v>788</v>
      </c>
      <c r="B5175" t="s">
        <v>726</v>
      </c>
      <c r="C5175" t="s">
        <v>1</v>
      </c>
      <c r="D5175" s="2">
        <v>1</v>
      </c>
      <c r="E5175" s="11" t="s">
        <v>281</v>
      </c>
      <c r="F5175" t="s">
        <v>65</v>
      </c>
      <c r="G5175" s="2" t="s">
        <v>4</v>
      </c>
      <c r="H5175" s="1">
        <v>58.194000000000003</v>
      </c>
    </row>
    <row r="5176" spans="1:8" x14ac:dyDescent="0.3">
      <c r="A5176" s="2">
        <v>788</v>
      </c>
      <c r="B5176" t="s">
        <v>726</v>
      </c>
      <c r="C5176" t="s">
        <v>1</v>
      </c>
      <c r="D5176" s="2">
        <v>1</v>
      </c>
      <c r="E5176" s="11" t="s">
        <v>281</v>
      </c>
      <c r="F5176" t="s">
        <v>65</v>
      </c>
      <c r="G5176" s="2" t="s">
        <v>4</v>
      </c>
      <c r="H5176" s="1">
        <v>58.194000000000003</v>
      </c>
    </row>
    <row r="5177" spans="1:8" x14ac:dyDescent="0.3">
      <c r="A5177" s="2">
        <v>788</v>
      </c>
      <c r="B5177" t="s">
        <v>989</v>
      </c>
      <c r="C5177" t="s">
        <v>3219</v>
      </c>
      <c r="D5177" s="2">
        <v>1</v>
      </c>
      <c r="E5177" s="11" t="s">
        <v>892</v>
      </c>
      <c r="F5177" t="s">
        <v>55</v>
      </c>
      <c r="G5177" s="2" t="s">
        <v>4</v>
      </c>
      <c r="H5177" s="1">
        <v>158.89400000000001</v>
      </c>
    </row>
    <row r="5178" spans="1:8" x14ac:dyDescent="0.3">
      <c r="A5178" s="2">
        <v>788</v>
      </c>
      <c r="B5178" t="s">
        <v>296</v>
      </c>
      <c r="C5178" t="s">
        <v>1</v>
      </c>
      <c r="D5178" s="2">
        <v>1</v>
      </c>
      <c r="E5178" s="11" t="s">
        <v>281</v>
      </c>
      <c r="F5178" t="s">
        <v>55</v>
      </c>
      <c r="G5178" s="2" t="s">
        <v>31</v>
      </c>
      <c r="H5178" s="1">
        <v>58.194000000000003</v>
      </c>
    </row>
    <row r="5179" spans="1:8" x14ac:dyDescent="0.3">
      <c r="A5179" s="2">
        <v>788</v>
      </c>
      <c r="B5179" t="s">
        <v>618</v>
      </c>
      <c r="C5179" t="s">
        <v>3225</v>
      </c>
      <c r="D5179" s="2">
        <v>1</v>
      </c>
      <c r="E5179" s="11" t="s">
        <v>239</v>
      </c>
      <c r="F5179" t="s">
        <v>114</v>
      </c>
      <c r="G5179" s="2" t="s">
        <v>31</v>
      </c>
      <c r="H5179" s="1">
        <v>148.29400000000001</v>
      </c>
    </row>
    <row r="5180" spans="1:8" x14ac:dyDescent="0.3">
      <c r="A5180" s="2">
        <v>788</v>
      </c>
      <c r="B5180" t="s">
        <v>1069</v>
      </c>
      <c r="C5180" t="s">
        <v>3219</v>
      </c>
      <c r="D5180" s="2">
        <v>2</v>
      </c>
      <c r="E5180" s="11" t="s">
        <v>892</v>
      </c>
      <c r="F5180" t="s">
        <v>39</v>
      </c>
      <c r="G5180" s="2" t="s">
        <v>23</v>
      </c>
      <c r="H5180" s="1">
        <v>158.89400000000001</v>
      </c>
    </row>
    <row r="5181" spans="1:8" x14ac:dyDescent="0.3">
      <c r="A5181" s="2">
        <v>788</v>
      </c>
      <c r="B5181" t="s">
        <v>1094</v>
      </c>
      <c r="C5181" t="s">
        <v>3225</v>
      </c>
      <c r="D5181" s="2">
        <v>1</v>
      </c>
      <c r="E5181" s="11" t="s">
        <v>915</v>
      </c>
      <c r="F5181" t="s">
        <v>39</v>
      </c>
      <c r="G5181" s="2" t="s">
        <v>31</v>
      </c>
      <c r="H5181" s="1">
        <v>169.49400000000003</v>
      </c>
    </row>
    <row r="5182" spans="1:8" x14ac:dyDescent="0.3">
      <c r="A5182" s="2">
        <v>788</v>
      </c>
      <c r="B5182" t="s">
        <v>1093</v>
      </c>
      <c r="C5182" t="s">
        <v>3225</v>
      </c>
      <c r="D5182" s="2">
        <v>1</v>
      </c>
      <c r="E5182" s="11" t="s">
        <v>886</v>
      </c>
      <c r="F5182" t="s">
        <v>28</v>
      </c>
      <c r="G5182" s="2" t="s">
        <v>23</v>
      </c>
      <c r="H5182" s="1">
        <v>174.79400000000001</v>
      </c>
    </row>
    <row r="5183" spans="1:8" x14ac:dyDescent="0.3">
      <c r="A5183" s="2">
        <v>788</v>
      </c>
      <c r="B5183" t="s">
        <v>1027</v>
      </c>
      <c r="C5183" t="s">
        <v>3220</v>
      </c>
      <c r="D5183" s="2">
        <v>2</v>
      </c>
      <c r="E5183" s="11" t="s">
        <v>700</v>
      </c>
      <c r="F5183" t="s">
        <v>24</v>
      </c>
      <c r="G5183" s="2" t="s">
        <v>31</v>
      </c>
      <c r="H5183" s="1">
        <v>15.793999999999999</v>
      </c>
    </row>
    <row r="5184" spans="1:8" x14ac:dyDescent="0.3">
      <c r="A5184" s="2">
        <v>788</v>
      </c>
      <c r="B5184" t="s">
        <v>1002</v>
      </c>
      <c r="C5184" t="s">
        <v>3</v>
      </c>
      <c r="D5184" s="2">
        <v>1</v>
      </c>
      <c r="E5184" s="11" t="s">
        <v>450</v>
      </c>
      <c r="F5184" t="s">
        <v>24</v>
      </c>
      <c r="G5184" s="2" t="s">
        <v>31</v>
      </c>
      <c r="H5184" s="1">
        <v>68.794000000000011</v>
      </c>
    </row>
    <row r="5185" spans="1:8" x14ac:dyDescent="0.3">
      <c r="A5185" s="2">
        <v>789</v>
      </c>
      <c r="B5185" t="s">
        <v>836</v>
      </c>
      <c r="C5185" t="s">
        <v>0</v>
      </c>
      <c r="D5185" s="2">
        <v>1</v>
      </c>
      <c r="E5185" s="11" t="s">
        <v>665</v>
      </c>
      <c r="F5185" t="s">
        <v>28</v>
      </c>
      <c r="G5185" s="2" t="s">
        <v>31</v>
      </c>
      <c r="H5185" s="1">
        <v>164.19400000000002</v>
      </c>
    </row>
    <row r="5186" spans="1:8" x14ac:dyDescent="0.3">
      <c r="A5186" s="2">
        <v>789</v>
      </c>
      <c r="B5186" t="s">
        <v>666</v>
      </c>
      <c r="C5186" t="s">
        <v>0</v>
      </c>
      <c r="D5186" s="2">
        <v>2</v>
      </c>
      <c r="E5186" s="11" t="s">
        <v>665</v>
      </c>
      <c r="F5186" t="s">
        <v>28</v>
      </c>
      <c r="G5186" s="2" t="s">
        <v>23</v>
      </c>
      <c r="H5186" s="1">
        <v>164.19400000000002</v>
      </c>
    </row>
    <row r="5187" spans="1:8" x14ac:dyDescent="0.3">
      <c r="A5187" s="2">
        <v>789</v>
      </c>
      <c r="B5187" t="s">
        <v>765</v>
      </c>
      <c r="C5187" t="s">
        <v>0</v>
      </c>
      <c r="D5187" s="2">
        <v>1</v>
      </c>
      <c r="E5187" s="11" t="s">
        <v>531</v>
      </c>
      <c r="F5187" t="s">
        <v>39</v>
      </c>
      <c r="G5187" s="2" t="s">
        <v>4</v>
      </c>
      <c r="H5187" s="1">
        <v>217.19400000000002</v>
      </c>
    </row>
    <row r="5188" spans="1:8" x14ac:dyDescent="0.3">
      <c r="A5188" s="2">
        <v>789</v>
      </c>
      <c r="B5188" t="s">
        <v>890</v>
      </c>
      <c r="C5188" t="s">
        <v>0</v>
      </c>
      <c r="D5188" s="2">
        <v>1</v>
      </c>
      <c r="E5188" s="11" t="s">
        <v>531</v>
      </c>
      <c r="F5188" t="s">
        <v>39</v>
      </c>
      <c r="G5188" s="2" t="s">
        <v>31</v>
      </c>
      <c r="H5188" s="1">
        <v>217.19400000000002</v>
      </c>
    </row>
    <row r="5189" spans="1:8" x14ac:dyDescent="0.3">
      <c r="A5189" s="2">
        <v>789</v>
      </c>
      <c r="B5189" t="s">
        <v>532</v>
      </c>
      <c r="C5189" t="s">
        <v>0</v>
      </c>
      <c r="D5189" s="2">
        <v>1</v>
      </c>
      <c r="E5189" s="11" t="s">
        <v>531</v>
      </c>
      <c r="F5189" t="s">
        <v>39</v>
      </c>
      <c r="G5189" s="2" t="s">
        <v>23</v>
      </c>
      <c r="H5189" s="1">
        <v>217.19400000000002</v>
      </c>
    </row>
    <row r="5190" spans="1:8" x14ac:dyDescent="0.3">
      <c r="A5190" s="2">
        <v>790</v>
      </c>
      <c r="B5190" t="s">
        <v>1092</v>
      </c>
      <c r="C5190" t="s">
        <v>3224</v>
      </c>
      <c r="D5190" s="2">
        <v>1</v>
      </c>
      <c r="E5190" s="11" t="s">
        <v>1089</v>
      </c>
      <c r="F5190" t="s">
        <v>65</v>
      </c>
      <c r="G5190" s="2" t="s">
        <v>23</v>
      </c>
      <c r="H5190" s="1">
        <v>74.094000000000008</v>
      </c>
    </row>
    <row r="5191" spans="1:8" x14ac:dyDescent="0.3">
      <c r="A5191" s="2">
        <v>790</v>
      </c>
      <c r="B5191" t="s">
        <v>1091</v>
      </c>
      <c r="C5191" t="s">
        <v>2</v>
      </c>
      <c r="D5191" s="2">
        <v>1</v>
      </c>
      <c r="E5191" s="11" t="s">
        <v>1087</v>
      </c>
      <c r="F5191" t="s">
        <v>65</v>
      </c>
      <c r="G5191" s="2" t="s">
        <v>23</v>
      </c>
      <c r="H5191" s="1">
        <v>105.89400000000001</v>
      </c>
    </row>
    <row r="5192" spans="1:8" x14ac:dyDescent="0.3">
      <c r="A5192" s="2">
        <v>790</v>
      </c>
      <c r="B5192" t="s">
        <v>1090</v>
      </c>
      <c r="C5192" t="s">
        <v>3224</v>
      </c>
      <c r="D5192" s="2">
        <v>1</v>
      </c>
      <c r="E5192" s="11" t="s">
        <v>1089</v>
      </c>
      <c r="F5192" t="s">
        <v>62</v>
      </c>
      <c r="G5192" s="2" t="s">
        <v>31</v>
      </c>
      <c r="H5192" s="1">
        <v>74.094000000000008</v>
      </c>
    </row>
    <row r="5193" spans="1:8" x14ac:dyDescent="0.3">
      <c r="A5193" s="2">
        <v>790</v>
      </c>
      <c r="B5193" t="s">
        <v>1088</v>
      </c>
      <c r="C5193" t="s">
        <v>2</v>
      </c>
      <c r="D5193" s="2">
        <v>1</v>
      </c>
      <c r="E5193" s="11" t="s">
        <v>1087</v>
      </c>
      <c r="F5193" t="s">
        <v>62</v>
      </c>
      <c r="G5193" s="2" t="s">
        <v>31</v>
      </c>
      <c r="H5193" s="1">
        <v>105.89400000000001</v>
      </c>
    </row>
    <row r="5194" spans="1:8" x14ac:dyDescent="0.3">
      <c r="A5194" s="2">
        <v>790</v>
      </c>
      <c r="B5194" t="s">
        <v>809</v>
      </c>
      <c r="C5194" t="s">
        <v>3224</v>
      </c>
      <c r="D5194" s="2">
        <v>2</v>
      </c>
      <c r="E5194" s="11" t="s">
        <v>663</v>
      </c>
      <c r="F5194" t="s">
        <v>55</v>
      </c>
      <c r="G5194" s="2" t="s">
        <v>23</v>
      </c>
      <c r="H5194" s="1">
        <v>111.19400000000002</v>
      </c>
    </row>
    <row r="5195" spans="1:8" x14ac:dyDescent="0.3">
      <c r="A5195" s="2">
        <v>790</v>
      </c>
      <c r="B5195" t="s">
        <v>1070</v>
      </c>
      <c r="C5195" t="s">
        <v>0</v>
      </c>
      <c r="D5195" s="2">
        <v>1</v>
      </c>
      <c r="E5195" s="11" t="s">
        <v>987</v>
      </c>
      <c r="F5195" t="s">
        <v>114</v>
      </c>
      <c r="G5195" s="2" t="s">
        <v>23</v>
      </c>
      <c r="H5195" s="1">
        <v>185.39400000000001</v>
      </c>
    </row>
    <row r="5196" spans="1:8" x14ac:dyDescent="0.3">
      <c r="A5196" s="2">
        <v>790</v>
      </c>
      <c r="B5196" t="s">
        <v>769</v>
      </c>
      <c r="C5196" t="s">
        <v>3224</v>
      </c>
      <c r="D5196" s="2">
        <v>2</v>
      </c>
      <c r="E5196" s="11" t="s">
        <v>663</v>
      </c>
      <c r="F5196" t="s">
        <v>114</v>
      </c>
      <c r="G5196" s="2" t="s">
        <v>31</v>
      </c>
      <c r="H5196" s="1">
        <v>111.19400000000002</v>
      </c>
    </row>
    <row r="5197" spans="1:8" x14ac:dyDescent="0.3">
      <c r="A5197" s="2">
        <v>790</v>
      </c>
      <c r="B5197" t="s">
        <v>1086</v>
      </c>
      <c r="C5197" t="s">
        <v>3225</v>
      </c>
      <c r="D5197" s="2">
        <v>1</v>
      </c>
      <c r="E5197" s="11" t="s">
        <v>915</v>
      </c>
      <c r="F5197" t="s">
        <v>114</v>
      </c>
      <c r="G5197" s="2" t="s">
        <v>31</v>
      </c>
      <c r="H5197" s="1">
        <v>169.49400000000003</v>
      </c>
    </row>
    <row r="5198" spans="1:8" x14ac:dyDescent="0.3">
      <c r="A5198" s="2">
        <v>790</v>
      </c>
      <c r="B5198" t="s">
        <v>1085</v>
      </c>
      <c r="C5198" t="s">
        <v>0</v>
      </c>
      <c r="D5198" s="2">
        <v>1</v>
      </c>
      <c r="E5198" s="11" t="s">
        <v>987</v>
      </c>
      <c r="F5198" t="s">
        <v>47</v>
      </c>
      <c r="G5198" s="2" t="s">
        <v>31</v>
      </c>
      <c r="H5198" s="1">
        <v>185.39400000000001</v>
      </c>
    </row>
    <row r="5199" spans="1:8" x14ac:dyDescent="0.3">
      <c r="A5199" s="2">
        <v>790</v>
      </c>
      <c r="B5199" t="s">
        <v>1051</v>
      </c>
      <c r="C5199" t="s">
        <v>3219</v>
      </c>
      <c r="D5199" s="2">
        <v>1</v>
      </c>
      <c r="E5199" s="11" t="s">
        <v>119</v>
      </c>
      <c r="F5199" t="s">
        <v>47</v>
      </c>
      <c r="G5199" s="2" t="s">
        <v>31</v>
      </c>
      <c r="H5199" s="1">
        <v>148.29400000000001</v>
      </c>
    </row>
    <row r="5200" spans="1:8" x14ac:dyDescent="0.3">
      <c r="A5200" s="2">
        <v>790</v>
      </c>
      <c r="B5200" t="s">
        <v>1084</v>
      </c>
      <c r="C5200" t="s">
        <v>0</v>
      </c>
      <c r="D5200" s="2">
        <v>1</v>
      </c>
      <c r="E5200" s="11" t="s">
        <v>1083</v>
      </c>
      <c r="F5200" t="s">
        <v>39</v>
      </c>
      <c r="G5200" s="2" t="s">
        <v>31</v>
      </c>
      <c r="H5200" s="1">
        <v>169.49400000000003</v>
      </c>
    </row>
    <row r="5201" spans="1:8" x14ac:dyDescent="0.3">
      <c r="A5201" s="2">
        <v>790</v>
      </c>
      <c r="B5201" t="s">
        <v>890</v>
      </c>
      <c r="C5201" t="s">
        <v>0</v>
      </c>
      <c r="D5201" s="2">
        <v>1</v>
      </c>
      <c r="E5201" s="11" t="s">
        <v>531</v>
      </c>
      <c r="F5201" t="s">
        <v>39</v>
      </c>
      <c r="G5201" s="2" t="s">
        <v>31</v>
      </c>
      <c r="H5201" s="1">
        <v>217.19400000000002</v>
      </c>
    </row>
    <row r="5202" spans="1:8" x14ac:dyDescent="0.3">
      <c r="A5202" s="2">
        <v>790</v>
      </c>
      <c r="B5202" t="s">
        <v>1059</v>
      </c>
      <c r="C5202" t="s">
        <v>3224</v>
      </c>
      <c r="D5202" s="2">
        <v>1</v>
      </c>
      <c r="E5202" s="11" t="s">
        <v>663</v>
      </c>
      <c r="F5202" t="s">
        <v>36</v>
      </c>
      <c r="G5202" s="2" t="s">
        <v>31</v>
      </c>
      <c r="H5202" s="1">
        <v>111.19400000000002</v>
      </c>
    </row>
    <row r="5203" spans="1:8" x14ac:dyDescent="0.3">
      <c r="A5203" s="2">
        <v>790</v>
      </c>
      <c r="B5203" t="s">
        <v>1057</v>
      </c>
      <c r="C5203" t="s">
        <v>3219</v>
      </c>
      <c r="D5203" s="2">
        <v>1</v>
      </c>
      <c r="E5203" s="11" t="s">
        <v>119</v>
      </c>
      <c r="F5203" t="s">
        <v>36</v>
      </c>
      <c r="G5203" s="2" t="s">
        <v>31</v>
      </c>
      <c r="H5203" s="1">
        <v>148.29400000000001</v>
      </c>
    </row>
    <row r="5204" spans="1:8" x14ac:dyDescent="0.3">
      <c r="A5204" s="2">
        <v>790</v>
      </c>
      <c r="B5204" t="s">
        <v>1049</v>
      </c>
      <c r="C5204" t="s">
        <v>0</v>
      </c>
      <c r="D5204" s="2">
        <v>1</v>
      </c>
      <c r="E5204" s="11" t="s">
        <v>56</v>
      </c>
      <c r="F5204" t="s">
        <v>36</v>
      </c>
      <c r="G5204" s="2" t="s">
        <v>31</v>
      </c>
      <c r="H5204" s="1">
        <v>227.79400000000001</v>
      </c>
    </row>
    <row r="5205" spans="1:8" x14ac:dyDescent="0.3">
      <c r="A5205" s="2">
        <v>790</v>
      </c>
      <c r="B5205" t="s">
        <v>1048</v>
      </c>
      <c r="C5205" t="s">
        <v>0</v>
      </c>
      <c r="D5205" s="2">
        <v>1</v>
      </c>
      <c r="E5205" s="11" t="s">
        <v>56</v>
      </c>
      <c r="F5205" t="s">
        <v>36</v>
      </c>
      <c r="G5205" s="2" t="s">
        <v>23</v>
      </c>
      <c r="H5205" s="1">
        <v>227.79400000000001</v>
      </c>
    </row>
    <row r="5206" spans="1:8" x14ac:dyDescent="0.3">
      <c r="A5206" s="2">
        <v>790</v>
      </c>
      <c r="B5206" t="s">
        <v>1082</v>
      </c>
      <c r="C5206" t="s">
        <v>3</v>
      </c>
      <c r="D5206" s="2">
        <v>1</v>
      </c>
      <c r="E5206" s="11" t="s">
        <v>675</v>
      </c>
      <c r="F5206" t="s">
        <v>28</v>
      </c>
      <c r="G5206" s="2" t="s">
        <v>23</v>
      </c>
      <c r="H5206" s="1">
        <v>89.994000000000014</v>
      </c>
    </row>
    <row r="5207" spans="1:8" x14ac:dyDescent="0.3">
      <c r="A5207" s="2">
        <v>790</v>
      </c>
      <c r="B5207" t="s">
        <v>1081</v>
      </c>
      <c r="C5207" t="s">
        <v>3220</v>
      </c>
      <c r="D5207" s="2">
        <v>1</v>
      </c>
      <c r="E5207" s="11" t="s">
        <v>154</v>
      </c>
      <c r="F5207" t="s">
        <v>28</v>
      </c>
      <c r="G5207" s="2" t="s">
        <v>23</v>
      </c>
      <c r="H5207" s="1">
        <v>84.694000000000017</v>
      </c>
    </row>
    <row r="5208" spans="1:8" x14ac:dyDescent="0.3">
      <c r="A5208" s="2">
        <v>790</v>
      </c>
      <c r="B5208" t="s">
        <v>828</v>
      </c>
      <c r="C5208" t="s">
        <v>0</v>
      </c>
      <c r="D5208" s="2">
        <v>1</v>
      </c>
      <c r="E5208" s="11" t="s">
        <v>531</v>
      </c>
      <c r="F5208" t="s">
        <v>28</v>
      </c>
      <c r="G5208" s="2" t="s">
        <v>31</v>
      </c>
      <c r="H5208" s="1">
        <v>217.19400000000002</v>
      </c>
    </row>
    <row r="5209" spans="1:8" x14ac:dyDescent="0.3">
      <c r="A5209" s="2">
        <v>790</v>
      </c>
      <c r="B5209" t="s">
        <v>1080</v>
      </c>
      <c r="C5209" t="s">
        <v>0</v>
      </c>
      <c r="D5209" s="2">
        <v>1</v>
      </c>
      <c r="E5209" s="11" t="s">
        <v>531</v>
      </c>
      <c r="F5209" t="s">
        <v>28</v>
      </c>
      <c r="G5209" s="2" t="s">
        <v>23</v>
      </c>
      <c r="H5209" s="1">
        <v>217.19400000000002</v>
      </c>
    </row>
    <row r="5210" spans="1:8" x14ac:dyDescent="0.3">
      <c r="A5210" s="2">
        <v>790</v>
      </c>
      <c r="B5210" t="s">
        <v>145</v>
      </c>
      <c r="C5210" t="s">
        <v>2</v>
      </c>
      <c r="D5210" s="2">
        <v>1</v>
      </c>
      <c r="E5210" s="11" t="s">
        <v>144</v>
      </c>
      <c r="F5210" t="s">
        <v>28</v>
      </c>
      <c r="G5210" s="2" t="s">
        <v>23</v>
      </c>
      <c r="H5210" s="1">
        <v>142.994</v>
      </c>
    </row>
    <row r="5211" spans="1:8" x14ac:dyDescent="0.3">
      <c r="A5211" s="2">
        <v>790</v>
      </c>
      <c r="B5211" t="s">
        <v>853</v>
      </c>
      <c r="C5211" t="s">
        <v>3224</v>
      </c>
      <c r="D5211" s="2">
        <v>1</v>
      </c>
      <c r="E5211" s="11" t="s">
        <v>462</v>
      </c>
      <c r="F5211" t="s">
        <v>28</v>
      </c>
      <c r="G5211" s="2" t="s">
        <v>23</v>
      </c>
      <c r="H5211" s="1">
        <v>79.394000000000005</v>
      </c>
    </row>
    <row r="5212" spans="1:8" x14ac:dyDescent="0.3">
      <c r="A5212" s="2">
        <v>791</v>
      </c>
      <c r="B5212" t="s">
        <v>1053</v>
      </c>
      <c r="C5212" t="s">
        <v>1</v>
      </c>
      <c r="D5212" s="2">
        <v>1</v>
      </c>
      <c r="E5212" s="11" t="s">
        <v>222</v>
      </c>
      <c r="F5212" t="s">
        <v>65</v>
      </c>
      <c r="G5212" s="2" t="s">
        <v>31</v>
      </c>
      <c r="H5212" s="1">
        <v>52.893999999999998</v>
      </c>
    </row>
    <row r="5213" spans="1:8" x14ac:dyDescent="0.3">
      <c r="A5213" s="2">
        <v>791</v>
      </c>
      <c r="B5213" t="s">
        <v>621</v>
      </c>
      <c r="C5213" t="s">
        <v>3224</v>
      </c>
      <c r="D5213" s="2">
        <v>1</v>
      </c>
      <c r="E5213" s="11" t="s">
        <v>538</v>
      </c>
      <c r="F5213" t="s">
        <v>114</v>
      </c>
      <c r="G5213" s="2" t="s">
        <v>31</v>
      </c>
      <c r="H5213" s="1">
        <v>89.994000000000014</v>
      </c>
    </row>
    <row r="5214" spans="1:8" x14ac:dyDescent="0.3">
      <c r="A5214" s="2">
        <v>791</v>
      </c>
      <c r="B5214" t="s">
        <v>620</v>
      </c>
      <c r="C5214" t="s">
        <v>3219</v>
      </c>
      <c r="D5214" s="2">
        <v>1</v>
      </c>
      <c r="E5214" s="11" t="s">
        <v>536</v>
      </c>
      <c r="F5214" t="s">
        <v>114</v>
      </c>
      <c r="G5214" s="2" t="s">
        <v>31</v>
      </c>
      <c r="H5214" s="1">
        <v>158.89400000000001</v>
      </c>
    </row>
    <row r="5215" spans="1:8" x14ac:dyDescent="0.3">
      <c r="A5215" s="2">
        <v>791</v>
      </c>
      <c r="B5215" t="s">
        <v>260</v>
      </c>
      <c r="C5215" t="s">
        <v>0</v>
      </c>
      <c r="D5215" s="2">
        <v>1</v>
      </c>
      <c r="E5215" s="11" t="s">
        <v>217</v>
      </c>
      <c r="F5215" t="s">
        <v>62</v>
      </c>
      <c r="G5215" s="2" t="s">
        <v>4</v>
      </c>
      <c r="H5215" s="1">
        <v>142.994</v>
      </c>
    </row>
    <row r="5216" spans="1:8" x14ac:dyDescent="0.3">
      <c r="A5216" s="2">
        <v>791</v>
      </c>
      <c r="B5216" t="s">
        <v>1079</v>
      </c>
      <c r="C5216" t="s">
        <v>1</v>
      </c>
      <c r="D5216" s="2">
        <v>1</v>
      </c>
      <c r="E5216" s="11" t="s">
        <v>189</v>
      </c>
      <c r="F5216" t="s">
        <v>62</v>
      </c>
      <c r="G5216" s="2" t="s">
        <v>31</v>
      </c>
      <c r="H5216" s="1">
        <v>63.494000000000007</v>
      </c>
    </row>
    <row r="5217" spans="1:8" x14ac:dyDescent="0.3">
      <c r="A5217" s="2">
        <v>791</v>
      </c>
      <c r="B5217" t="s">
        <v>1065</v>
      </c>
      <c r="C5217" t="s">
        <v>3219</v>
      </c>
      <c r="D5217" s="2">
        <v>2</v>
      </c>
      <c r="E5217" s="11" t="s">
        <v>892</v>
      </c>
      <c r="F5217" t="s">
        <v>114</v>
      </c>
      <c r="G5217" s="2" t="s">
        <v>23</v>
      </c>
      <c r="H5217" s="1">
        <v>158.89400000000001</v>
      </c>
    </row>
    <row r="5218" spans="1:8" x14ac:dyDescent="0.3">
      <c r="A5218" s="2">
        <v>791</v>
      </c>
      <c r="B5218" t="s">
        <v>1078</v>
      </c>
      <c r="C5218" t="s">
        <v>0</v>
      </c>
      <c r="D5218" s="2">
        <v>1</v>
      </c>
      <c r="E5218" s="11" t="s">
        <v>1077</v>
      </c>
      <c r="F5218" t="s">
        <v>114</v>
      </c>
      <c r="G5218" s="2" t="s">
        <v>23</v>
      </c>
      <c r="H5218" s="1">
        <v>180.09400000000002</v>
      </c>
    </row>
    <row r="5219" spans="1:8" x14ac:dyDescent="0.3">
      <c r="A5219" s="2">
        <v>791</v>
      </c>
      <c r="B5219" t="s">
        <v>1062</v>
      </c>
      <c r="C5219" t="s">
        <v>3224</v>
      </c>
      <c r="D5219" s="2">
        <v>2</v>
      </c>
      <c r="E5219" s="11" t="s">
        <v>494</v>
      </c>
      <c r="F5219" t="s">
        <v>114</v>
      </c>
      <c r="G5219" s="2" t="s">
        <v>23</v>
      </c>
      <c r="H5219" s="1">
        <v>47.594000000000001</v>
      </c>
    </row>
    <row r="5220" spans="1:8" x14ac:dyDescent="0.3">
      <c r="A5220" s="2">
        <v>791</v>
      </c>
      <c r="B5220" t="s">
        <v>914</v>
      </c>
      <c r="C5220" t="s">
        <v>3224</v>
      </c>
      <c r="D5220" s="2">
        <v>1</v>
      </c>
      <c r="E5220" s="11" t="s">
        <v>494</v>
      </c>
      <c r="F5220" t="s">
        <v>47</v>
      </c>
      <c r="G5220" s="2" t="s">
        <v>23</v>
      </c>
      <c r="H5220" s="1">
        <v>47.594000000000001</v>
      </c>
    </row>
    <row r="5221" spans="1:8" x14ac:dyDescent="0.3">
      <c r="A5221" s="2">
        <v>791</v>
      </c>
      <c r="B5221" t="s">
        <v>1076</v>
      </c>
      <c r="C5221" t="s">
        <v>3238</v>
      </c>
      <c r="D5221" s="2">
        <v>1</v>
      </c>
      <c r="E5221" s="11" t="s">
        <v>952</v>
      </c>
      <c r="F5221" t="s">
        <v>39</v>
      </c>
      <c r="G5221" s="2" t="s">
        <v>31</v>
      </c>
      <c r="H5221" s="1">
        <v>105.89400000000001</v>
      </c>
    </row>
    <row r="5222" spans="1:8" x14ac:dyDescent="0.3">
      <c r="A5222" s="2">
        <v>791</v>
      </c>
      <c r="B5222" t="s">
        <v>772</v>
      </c>
      <c r="C5222" t="s">
        <v>1</v>
      </c>
      <c r="D5222" s="2">
        <v>1</v>
      </c>
      <c r="E5222" s="11" t="s">
        <v>599</v>
      </c>
      <c r="F5222" t="s">
        <v>39</v>
      </c>
      <c r="G5222" s="2" t="s">
        <v>23</v>
      </c>
      <c r="H5222" s="1">
        <v>79.394000000000005</v>
      </c>
    </row>
    <row r="5223" spans="1:8" x14ac:dyDescent="0.3">
      <c r="A5223" s="2">
        <v>791</v>
      </c>
      <c r="B5223" t="s">
        <v>1075</v>
      </c>
      <c r="C5223" t="s">
        <v>3225</v>
      </c>
      <c r="D5223" s="2">
        <v>1</v>
      </c>
      <c r="E5223" s="11" t="s">
        <v>915</v>
      </c>
      <c r="F5223" t="s">
        <v>39</v>
      </c>
      <c r="G5223" s="2" t="s">
        <v>4</v>
      </c>
      <c r="H5223" s="1">
        <v>169.49400000000003</v>
      </c>
    </row>
    <row r="5224" spans="1:8" x14ac:dyDescent="0.3">
      <c r="A5224" s="2">
        <v>791</v>
      </c>
      <c r="B5224" t="s">
        <v>1049</v>
      </c>
      <c r="C5224" t="s">
        <v>0</v>
      </c>
      <c r="D5224" s="2">
        <v>1</v>
      </c>
      <c r="E5224" s="11" t="s">
        <v>56</v>
      </c>
      <c r="F5224" t="s">
        <v>36</v>
      </c>
      <c r="G5224" s="2" t="s">
        <v>31</v>
      </c>
      <c r="H5224" s="1">
        <v>227.79400000000001</v>
      </c>
    </row>
    <row r="5225" spans="1:8" x14ac:dyDescent="0.3">
      <c r="A5225" s="2">
        <v>791</v>
      </c>
      <c r="B5225" t="s">
        <v>1074</v>
      </c>
      <c r="C5225" t="s">
        <v>3225</v>
      </c>
      <c r="D5225" s="2">
        <v>1</v>
      </c>
      <c r="E5225" s="11" t="s">
        <v>915</v>
      </c>
      <c r="F5225" t="s">
        <v>28</v>
      </c>
      <c r="G5225" s="2" t="s">
        <v>31</v>
      </c>
      <c r="H5225" s="1">
        <v>169.49400000000003</v>
      </c>
    </row>
    <row r="5226" spans="1:8" x14ac:dyDescent="0.3">
      <c r="A5226" s="2">
        <v>791</v>
      </c>
      <c r="B5226" t="s">
        <v>850</v>
      </c>
      <c r="C5226" t="s">
        <v>1</v>
      </c>
      <c r="D5226" s="2">
        <v>1</v>
      </c>
      <c r="E5226" s="11" t="s">
        <v>222</v>
      </c>
      <c r="F5226" t="s">
        <v>24</v>
      </c>
      <c r="G5226" s="2" t="s">
        <v>23</v>
      </c>
      <c r="H5226" s="1">
        <v>52.893999999999998</v>
      </c>
    </row>
    <row r="5227" spans="1:8" x14ac:dyDescent="0.3">
      <c r="A5227" s="2">
        <v>792</v>
      </c>
      <c r="B5227" t="s">
        <v>992</v>
      </c>
      <c r="C5227" t="s">
        <v>3225</v>
      </c>
      <c r="D5227" s="2">
        <v>1</v>
      </c>
      <c r="E5227" s="11" t="s">
        <v>220</v>
      </c>
      <c r="F5227" t="s">
        <v>55</v>
      </c>
      <c r="G5227" s="2" t="s">
        <v>23</v>
      </c>
      <c r="H5227" s="1">
        <v>195.99400000000003</v>
      </c>
    </row>
    <row r="5228" spans="1:8" x14ac:dyDescent="0.3">
      <c r="A5228" s="2">
        <v>792</v>
      </c>
      <c r="B5228" t="s">
        <v>1054</v>
      </c>
      <c r="C5228" t="s">
        <v>0</v>
      </c>
      <c r="D5228" s="2">
        <v>1</v>
      </c>
      <c r="E5228" s="11" t="s">
        <v>217</v>
      </c>
      <c r="F5228" t="s">
        <v>55</v>
      </c>
      <c r="G5228" s="2" t="s">
        <v>23</v>
      </c>
      <c r="H5228" s="1">
        <v>142.994</v>
      </c>
    </row>
    <row r="5229" spans="1:8" x14ac:dyDescent="0.3">
      <c r="A5229" s="2">
        <v>792</v>
      </c>
      <c r="B5229" t="s">
        <v>682</v>
      </c>
      <c r="C5229" t="s">
        <v>3</v>
      </c>
      <c r="D5229" s="2">
        <v>1</v>
      </c>
      <c r="E5229" s="11" t="s">
        <v>215</v>
      </c>
      <c r="F5229" t="s">
        <v>55</v>
      </c>
      <c r="G5229" s="2" t="s">
        <v>31</v>
      </c>
      <c r="H5229" s="1">
        <v>111.19400000000002</v>
      </c>
    </row>
    <row r="5230" spans="1:8" x14ac:dyDescent="0.3">
      <c r="A5230" s="2">
        <v>792</v>
      </c>
      <c r="B5230" t="s">
        <v>574</v>
      </c>
      <c r="C5230" t="s">
        <v>3219</v>
      </c>
      <c r="D5230" s="2">
        <v>1</v>
      </c>
      <c r="E5230" s="11" t="s">
        <v>534</v>
      </c>
      <c r="F5230" t="s">
        <v>126</v>
      </c>
      <c r="G5230" s="2" t="s">
        <v>23</v>
      </c>
      <c r="H5230" s="1">
        <v>89.994000000000014</v>
      </c>
    </row>
    <row r="5231" spans="1:8" x14ac:dyDescent="0.3">
      <c r="A5231" s="2">
        <v>792</v>
      </c>
      <c r="B5231" t="s">
        <v>991</v>
      </c>
      <c r="C5231" t="s">
        <v>0</v>
      </c>
      <c r="D5231" s="2">
        <v>1</v>
      </c>
      <c r="E5231" s="11" t="s">
        <v>217</v>
      </c>
      <c r="F5231" t="s">
        <v>62</v>
      </c>
      <c r="G5231" s="2" t="s">
        <v>31</v>
      </c>
      <c r="H5231" s="1">
        <v>142.994</v>
      </c>
    </row>
    <row r="5232" spans="1:8" x14ac:dyDescent="0.3">
      <c r="A5232" s="2">
        <v>792</v>
      </c>
      <c r="B5232" t="s">
        <v>1073</v>
      </c>
      <c r="C5232" t="s">
        <v>3219</v>
      </c>
      <c r="D5232" s="2">
        <v>1</v>
      </c>
      <c r="E5232" s="11" t="s">
        <v>534</v>
      </c>
      <c r="F5232" t="s">
        <v>62</v>
      </c>
      <c r="G5232" s="2" t="s">
        <v>31</v>
      </c>
      <c r="H5232" s="1">
        <v>89.994000000000014</v>
      </c>
    </row>
    <row r="5233" spans="1:8" x14ac:dyDescent="0.3">
      <c r="A5233" s="2">
        <v>792</v>
      </c>
      <c r="B5233" t="s">
        <v>1072</v>
      </c>
      <c r="C5233" t="s">
        <v>3225</v>
      </c>
      <c r="D5233" s="2">
        <v>1</v>
      </c>
      <c r="E5233" s="11" t="s">
        <v>491</v>
      </c>
      <c r="F5233" t="s">
        <v>62</v>
      </c>
      <c r="G5233" s="2" t="s">
        <v>31</v>
      </c>
      <c r="H5233" s="1">
        <v>164.19400000000002</v>
      </c>
    </row>
    <row r="5234" spans="1:8" x14ac:dyDescent="0.3">
      <c r="A5234" s="2">
        <v>792</v>
      </c>
      <c r="B5234" t="s">
        <v>934</v>
      </c>
      <c r="C5234" t="s">
        <v>3219</v>
      </c>
      <c r="D5234" s="2">
        <v>1</v>
      </c>
      <c r="E5234" s="11" t="s">
        <v>892</v>
      </c>
      <c r="F5234" t="s">
        <v>55</v>
      </c>
      <c r="G5234" s="2" t="s">
        <v>23</v>
      </c>
      <c r="H5234" s="1">
        <v>158.89400000000001</v>
      </c>
    </row>
    <row r="5235" spans="1:8" x14ac:dyDescent="0.3">
      <c r="A5235" s="2">
        <v>792</v>
      </c>
      <c r="B5235" t="s">
        <v>1071</v>
      </c>
      <c r="C5235" t="s">
        <v>3219</v>
      </c>
      <c r="D5235" s="2">
        <v>1</v>
      </c>
      <c r="E5235" s="11" t="s">
        <v>534</v>
      </c>
      <c r="F5235" t="s">
        <v>28</v>
      </c>
      <c r="G5235" s="2" t="s">
        <v>23</v>
      </c>
      <c r="H5235" s="1">
        <v>89.994000000000014</v>
      </c>
    </row>
    <row r="5236" spans="1:8" x14ac:dyDescent="0.3">
      <c r="A5236" s="2">
        <v>792</v>
      </c>
      <c r="B5236" t="s">
        <v>1070</v>
      </c>
      <c r="C5236" t="s">
        <v>0</v>
      </c>
      <c r="D5236" s="2">
        <v>2</v>
      </c>
      <c r="E5236" s="11" t="s">
        <v>987</v>
      </c>
      <c r="F5236" t="s">
        <v>114</v>
      </c>
      <c r="G5236" s="2" t="s">
        <v>23</v>
      </c>
      <c r="H5236" s="1">
        <v>185.39400000000001</v>
      </c>
    </row>
    <row r="5237" spans="1:8" x14ac:dyDescent="0.3">
      <c r="A5237" s="2">
        <v>792</v>
      </c>
      <c r="B5237" t="s">
        <v>103</v>
      </c>
      <c r="C5237" t="s">
        <v>3219</v>
      </c>
      <c r="D5237" s="2">
        <v>1</v>
      </c>
      <c r="E5237" s="11" t="s">
        <v>102</v>
      </c>
      <c r="F5237" t="s">
        <v>39</v>
      </c>
      <c r="G5237" s="2" t="s">
        <v>23</v>
      </c>
      <c r="H5237" s="1">
        <v>121.79400000000001</v>
      </c>
    </row>
    <row r="5238" spans="1:8" x14ac:dyDescent="0.3">
      <c r="A5238" s="2">
        <v>792</v>
      </c>
      <c r="B5238" t="s">
        <v>265</v>
      </c>
      <c r="C5238" t="s">
        <v>0</v>
      </c>
      <c r="D5238" s="2">
        <v>1</v>
      </c>
      <c r="E5238" s="11" t="s">
        <v>264</v>
      </c>
      <c r="F5238" t="s">
        <v>39</v>
      </c>
      <c r="G5238" s="2" t="s">
        <v>31</v>
      </c>
      <c r="H5238" s="1">
        <v>201.29400000000001</v>
      </c>
    </row>
    <row r="5239" spans="1:8" x14ac:dyDescent="0.3">
      <c r="A5239" s="2">
        <v>792</v>
      </c>
      <c r="B5239" t="s">
        <v>362</v>
      </c>
      <c r="C5239" t="s">
        <v>0</v>
      </c>
      <c r="D5239" s="2">
        <v>1</v>
      </c>
      <c r="E5239" s="11" t="s">
        <v>264</v>
      </c>
      <c r="F5239" t="s">
        <v>39</v>
      </c>
      <c r="G5239" s="2" t="s">
        <v>23</v>
      </c>
      <c r="H5239" s="1">
        <v>201.29400000000001</v>
      </c>
    </row>
    <row r="5240" spans="1:8" x14ac:dyDescent="0.3">
      <c r="A5240" s="2">
        <v>792</v>
      </c>
      <c r="B5240" t="s">
        <v>981</v>
      </c>
      <c r="C5240" t="s">
        <v>3219</v>
      </c>
      <c r="D5240" s="2">
        <v>2</v>
      </c>
      <c r="E5240" s="11" t="s">
        <v>892</v>
      </c>
      <c r="F5240" t="s">
        <v>39</v>
      </c>
      <c r="G5240" s="2" t="s">
        <v>31</v>
      </c>
      <c r="H5240" s="1">
        <v>158.89400000000001</v>
      </c>
    </row>
    <row r="5241" spans="1:8" x14ac:dyDescent="0.3">
      <c r="A5241" s="2">
        <v>792</v>
      </c>
      <c r="B5241" t="s">
        <v>1069</v>
      </c>
      <c r="C5241" t="s">
        <v>3219</v>
      </c>
      <c r="D5241" s="2">
        <v>2</v>
      </c>
      <c r="E5241" s="11" t="s">
        <v>892</v>
      </c>
      <c r="F5241" t="s">
        <v>39</v>
      </c>
      <c r="G5241" s="2" t="s">
        <v>23</v>
      </c>
      <c r="H5241" s="1">
        <v>158.89400000000001</v>
      </c>
    </row>
    <row r="5242" spans="1:8" x14ac:dyDescent="0.3">
      <c r="A5242" s="2">
        <v>792</v>
      </c>
      <c r="B5242" t="s">
        <v>1068</v>
      </c>
      <c r="C5242" t="s">
        <v>3</v>
      </c>
      <c r="D5242" s="2">
        <v>1</v>
      </c>
      <c r="E5242" s="11" t="s">
        <v>215</v>
      </c>
      <c r="F5242" t="s">
        <v>39</v>
      </c>
      <c r="G5242" s="2" t="s">
        <v>4</v>
      </c>
      <c r="H5242" s="1">
        <v>111.19400000000002</v>
      </c>
    </row>
    <row r="5243" spans="1:8" x14ac:dyDescent="0.3">
      <c r="A5243" s="2">
        <v>793</v>
      </c>
      <c r="B5243" t="s">
        <v>1067</v>
      </c>
      <c r="C5243" t="s">
        <v>3224</v>
      </c>
      <c r="D5243" s="2">
        <v>1</v>
      </c>
      <c r="E5243" s="11" t="s">
        <v>193</v>
      </c>
      <c r="F5243" t="s">
        <v>114</v>
      </c>
      <c r="G5243" s="2" t="s">
        <v>31</v>
      </c>
      <c r="H5243" s="1">
        <v>100.59400000000001</v>
      </c>
    </row>
    <row r="5244" spans="1:8" x14ac:dyDescent="0.3">
      <c r="A5244" s="2">
        <v>793</v>
      </c>
      <c r="B5244" t="s">
        <v>1066</v>
      </c>
      <c r="C5244" t="s">
        <v>3219</v>
      </c>
      <c r="D5244" s="2">
        <v>1</v>
      </c>
      <c r="E5244" s="11" t="s">
        <v>892</v>
      </c>
      <c r="F5244" t="s">
        <v>114</v>
      </c>
      <c r="G5244" s="2" t="s">
        <v>4</v>
      </c>
      <c r="H5244" s="1">
        <v>158.89400000000001</v>
      </c>
    </row>
    <row r="5245" spans="1:8" x14ac:dyDescent="0.3">
      <c r="A5245" s="2">
        <v>793</v>
      </c>
      <c r="B5245" t="s">
        <v>1065</v>
      </c>
      <c r="C5245" t="s">
        <v>3219</v>
      </c>
      <c r="D5245" s="2">
        <v>2</v>
      </c>
      <c r="E5245" s="11" t="s">
        <v>892</v>
      </c>
      <c r="F5245" t="s">
        <v>114</v>
      </c>
      <c r="G5245" s="2" t="s">
        <v>23</v>
      </c>
      <c r="H5245" s="1">
        <v>158.89400000000001</v>
      </c>
    </row>
    <row r="5246" spans="1:8" x14ac:dyDescent="0.3">
      <c r="A5246" s="2">
        <v>793</v>
      </c>
      <c r="B5246" t="s">
        <v>1064</v>
      </c>
      <c r="C5246" t="s">
        <v>0</v>
      </c>
      <c r="D5246" s="2">
        <v>1</v>
      </c>
      <c r="E5246" s="11" t="s">
        <v>217</v>
      </c>
      <c r="F5246" t="s">
        <v>114</v>
      </c>
      <c r="G5246" s="2" t="s">
        <v>31</v>
      </c>
      <c r="H5246" s="1">
        <v>142.994</v>
      </c>
    </row>
    <row r="5247" spans="1:8" x14ac:dyDescent="0.3">
      <c r="A5247" s="2">
        <v>793</v>
      </c>
      <c r="B5247" t="s">
        <v>1063</v>
      </c>
      <c r="C5247" t="s">
        <v>1</v>
      </c>
      <c r="D5247" s="2">
        <v>1</v>
      </c>
      <c r="E5247" s="11" t="s">
        <v>807</v>
      </c>
      <c r="F5247" t="s">
        <v>114</v>
      </c>
      <c r="G5247" s="2" t="s">
        <v>31</v>
      </c>
      <c r="H5247" s="1">
        <v>79.394000000000005</v>
      </c>
    </row>
    <row r="5248" spans="1:8" x14ac:dyDescent="0.3">
      <c r="A5248" s="2">
        <v>793</v>
      </c>
      <c r="B5248" t="s">
        <v>1062</v>
      </c>
      <c r="C5248" t="s">
        <v>3224</v>
      </c>
      <c r="D5248" s="2">
        <v>2</v>
      </c>
      <c r="E5248" s="11" t="s">
        <v>494</v>
      </c>
      <c r="F5248" t="s">
        <v>114</v>
      </c>
      <c r="G5248" s="2" t="s">
        <v>23</v>
      </c>
      <c r="H5248" s="1">
        <v>47.594000000000001</v>
      </c>
    </row>
    <row r="5249" spans="1:8" x14ac:dyDescent="0.3">
      <c r="A5249" s="2">
        <v>793</v>
      </c>
      <c r="B5249" t="s">
        <v>1061</v>
      </c>
      <c r="C5249" t="s">
        <v>1</v>
      </c>
      <c r="D5249" s="2">
        <v>1</v>
      </c>
      <c r="E5249" s="11" t="s">
        <v>599</v>
      </c>
      <c r="F5249" t="s">
        <v>47</v>
      </c>
      <c r="G5249" s="2" t="s">
        <v>31</v>
      </c>
      <c r="H5249" s="1">
        <v>79.394000000000005</v>
      </c>
    </row>
    <row r="5250" spans="1:8" x14ac:dyDescent="0.3">
      <c r="A5250" s="2">
        <v>794</v>
      </c>
      <c r="B5250" t="s">
        <v>773</v>
      </c>
      <c r="C5250" t="s">
        <v>1</v>
      </c>
      <c r="D5250" s="2">
        <v>1</v>
      </c>
      <c r="E5250" s="11" t="s">
        <v>599</v>
      </c>
      <c r="F5250" t="s">
        <v>47</v>
      </c>
      <c r="G5250" s="2" t="s">
        <v>23</v>
      </c>
      <c r="H5250" s="1">
        <v>79.394000000000005</v>
      </c>
    </row>
    <row r="5251" spans="1:8" x14ac:dyDescent="0.3">
      <c r="A5251" s="2">
        <v>794</v>
      </c>
      <c r="B5251" t="s">
        <v>950</v>
      </c>
      <c r="C5251" t="s">
        <v>1</v>
      </c>
      <c r="D5251" s="2">
        <v>1</v>
      </c>
      <c r="E5251" s="11" t="s">
        <v>599</v>
      </c>
      <c r="F5251" t="s">
        <v>39</v>
      </c>
      <c r="G5251" s="2" t="s">
        <v>31</v>
      </c>
      <c r="H5251" s="1">
        <v>79.394000000000005</v>
      </c>
    </row>
    <row r="5252" spans="1:8" x14ac:dyDescent="0.3">
      <c r="A5252" s="2">
        <v>794</v>
      </c>
      <c r="B5252" t="s">
        <v>772</v>
      </c>
      <c r="C5252" t="s">
        <v>1</v>
      </c>
      <c r="D5252" s="2">
        <v>1</v>
      </c>
      <c r="E5252" s="11" t="s">
        <v>599</v>
      </c>
      <c r="F5252" t="s">
        <v>39</v>
      </c>
      <c r="G5252" s="2" t="s">
        <v>23</v>
      </c>
      <c r="H5252" s="1">
        <v>79.394000000000005</v>
      </c>
    </row>
    <row r="5253" spans="1:8" x14ac:dyDescent="0.3">
      <c r="A5253" s="2">
        <v>794</v>
      </c>
      <c r="B5253" t="s">
        <v>1060</v>
      </c>
      <c r="C5253" t="s">
        <v>3224</v>
      </c>
      <c r="D5253" s="2">
        <v>1</v>
      </c>
      <c r="E5253" s="11" t="s">
        <v>663</v>
      </c>
      <c r="F5253" t="s">
        <v>36</v>
      </c>
      <c r="G5253" s="2" t="s">
        <v>4</v>
      </c>
      <c r="H5253" s="1">
        <v>111.19400000000002</v>
      </c>
    </row>
    <row r="5254" spans="1:8" x14ac:dyDescent="0.3">
      <c r="A5254" s="2">
        <v>794</v>
      </c>
      <c r="B5254" t="s">
        <v>1059</v>
      </c>
      <c r="C5254" t="s">
        <v>3224</v>
      </c>
      <c r="D5254" s="2">
        <v>1</v>
      </c>
      <c r="E5254" s="11" t="s">
        <v>663</v>
      </c>
      <c r="F5254" t="s">
        <v>36</v>
      </c>
      <c r="G5254" s="2" t="s">
        <v>31</v>
      </c>
      <c r="H5254" s="1">
        <v>111.19400000000002</v>
      </c>
    </row>
    <row r="5255" spans="1:8" x14ac:dyDescent="0.3">
      <c r="A5255" s="2">
        <v>794</v>
      </c>
      <c r="B5255" t="s">
        <v>972</v>
      </c>
      <c r="C5255" t="s">
        <v>3224</v>
      </c>
      <c r="D5255" s="2">
        <v>1</v>
      </c>
      <c r="E5255" s="11" t="s">
        <v>663</v>
      </c>
      <c r="F5255" t="s">
        <v>36</v>
      </c>
      <c r="G5255" s="2" t="s">
        <v>23</v>
      </c>
      <c r="H5255" s="1">
        <v>111.19400000000002</v>
      </c>
    </row>
    <row r="5256" spans="1:8" x14ac:dyDescent="0.3">
      <c r="A5256" s="2">
        <v>794</v>
      </c>
      <c r="B5256" t="s">
        <v>1058</v>
      </c>
      <c r="C5256" t="s">
        <v>3219</v>
      </c>
      <c r="D5256" s="2">
        <v>1</v>
      </c>
      <c r="E5256" s="11" t="s">
        <v>119</v>
      </c>
      <c r="F5256" t="s">
        <v>36</v>
      </c>
      <c r="G5256" s="2" t="s">
        <v>4</v>
      </c>
      <c r="H5256" s="1">
        <v>148.29400000000001</v>
      </c>
    </row>
    <row r="5257" spans="1:8" x14ac:dyDescent="0.3">
      <c r="A5257" s="2">
        <v>794</v>
      </c>
      <c r="B5257" t="s">
        <v>1057</v>
      </c>
      <c r="C5257" t="s">
        <v>3219</v>
      </c>
      <c r="D5257" s="2">
        <v>1</v>
      </c>
      <c r="E5257" s="11" t="s">
        <v>119</v>
      </c>
      <c r="F5257" t="s">
        <v>36</v>
      </c>
      <c r="G5257" s="2" t="s">
        <v>31</v>
      </c>
      <c r="H5257" s="1">
        <v>148.29400000000001</v>
      </c>
    </row>
    <row r="5258" spans="1:8" x14ac:dyDescent="0.3">
      <c r="A5258" s="2">
        <v>794</v>
      </c>
      <c r="B5258" t="s">
        <v>654</v>
      </c>
      <c r="C5258" t="s">
        <v>3219</v>
      </c>
      <c r="D5258" s="2">
        <v>1</v>
      </c>
      <c r="E5258" s="11" t="s">
        <v>119</v>
      </c>
      <c r="F5258" t="s">
        <v>36</v>
      </c>
      <c r="G5258" s="2" t="s">
        <v>23</v>
      </c>
      <c r="H5258" s="1">
        <v>148.29400000000001</v>
      </c>
    </row>
    <row r="5259" spans="1:8" x14ac:dyDescent="0.3">
      <c r="A5259" s="2">
        <v>794</v>
      </c>
      <c r="B5259" t="s">
        <v>1050</v>
      </c>
      <c r="C5259" t="s">
        <v>0</v>
      </c>
      <c r="D5259" s="2">
        <v>1</v>
      </c>
      <c r="E5259" s="11" t="s">
        <v>56</v>
      </c>
      <c r="F5259" t="s">
        <v>36</v>
      </c>
      <c r="G5259" s="2" t="s">
        <v>4</v>
      </c>
      <c r="H5259" s="1">
        <v>227.79400000000001</v>
      </c>
    </row>
    <row r="5260" spans="1:8" x14ac:dyDescent="0.3">
      <c r="A5260" s="2">
        <v>794</v>
      </c>
      <c r="B5260" t="s">
        <v>1049</v>
      </c>
      <c r="C5260" t="s">
        <v>0</v>
      </c>
      <c r="D5260" s="2">
        <v>1</v>
      </c>
      <c r="E5260" s="11" t="s">
        <v>56</v>
      </c>
      <c r="F5260" t="s">
        <v>36</v>
      </c>
      <c r="G5260" s="2" t="s">
        <v>31</v>
      </c>
      <c r="H5260" s="1">
        <v>227.79400000000001</v>
      </c>
    </row>
    <row r="5261" spans="1:8" x14ac:dyDescent="0.3">
      <c r="A5261" s="2">
        <v>794</v>
      </c>
      <c r="B5261" t="s">
        <v>1048</v>
      </c>
      <c r="C5261" t="s">
        <v>0</v>
      </c>
      <c r="D5261" s="2">
        <v>1</v>
      </c>
      <c r="E5261" s="11" t="s">
        <v>56</v>
      </c>
      <c r="F5261" t="s">
        <v>36</v>
      </c>
      <c r="G5261" s="2" t="s">
        <v>23</v>
      </c>
      <c r="H5261" s="1">
        <v>227.79400000000001</v>
      </c>
    </row>
    <row r="5262" spans="1:8" x14ac:dyDescent="0.3">
      <c r="A5262" s="2">
        <v>794</v>
      </c>
      <c r="B5262" t="s">
        <v>1056</v>
      </c>
      <c r="C5262" t="s">
        <v>1</v>
      </c>
      <c r="D5262" s="2">
        <v>1</v>
      </c>
      <c r="E5262" s="11" t="s">
        <v>599</v>
      </c>
      <c r="F5262" t="s">
        <v>28</v>
      </c>
      <c r="G5262" s="2" t="s">
        <v>4</v>
      </c>
      <c r="H5262" s="1">
        <v>79.394000000000005</v>
      </c>
    </row>
    <row r="5263" spans="1:8" x14ac:dyDescent="0.3">
      <c r="A5263" s="2">
        <v>794</v>
      </c>
      <c r="B5263" t="s">
        <v>1055</v>
      </c>
      <c r="C5263" t="s">
        <v>1</v>
      </c>
      <c r="D5263" s="2">
        <v>1</v>
      </c>
      <c r="E5263" s="11" t="s">
        <v>599</v>
      </c>
      <c r="F5263" t="s">
        <v>28</v>
      </c>
      <c r="G5263" s="2" t="s">
        <v>23</v>
      </c>
      <c r="H5263" s="1">
        <v>79.394000000000005</v>
      </c>
    </row>
    <row r="5264" spans="1:8" x14ac:dyDescent="0.3">
      <c r="A5264" s="2">
        <v>795</v>
      </c>
      <c r="B5264" t="s">
        <v>1054</v>
      </c>
      <c r="C5264" t="s">
        <v>0</v>
      </c>
      <c r="D5264" s="2">
        <v>1</v>
      </c>
      <c r="E5264" s="11" t="s">
        <v>217</v>
      </c>
      <c r="F5264" t="s">
        <v>55</v>
      </c>
      <c r="G5264" s="2" t="s">
        <v>23</v>
      </c>
      <c r="H5264" s="1">
        <v>142.994</v>
      </c>
    </row>
    <row r="5265" spans="1:8" x14ac:dyDescent="0.3">
      <c r="A5265" s="2">
        <v>795</v>
      </c>
      <c r="B5265" t="s">
        <v>730</v>
      </c>
      <c r="C5265" t="s">
        <v>1</v>
      </c>
      <c r="D5265" s="2">
        <v>1</v>
      </c>
      <c r="E5265" s="11" t="s">
        <v>222</v>
      </c>
      <c r="F5265" t="s">
        <v>65</v>
      </c>
      <c r="G5265" s="2" t="s">
        <v>4</v>
      </c>
      <c r="H5265" s="1">
        <v>52.893999999999998</v>
      </c>
    </row>
    <row r="5266" spans="1:8" x14ac:dyDescent="0.3">
      <c r="A5266" s="2">
        <v>795</v>
      </c>
      <c r="B5266" t="s">
        <v>1053</v>
      </c>
      <c r="C5266" t="s">
        <v>1</v>
      </c>
      <c r="D5266" s="2">
        <v>1</v>
      </c>
      <c r="E5266" s="11" t="s">
        <v>222</v>
      </c>
      <c r="F5266" t="s">
        <v>65</v>
      </c>
      <c r="G5266" s="2" t="s">
        <v>31</v>
      </c>
      <c r="H5266" s="1">
        <v>52.893999999999998</v>
      </c>
    </row>
    <row r="5267" spans="1:8" x14ac:dyDescent="0.3">
      <c r="A5267" s="2">
        <v>795</v>
      </c>
      <c r="B5267" t="s">
        <v>1052</v>
      </c>
      <c r="C5267" t="s">
        <v>1</v>
      </c>
      <c r="D5267" s="2">
        <v>1</v>
      </c>
      <c r="E5267" s="11" t="s">
        <v>222</v>
      </c>
      <c r="F5267" t="s">
        <v>65</v>
      </c>
      <c r="G5267" s="2" t="s">
        <v>23</v>
      </c>
      <c r="H5267" s="1">
        <v>52.893999999999998</v>
      </c>
    </row>
    <row r="5268" spans="1:8" x14ac:dyDescent="0.3">
      <c r="A5268" s="2">
        <v>795</v>
      </c>
      <c r="B5268" t="s">
        <v>713</v>
      </c>
      <c r="C5268" t="s">
        <v>1</v>
      </c>
      <c r="D5268" s="2">
        <v>1</v>
      </c>
      <c r="E5268" s="11" t="s">
        <v>222</v>
      </c>
      <c r="F5268" t="s">
        <v>47</v>
      </c>
      <c r="G5268" s="2" t="s">
        <v>4</v>
      </c>
      <c r="H5268" s="1">
        <v>52.893999999999998</v>
      </c>
    </row>
    <row r="5269" spans="1:8" x14ac:dyDescent="0.3">
      <c r="A5269" s="2">
        <v>795</v>
      </c>
      <c r="B5269" t="s">
        <v>712</v>
      </c>
      <c r="C5269" t="s">
        <v>1</v>
      </c>
      <c r="D5269" s="2">
        <v>1</v>
      </c>
      <c r="E5269" s="11" t="s">
        <v>222</v>
      </c>
      <c r="F5269" t="s">
        <v>47</v>
      </c>
      <c r="G5269" s="2" t="s">
        <v>23</v>
      </c>
      <c r="H5269" s="1">
        <v>52.893999999999998</v>
      </c>
    </row>
    <row r="5270" spans="1:8" x14ac:dyDescent="0.3">
      <c r="A5270" s="2">
        <v>795</v>
      </c>
      <c r="B5270" t="s">
        <v>973</v>
      </c>
      <c r="C5270" t="s">
        <v>3219</v>
      </c>
      <c r="D5270" s="2">
        <v>1</v>
      </c>
      <c r="E5270" s="11" t="s">
        <v>119</v>
      </c>
      <c r="F5270" t="s">
        <v>47</v>
      </c>
      <c r="G5270" s="2" t="s">
        <v>4</v>
      </c>
      <c r="H5270" s="1">
        <v>148.29400000000001</v>
      </c>
    </row>
    <row r="5271" spans="1:8" x14ac:dyDescent="0.3">
      <c r="A5271" s="2">
        <v>795</v>
      </c>
      <c r="B5271" t="s">
        <v>1051</v>
      </c>
      <c r="C5271" t="s">
        <v>3219</v>
      </c>
      <c r="D5271" s="2">
        <v>1</v>
      </c>
      <c r="E5271" s="11" t="s">
        <v>119</v>
      </c>
      <c r="F5271" t="s">
        <v>47</v>
      </c>
      <c r="G5271" s="2" t="s">
        <v>31</v>
      </c>
      <c r="H5271" s="1">
        <v>148.29400000000001</v>
      </c>
    </row>
    <row r="5272" spans="1:8" x14ac:dyDescent="0.3">
      <c r="A5272" s="2">
        <v>795</v>
      </c>
      <c r="B5272" t="s">
        <v>1050</v>
      </c>
      <c r="C5272" t="s">
        <v>0</v>
      </c>
      <c r="D5272" s="2">
        <v>2</v>
      </c>
      <c r="E5272" s="11" t="s">
        <v>56</v>
      </c>
      <c r="F5272" t="s">
        <v>36</v>
      </c>
      <c r="G5272" s="2" t="s">
        <v>4</v>
      </c>
      <c r="H5272" s="1">
        <v>227.79400000000001</v>
      </c>
    </row>
    <row r="5273" spans="1:8" x14ac:dyDescent="0.3">
      <c r="A5273" s="2">
        <v>795</v>
      </c>
      <c r="B5273" t="s">
        <v>1049</v>
      </c>
      <c r="C5273" t="s">
        <v>0</v>
      </c>
      <c r="D5273" s="2">
        <v>2</v>
      </c>
      <c r="E5273" s="11" t="s">
        <v>56</v>
      </c>
      <c r="F5273" t="s">
        <v>36</v>
      </c>
      <c r="G5273" s="2" t="s">
        <v>31</v>
      </c>
      <c r="H5273" s="1">
        <v>227.79400000000001</v>
      </c>
    </row>
    <row r="5274" spans="1:8" x14ac:dyDescent="0.3">
      <c r="A5274" s="2">
        <v>795</v>
      </c>
      <c r="B5274" t="s">
        <v>1048</v>
      </c>
      <c r="C5274" t="s">
        <v>0</v>
      </c>
      <c r="D5274" s="2">
        <v>2</v>
      </c>
      <c r="E5274" s="11" t="s">
        <v>56</v>
      </c>
      <c r="F5274" t="s">
        <v>36</v>
      </c>
      <c r="G5274" s="2" t="s">
        <v>23</v>
      </c>
      <c r="H5274" s="1">
        <v>227.79400000000001</v>
      </c>
    </row>
    <row r="5275" spans="1:8" x14ac:dyDescent="0.3">
      <c r="A5275" s="2">
        <v>795</v>
      </c>
      <c r="B5275" t="s">
        <v>1047</v>
      </c>
      <c r="C5275" t="s">
        <v>1</v>
      </c>
      <c r="D5275" s="2">
        <v>2</v>
      </c>
      <c r="E5275" s="11" t="s">
        <v>222</v>
      </c>
      <c r="F5275" t="s">
        <v>24</v>
      </c>
      <c r="G5275" s="2" t="s">
        <v>31</v>
      </c>
      <c r="H5275" s="1">
        <v>52.893999999999998</v>
      </c>
    </row>
    <row r="5276" spans="1:8" x14ac:dyDescent="0.3">
      <c r="A5276" s="2">
        <v>796</v>
      </c>
      <c r="B5276" t="s">
        <v>1046</v>
      </c>
      <c r="C5276" t="s">
        <v>3219</v>
      </c>
      <c r="D5276" s="2">
        <v>1</v>
      </c>
      <c r="E5276" s="11" t="s">
        <v>109</v>
      </c>
      <c r="F5276" t="s">
        <v>55</v>
      </c>
      <c r="G5276" s="2" t="s">
        <v>23</v>
      </c>
      <c r="H5276" s="1">
        <v>158.89400000000001</v>
      </c>
    </row>
    <row r="5277" spans="1:8" x14ac:dyDescent="0.3">
      <c r="A5277" s="2">
        <v>796</v>
      </c>
      <c r="B5277" t="s">
        <v>1045</v>
      </c>
      <c r="C5277" t="s">
        <v>3224</v>
      </c>
      <c r="D5277" s="2">
        <v>1</v>
      </c>
      <c r="E5277" s="11" t="s">
        <v>538</v>
      </c>
      <c r="F5277" t="s">
        <v>114</v>
      </c>
      <c r="G5277" s="2" t="s">
        <v>23</v>
      </c>
      <c r="H5277" s="1">
        <v>89.994000000000014</v>
      </c>
    </row>
    <row r="5278" spans="1:8" x14ac:dyDescent="0.3">
      <c r="A5278" s="2">
        <v>796</v>
      </c>
      <c r="B5278" t="s">
        <v>1044</v>
      </c>
      <c r="C5278" t="s">
        <v>3219</v>
      </c>
      <c r="D5278" s="2">
        <v>1</v>
      </c>
      <c r="E5278" s="11" t="s">
        <v>536</v>
      </c>
      <c r="F5278" t="s">
        <v>114</v>
      </c>
      <c r="G5278" s="2" t="s">
        <v>23</v>
      </c>
      <c r="H5278" s="1">
        <v>158.89400000000001</v>
      </c>
    </row>
    <row r="5279" spans="1:8" x14ac:dyDescent="0.3">
      <c r="A5279" s="2">
        <v>796</v>
      </c>
      <c r="B5279" t="s">
        <v>260</v>
      </c>
      <c r="C5279" t="s">
        <v>0</v>
      </c>
      <c r="D5279" s="2">
        <v>1</v>
      </c>
      <c r="E5279" s="11" t="s">
        <v>217</v>
      </c>
      <c r="F5279" t="s">
        <v>62</v>
      </c>
      <c r="G5279" s="2" t="s">
        <v>4</v>
      </c>
      <c r="H5279" s="1">
        <v>142.994</v>
      </c>
    </row>
    <row r="5280" spans="1:8" x14ac:dyDescent="0.3">
      <c r="A5280" s="2">
        <v>796</v>
      </c>
      <c r="B5280" t="s">
        <v>256</v>
      </c>
      <c r="C5280" t="s">
        <v>0</v>
      </c>
      <c r="D5280" s="2">
        <v>1</v>
      </c>
      <c r="E5280" s="11" t="s">
        <v>255</v>
      </c>
      <c r="F5280" t="s">
        <v>254</v>
      </c>
      <c r="G5280" s="2" t="s">
        <v>31</v>
      </c>
      <c r="H5280" s="1">
        <v>169.49400000000003</v>
      </c>
    </row>
    <row r="5281" spans="1:8" x14ac:dyDescent="0.3">
      <c r="A5281" s="2">
        <v>796</v>
      </c>
      <c r="B5281" t="s">
        <v>836</v>
      </c>
      <c r="C5281" t="s">
        <v>0</v>
      </c>
      <c r="D5281" s="2">
        <v>1</v>
      </c>
      <c r="E5281" s="11" t="s">
        <v>665</v>
      </c>
      <c r="F5281" t="s">
        <v>28</v>
      </c>
      <c r="G5281" s="2" t="s">
        <v>31</v>
      </c>
      <c r="H5281" s="1">
        <v>164.19400000000002</v>
      </c>
    </row>
    <row r="5282" spans="1:8" x14ac:dyDescent="0.3">
      <c r="A5282" s="2">
        <v>796</v>
      </c>
      <c r="B5282" t="s">
        <v>386</v>
      </c>
      <c r="C5282" t="s">
        <v>1</v>
      </c>
      <c r="D5282" s="2">
        <v>1</v>
      </c>
      <c r="E5282" s="11" t="s">
        <v>385</v>
      </c>
      <c r="F5282" t="s">
        <v>78</v>
      </c>
      <c r="G5282" s="2" t="s">
        <v>23</v>
      </c>
      <c r="H5282" s="1">
        <v>79.394000000000005</v>
      </c>
    </row>
    <row r="5283" spans="1:8" x14ac:dyDescent="0.3">
      <c r="A5283" s="2">
        <v>796</v>
      </c>
      <c r="B5283" t="s">
        <v>1043</v>
      </c>
      <c r="C5283" t="s">
        <v>3219</v>
      </c>
      <c r="D5283" s="2">
        <v>1</v>
      </c>
      <c r="E5283" s="11" t="s">
        <v>102</v>
      </c>
      <c r="F5283" t="s">
        <v>47</v>
      </c>
      <c r="G5283" s="2" t="s">
        <v>4</v>
      </c>
      <c r="H5283" s="1">
        <v>121.79400000000001</v>
      </c>
    </row>
    <row r="5284" spans="1:8" x14ac:dyDescent="0.3">
      <c r="A5284" s="2">
        <v>796</v>
      </c>
      <c r="B5284" t="s">
        <v>301</v>
      </c>
      <c r="C5284" t="s">
        <v>3219</v>
      </c>
      <c r="D5284" s="2">
        <v>1</v>
      </c>
      <c r="E5284" s="11" t="s">
        <v>66</v>
      </c>
      <c r="F5284" t="s">
        <v>47</v>
      </c>
      <c r="G5284" s="2" t="s">
        <v>4</v>
      </c>
      <c r="H5284" s="1">
        <v>180.09400000000002</v>
      </c>
    </row>
    <row r="5285" spans="1:8" x14ac:dyDescent="0.3">
      <c r="A5285" s="2">
        <v>796</v>
      </c>
      <c r="B5285" t="s">
        <v>801</v>
      </c>
      <c r="C5285" t="s">
        <v>3225</v>
      </c>
      <c r="D5285" s="2">
        <v>1</v>
      </c>
      <c r="E5285" s="11" t="s">
        <v>491</v>
      </c>
      <c r="F5285" t="s">
        <v>47</v>
      </c>
      <c r="G5285" s="2" t="s">
        <v>23</v>
      </c>
      <c r="H5285" s="1">
        <v>164.19400000000002</v>
      </c>
    </row>
    <row r="5286" spans="1:8" x14ac:dyDescent="0.3">
      <c r="A5286" s="2">
        <v>796</v>
      </c>
      <c r="B5286" t="s">
        <v>702</v>
      </c>
      <c r="C5286" t="s">
        <v>3220</v>
      </c>
      <c r="D5286" s="2">
        <v>1</v>
      </c>
      <c r="E5286" s="11" t="s">
        <v>700</v>
      </c>
      <c r="F5286" t="s">
        <v>47</v>
      </c>
      <c r="G5286" s="2" t="s">
        <v>31</v>
      </c>
      <c r="H5286" s="1">
        <v>15.793999999999999</v>
      </c>
    </row>
    <row r="5287" spans="1:8" x14ac:dyDescent="0.3">
      <c r="A5287" s="2">
        <v>796</v>
      </c>
      <c r="B5287" t="s">
        <v>701</v>
      </c>
      <c r="C5287" t="s">
        <v>3220</v>
      </c>
      <c r="D5287" s="2">
        <v>1</v>
      </c>
      <c r="E5287" s="11" t="s">
        <v>700</v>
      </c>
      <c r="F5287" t="s">
        <v>47</v>
      </c>
      <c r="G5287" s="2" t="s">
        <v>23</v>
      </c>
      <c r="H5287" s="1">
        <v>15.793999999999999</v>
      </c>
    </row>
    <row r="5288" spans="1:8" x14ac:dyDescent="0.3">
      <c r="A5288" s="2">
        <v>796</v>
      </c>
      <c r="B5288" t="s">
        <v>699</v>
      </c>
      <c r="C5288" t="s">
        <v>3</v>
      </c>
      <c r="D5288" s="2">
        <v>1</v>
      </c>
      <c r="E5288" s="11" t="s">
        <v>450</v>
      </c>
      <c r="F5288" t="s">
        <v>47</v>
      </c>
      <c r="G5288" s="2" t="s">
        <v>31</v>
      </c>
      <c r="H5288" s="1">
        <v>68.794000000000011</v>
      </c>
    </row>
    <row r="5289" spans="1:8" x14ac:dyDescent="0.3">
      <c r="A5289" s="2">
        <v>796</v>
      </c>
      <c r="B5289" t="s">
        <v>698</v>
      </c>
      <c r="C5289" t="s">
        <v>3</v>
      </c>
      <c r="D5289" s="2">
        <v>1</v>
      </c>
      <c r="E5289" s="11" t="s">
        <v>450</v>
      </c>
      <c r="F5289" t="s">
        <v>47</v>
      </c>
      <c r="G5289" s="2" t="s">
        <v>23</v>
      </c>
      <c r="H5289" s="1">
        <v>68.794000000000011</v>
      </c>
    </row>
    <row r="5290" spans="1:8" x14ac:dyDescent="0.3">
      <c r="A5290" s="2">
        <v>796</v>
      </c>
      <c r="B5290" t="s">
        <v>973</v>
      </c>
      <c r="C5290" t="s">
        <v>3219</v>
      </c>
      <c r="D5290" s="2">
        <v>1</v>
      </c>
      <c r="E5290" s="11" t="s">
        <v>119</v>
      </c>
      <c r="F5290" t="s">
        <v>47</v>
      </c>
      <c r="G5290" s="2" t="s">
        <v>4</v>
      </c>
      <c r="H5290" s="1">
        <v>148.29400000000001</v>
      </c>
    </row>
    <row r="5291" spans="1:8" x14ac:dyDescent="0.3">
      <c r="A5291" s="2">
        <v>796</v>
      </c>
      <c r="B5291" t="s">
        <v>1042</v>
      </c>
      <c r="C5291" t="s">
        <v>3225</v>
      </c>
      <c r="D5291" s="2">
        <v>1</v>
      </c>
      <c r="E5291" s="11" t="s">
        <v>915</v>
      </c>
      <c r="F5291" t="s">
        <v>47</v>
      </c>
      <c r="G5291" s="2" t="s">
        <v>31</v>
      </c>
      <c r="H5291" s="1">
        <v>169.49400000000003</v>
      </c>
    </row>
    <row r="5292" spans="1:8" x14ac:dyDescent="0.3">
      <c r="A5292" s="2">
        <v>796</v>
      </c>
      <c r="B5292" t="s">
        <v>1041</v>
      </c>
      <c r="C5292" t="s">
        <v>3</v>
      </c>
      <c r="D5292" s="2">
        <v>1</v>
      </c>
      <c r="E5292" s="11" t="s">
        <v>197</v>
      </c>
      <c r="F5292" t="s">
        <v>39</v>
      </c>
      <c r="G5292" s="2" t="s">
        <v>23</v>
      </c>
      <c r="H5292" s="1">
        <v>68.794000000000011</v>
      </c>
    </row>
    <row r="5293" spans="1:8" x14ac:dyDescent="0.3">
      <c r="A5293" s="2">
        <v>796</v>
      </c>
      <c r="B5293" t="s">
        <v>1040</v>
      </c>
      <c r="C5293" t="s">
        <v>3224</v>
      </c>
      <c r="D5293" s="2">
        <v>1</v>
      </c>
      <c r="E5293" s="11" t="s">
        <v>195</v>
      </c>
      <c r="F5293" t="s">
        <v>39</v>
      </c>
      <c r="G5293" s="2" t="s">
        <v>23</v>
      </c>
      <c r="H5293" s="1">
        <v>84.694000000000017</v>
      </c>
    </row>
    <row r="5294" spans="1:8" x14ac:dyDescent="0.3">
      <c r="A5294" s="2">
        <v>796</v>
      </c>
      <c r="B5294" t="s">
        <v>69</v>
      </c>
      <c r="C5294" t="s">
        <v>0</v>
      </c>
      <c r="D5294" s="2">
        <v>1</v>
      </c>
      <c r="E5294" s="11" t="s">
        <v>68</v>
      </c>
      <c r="F5294" t="s">
        <v>39</v>
      </c>
      <c r="G5294" s="2" t="s">
        <v>23</v>
      </c>
      <c r="H5294" s="1">
        <v>180.09400000000002</v>
      </c>
    </row>
    <row r="5295" spans="1:8" x14ac:dyDescent="0.3">
      <c r="A5295" s="2">
        <v>796</v>
      </c>
      <c r="B5295" t="s">
        <v>532</v>
      </c>
      <c r="C5295" t="s">
        <v>0</v>
      </c>
      <c r="D5295" s="2">
        <v>1</v>
      </c>
      <c r="E5295" s="11" t="s">
        <v>531</v>
      </c>
      <c r="F5295" t="s">
        <v>39</v>
      </c>
      <c r="G5295" s="2" t="s">
        <v>23</v>
      </c>
      <c r="H5295" s="1">
        <v>217.19400000000002</v>
      </c>
    </row>
    <row r="5296" spans="1:8" x14ac:dyDescent="0.3">
      <c r="A5296" s="2">
        <v>796</v>
      </c>
      <c r="B5296" t="s">
        <v>1039</v>
      </c>
      <c r="C5296" t="s">
        <v>3225</v>
      </c>
      <c r="D5296" s="2">
        <v>1</v>
      </c>
      <c r="E5296" s="11" t="s">
        <v>1038</v>
      </c>
      <c r="F5296" t="s">
        <v>36</v>
      </c>
      <c r="G5296" s="2" t="s">
        <v>23</v>
      </c>
      <c r="H5296" s="1">
        <v>180.09400000000002</v>
      </c>
    </row>
    <row r="5297" spans="1:8" x14ac:dyDescent="0.3">
      <c r="A5297" s="2">
        <v>797</v>
      </c>
      <c r="B5297" t="s">
        <v>793</v>
      </c>
      <c r="C5297" t="s">
        <v>3225</v>
      </c>
      <c r="D5297" s="2">
        <v>1</v>
      </c>
      <c r="E5297" s="11" t="s">
        <v>239</v>
      </c>
      <c r="F5297" t="s">
        <v>114</v>
      </c>
      <c r="G5297" s="2" t="s">
        <v>4</v>
      </c>
      <c r="H5297" s="1">
        <v>148.29400000000001</v>
      </c>
    </row>
    <row r="5298" spans="1:8" x14ac:dyDescent="0.3">
      <c r="A5298" s="2">
        <v>797</v>
      </c>
      <c r="B5298" t="s">
        <v>618</v>
      </c>
      <c r="C5298" t="s">
        <v>3225</v>
      </c>
      <c r="D5298" s="2">
        <v>1</v>
      </c>
      <c r="E5298" s="11" t="s">
        <v>239</v>
      </c>
      <c r="F5298" t="s">
        <v>114</v>
      </c>
      <c r="G5298" s="2" t="s">
        <v>31</v>
      </c>
      <c r="H5298" s="1">
        <v>148.29400000000001</v>
      </c>
    </row>
    <row r="5299" spans="1:8" x14ac:dyDescent="0.3">
      <c r="A5299" s="2">
        <v>797</v>
      </c>
      <c r="B5299" t="s">
        <v>240</v>
      </c>
      <c r="C5299" t="s">
        <v>3225</v>
      </c>
      <c r="D5299" s="2">
        <v>1</v>
      </c>
      <c r="E5299" s="11" t="s">
        <v>239</v>
      </c>
      <c r="F5299" t="s">
        <v>114</v>
      </c>
      <c r="G5299" s="2" t="s">
        <v>23</v>
      </c>
      <c r="H5299" s="1">
        <v>148.29400000000001</v>
      </c>
    </row>
    <row r="5300" spans="1:8" x14ac:dyDescent="0.3">
      <c r="A5300" s="2">
        <v>797</v>
      </c>
      <c r="B5300" t="s">
        <v>1037</v>
      </c>
      <c r="C5300" t="s">
        <v>0</v>
      </c>
      <c r="D5300" s="2">
        <v>1</v>
      </c>
      <c r="E5300" s="11" t="s">
        <v>142</v>
      </c>
      <c r="F5300" t="s">
        <v>114</v>
      </c>
      <c r="G5300" s="2" t="s">
        <v>4</v>
      </c>
      <c r="H5300" s="1">
        <v>121.79400000000001</v>
      </c>
    </row>
    <row r="5301" spans="1:8" x14ac:dyDescent="0.3">
      <c r="A5301" s="2">
        <v>797</v>
      </c>
      <c r="B5301" t="s">
        <v>1036</v>
      </c>
      <c r="C5301" t="s">
        <v>0</v>
      </c>
      <c r="D5301" s="2">
        <v>1</v>
      </c>
      <c r="E5301" s="11" t="s">
        <v>142</v>
      </c>
      <c r="F5301" t="s">
        <v>114</v>
      </c>
      <c r="G5301" s="2" t="s">
        <v>23</v>
      </c>
      <c r="H5301" s="1">
        <v>121.79400000000001</v>
      </c>
    </row>
    <row r="5302" spans="1:8" x14ac:dyDescent="0.3">
      <c r="A5302" s="2">
        <v>797</v>
      </c>
      <c r="B5302" t="s">
        <v>270</v>
      </c>
      <c r="C5302" t="s">
        <v>3220</v>
      </c>
      <c r="D5302" s="2">
        <v>3</v>
      </c>
      <c r="E5302" s="11" t="s">
        <v>204</v>
      </c>
      <c r="F5302" t="s">
        <v>114</v>
      </c>
      <c r="G5302" s="2" t="s">
        <v>4</v>
      </c>
      <c r="H5302" s="1">
        <v>42.294000000000004</v>
      </c>
    </row>
    <row r="5303" spans="1:8" x14ac:dyDescent="0.3">
      <c r="A5303" s="2">
        <v>797</v>
      </c>
      <c r="B5303" t="s">
        <v>685</v>
      </c>
      <c r="C5303" t="s">
        <v>3220</v>
      </c>
      <c r="D5303" s="2">
        <v>3</v>
      </c>
      <c r="E5303" s="11" t="s">
        <v>204</v>
      </c>
      <c r="F5303" t="s">
        <v>114</v>
      </c>
      <c r="G5303" s="2" t="s">
        <v>203</v>
      </c>
      <c r="H5303" s="1">
        <v>42.294000000000004</v>
      </c>
    </row>
    <row r="5304" spans="1:8" x14ac:dyDescent="0.3">
      <c r="A5304" s="2">
        <v>797</v>
      </c>
      <c r="B5304" t="s">
        <v>910</v>
      </c>
      <c r="C5304" t="s">
        <v>0</v>
      </c>
      <c r="D5304" s="2">
        <v>1</v>
      </c>
      <c r="E5304" s="11" t="s">
        <v>142</v>
      </c>
      <c r="F5304" t="s">
        <v>28</v>
      </c>
      <c r="G5304" s="2" t="s">
        <v>4</v>
      </c>
      <c r="H5304" s="1">
        <v>121.79400000000001</v>
      </c>
    </row>
    <row r="5305" spans="1:8" x14ac:dyDescent="0.3">
      <c r="A5305" s="2">
        <v>798</v>
      </c>
      <c r="B5305" t="s">
        <v>827</v>
      </c>
      <c r="C5305" t="s">
        <v>3220</v>
      </c>
      <c r="D5305" s="2">
        <v>1</v>
      </c>
      <c r="E5305" s="11" t="s">
        <v>640</v>
      </c>
      <c r="F5305" t="s">
        <v>55</v>
      </c>
      <c r="G5305" s="2" t="s">
        <v>31</v>
      </c>
      <c r="H5305" s="1">
        <v>21.094000000000001</v>
      </c>
    </row>
    <row r="5306" spans="1:8" x14ac:dyDescent="0.3">
      <c r="A5306" s="2">
        <v>798</v>
      </c>
      <c r="B5306" t="s">
        <v>1035</v>
      </c>
      <c r="C5306" t="s">
        <v>3224</v>
      </c>
      <c r="D5306" s="2">
        <v>1</v>
      </c>
      <c r="E5306" s="11" t="s">
        <v>499</v>
      </c>
      <c r="F5306" t="s">
        <v>55</v>
      </c>
      <c r="G5306" s="2" t="s">
        <v>23</v>
      </c>
      <c r="H5306" s="1">
        <v>84.694000000000017</v>
      </c>
    </row>
    <row r="5307" spans="1:8" x14ac:dyDescent="0.3">
      <c r="A5307" s="2">
        <v>798</v>
      </c>
      <c r="B5307" t="s">
        <v>1034</v>
      </c>
      <c r="C5307" t="s">
        <v>1</v>
      </c>
      <c r="D5307" s="2">
        <v>1</v>
      </c>
      <c r="E5307" s="11" t="s">
        <v>53</v>
      </c>
      <c r="F5307" t="s">
        <v>126</v>
      </c>
      <c r="G5307" s="2" t="s">
        <v>203</v>
      </c>
      <c r="H5307" s="1">
        <v>36.994</v>
      </c>
    </row>
    <row r="5308" spans="1:8" x14ac:dyDescent="0.3">
      <c r="A5308" s="2">
        <v>798</v>
      </c>
      <c r="B5308" t="s">
        <v>901</v>
      </c>
      <c r="C5308" t="s">
        <v>3220</v>
      </c>
      <c r="D5308" s="2">
        <v>1</v>
      </c>
      <c r="E5308" s="11" t="s">
        <v>293</v>
      </c>
      <c r="F5308" t="s">
        <v>62</v>
      </c>
      <c r="G5308" s="2" t="s">
        <v>4</v>
      </c>
      <c r="H5308" s="1">
        <v>21.094000000000001</v>
      </c>
    </row>
    <row r="5309" spans="1:8" x14ac:dyDescent="0.3">
      <c r="A5309" s="2">
        <v>798</v>
      </c>
      <c r="B5309" t="s">
        <v>966</v>
      </c>
      <c r="C5309" t="s">
        <v>3220</v>
      </c>
      <c r="D5309" s="2">
        <v>1</v>
      </c>
      <c r="E5309" s="11" t="s">
        <v>293</v>
      </c>
      <c r="F5309" t="s">
        <v>62</v>
      </c>
      <c r="G5309" s="2" t="s">
        <v>31</v>
      </c>
      <c r="H5309" s="1">
        <v>21.094000000000001</v>
      </c>
    </row>
    <row r="5310" spans="1:8" x14ac:dyDescent="0.3">
      <c r="A5310" s="2">
        <v>798</v>
      </c>
      <c r="B5310" t="s">
        <v>1033</v>
      </c>
      <c r="C5310" t="s">
        <v>3220</v>
      </c>
      <c r="D5310" s="2">
        <v>1</v>
      </c>
      <c r="E5310" s="11" t="s">
        <v>1032</v>
      </c>
      <c r="F5310" t="s">
        <v>254</v>
      </c>
      <c r="G5310" s="2" t="s">
        <v>23</v>
      </c>
      <c r="H5310" s="1">
        <v>47.594000000000001</v>
      </c>
    </row>
    <row r="5311" spans="1:8" x14ac:dyDescent="0.3">
      <c r="A5311" s="2">
        <v>798</v>
      </c>
      <c r="B5311" t="s">
        <v>864</v>
      </c>
      <c r="C5311" t="s">
        <v>1</v>
      </c>
      <c r="D5311" s="2">
        <v>1</v>
      </c>
      <c r="E5311" s="11" t="s">
        <v>737</v>
      </c>
      <c r="F5311" t="s">
        <v>55</v>
      </c>
      <c r="G5311" s="2" t="s">
        <v>4</v>
      </c>
      <c r="H5311" s="1">
        <v>74.094000000000008</v>
      </c>
    </row>
    <row r="5312" spans="1:8" x14ac:dyDescent="0.3">
      <c r="A5312" s="2">
        <v>798</v>
      </c>
      <c r="B5312" t="s">
        <v>716</v>
      </c>
      <c r="C5312" t="s">
        <v>3220</v>
      </c>
      <c r="D5312" s="2">
        <v>1</v>
      </c>
      <c r="E5312" s="11" t="s">
        <v>174</v>
      </c>
      <c r="F5312" t="s">
        <v>114</v>
      </c>
      <c r="G5312" s="2" t="s">
        <v>23</v>
      </c>
      <c r="H5312" s="1">
        <v>74.094000000000008</v>
      </c>
    </row>
    <row r="5313" spans="1:8" x14ac:dyDescent="0.3">
      <c r="A5313" s="2">
        <v>798</v>
      </c>
      <c r="B5313" t="s">
        <v>908</v>
      </c>
      <c r="C5313" t="s">
        <v>3220</v>
      </c>
      <c r="D5313" s="2">
        <v>1</v>
      </c>
      <c r="E5313" s="11" t="s">
        <v>847</v>
      </c>
      <c r="F5313" t="s">
        <v>114</v>
      </c>
      <c r="G5313" s="2" t="s">
        <v>31</v>
      </c>
      <c r="H5313" s="1">
        <v>21.094000000000001</v>
      </c>
    </row>
    <row r="5314" spans="1:8" x14ac:dyDescent="0.3">
      <c r="A5314" s="2">
        <v>798</v>
      </c>
      <c r="B5314" t="s">
        <v>999</v>
      </c>
      <c r="C5314" t="s">
        <v>2</v>
      </c>
      <c r="D5314" s="2">
        <v>1</v>
      </c>
      <c r="E5314" s="11" t="s">
        <v>43</v>
      </c>
      <c r="F5314" t="s">
        <v>114</v>
      </c>
      <c r="G5314" s="2" t="s">
        <v>23</v>
      </c>
      <c r="H5314" s="1">
        <v>74.094000000000008</v>
      </c>
    </row>
    <row r="5315" spans="1:8" x14ac:dyDescent="0.3">
      <c r="A5315" s="2">
        <v>798</v>
      </c>
      <c r="B5315" t="s">
        <v>736</v>
      </c>
      <c r="C5315" t="s">
        <v>1</v>
      </c>
      <c r="D5315" s="2">
        <v>1</v>
      </c>
      <c r="E5315" s="11" t="s">
        <v>53</v>
      </c>
      <c r="F5315" t="s">
        <v>47</v>
      </c>
      <c r="G5315" s="2" t="s">
        <v>203</v>
      </c>
      <c r="H5315" s="1">
        <v>36.994</v>
      </c>
    </row>
    <row r="5316" spans="1:8" x14ac:dyDescent="0.3">
      <c r="A5316" s="2">
        <v>798</v>
      </c>
      <c r="B5316" t="s">
        <v>584</v>
      </c>
      <c r="C5316" t="s">
        <v>3219</v>
      </c>
      <c r="D5316" s="2">
        <v>1</v>
      </c>
      <c r="E5316" s="11" t="s">
        <v>66</v>
      </c>
      <c r="F5316" t="s">
        <v>47</v>
      </c>
      <c r="G5316" s="2" t="s">
        <v>31</v>
      </c>
      <c r="H5316" s="1">
        <v>180.09400000000002</v>
      </c>
    </row>
    <row r="5317" spans="1:8" x14ac:dyDescent="0.3">
      <c r="A5317" s="2">
        <v>798</v>
      </c>
      <c r="B5317" t="s">
        <v>553</v>
      </c>
      <c r="C5317" t="s">
        <v>3224</v>
      </c>
      <c r="D5317" s="2">
        <v>1</v>
      </c>
      <c r="E5317" s="11" t="s">
        <v>499</v>
      </c>
      <c r="F5317" t="s">
        <v>47</v>
      </c>
      <c r="G5317" s="2" t="s">
        <v>31</v>
      </c>
      <c r="H5317" s="1">
        <v>84.694000000000017</v>
      </c>
    </row>
    <row r="5318" spans="1:8" x14ac:dyDescent="0.3">
      <c r="A5318" s="2">
        <v>798</v>
      </c>
      <c r="B5318" t="s">
        <v>1031</v>
      </c>
      <c r="C5318" t="s">
        <v>3220</v>
      </c>
      <c r="D5318" s="2">
        <v>1</v>
      </c>
      <c r="E5318" s="11" t="s">
        <v>700</v>
      </c>
      <c r="F5318" t="s">
        <v>47</v>
      </c>
      <c r="G5318" s="2" t="s">
        <v>4</v>
      </c>
      <c r="H5318" s="1">
        <v>15.793999999999999</v>
      </c>
    </row>
    <row r="5319" spans="1:8" x14ac:dyDescent="0.3">
      <c r="A5319" s="2">
        <v>798</v>
      </c>
      <c r="B5319" t="s">
        <v>1030</v>
      </c>
      <c r="C5319" t="s">
        <v>2</v>
      </c>
      <c r="D5319" s="2">
        <v>1</v>
      </c>
      <c r="E5319" s="11" t="s">
        <v>43</v>
      </c>
      <c r="F5319" t="s">
        <v>47</v>
      </c>
      <c r="G5319" s="2" t="s">
        <v>4</v>
      </c>
      <c r="H5319" s="1">
        <v>74.094000000000008</v>
      </c>
    </row>
    <row r="5320" spans="1:8" x14ac:dyDescent="0.3">
      <c r="A5320" s="2">
        <v>798</v>
      </c>
      <c r="B5320" t="s">
        <v>1029</v>
      </c>
      <c r="C5320" t="s">
        <v>3220</v>
      </c>
      <c r="D5320" s="2">
        <v>1</v>
      </c>
      <c r="E5320" s="11" t="s">
        <v>640</v>
      </c>
      <c r="F5320" t="s">
        <v>39</v>
      </c>
      <c r="G5320" s="2" t="s">
        <v>4</v>
      </c>
      <c r="H5320" s="1">
        <v>21.094000000000001</v>
      </c>
    </row>
    <row r="5321" spans="1:8" x14ac:dyDescent="0.3">
      <c r="A5321" s="2">
        <v>798</v>
      </c>
      <c r="B5321" t="s">
        <v>500</v>
      </c>
      <c r="C5321" t="s">
        <v>3224</v>
      </c>
      <c r="D5321" s="2">
        <v>1</v>
      </c>
      <c r="E5321" s="11" t="s">
        <v>499</v>
      </c>
      <c r="F5321" t="s">
        <v>39</v>
      </c>
      <c r="G5321" s="2" t="s">
        <v>4</v>
      </c>
      <c r="H5321" s="1">
        <v>84.694000000000017</v>
      </c>
    </row>
    <row r="5322" spans="1:8" x14ac:dyDescent="0.3">
      <c r="A5322" s="2">
        <v>798</v>
      </c>
      <c r="B5322" t="s">
        <v>980</v>
      </c>
      <c r="C5322" t="s">
        <v>2</v>
      </c>
      <c r="D5322" s="2">
        <v>1</v>
      </c>
      <c r="E5322" s="11" t="s">
        <v>43</v>
      </c>
      <c r="F5322" t="s">
        <v>39</v>
      </c>
      <c r="G5322" s="2" t="s">
        <v>31</v>
      </c>
      <c r="H5322" s="1">
        <v>74.094000000000008</v>
      </c>
    </row>
    <row r="5323" spans="1:8" x14ac:dyDescent="0.3">
      <c r="A5323" s="2">
        <v>798</v>
      </c>
      <c r="B5323" t="s">
        <v>1028</v>
      </c>
      <c r="C5323" t="s">
        <v>1</v>
      </c>
      <c r="D5323" s="2">
        <v>1</v>
      </c>
      <c r="E5323" s="11" t="s">
        <v>53</v>
      </c>
      <c r="F5323" t="s">
        <v>36</v>
      </c>
      <c r="G5323" s="2" t="s">
        <v>203</v>
      </c>
      <c r="H5323" s="1">
        <v>36.994</v>
      </c>
    </row>
    <row r="5324" spans="1:8" x14ac:dyDescent="0.3">
      <c r="A5324" s="2">
        <v>798</v>
      </c>
      <c r="B5324" t="s">
        <v>175</v>
      </c>
      <c r="C5324" t="s">
        <v>3220</v>
      </c>
      <c r="D5324" s="2">
        <v>1</v>
      </c>
      <c r="E5324" s="11" t="s">
        <v>174</v>
      </c>
      <c r="F5324" t="s">
        <v>28</v>
      </c>
      <c r="G5324" s="2" t="s">
        <v>4</v>
      </c>
      <c r="H5324" s="1">
        <v>74.094000000000008</v>
      </c>
    </row>
    <row r="5325" spans="1:8" x14ac:dyDescent="0.3">
      <c r="A5325" s="2">
        <v>798</v>
      </c>
      <c r="B5325" t="s">
        <v>1027</v>
      </c>
      <c r="C5325" t="s">
        <v>3220</v>
      </c>
      <c r="D5325" s="2">
        <v>1</v>
      </c>
      <c r="E5325" s="11" t="s">
        <v>700</v>
      </c>
      <c r="F5325" t="s">
        <v>24</v>
      </c>
      <c r="G5325" s="2" t="s">
        <v>31</v>
      </c>
      <c r="H5325" s="1">
        <v>15.793999999999999</v>
      </c>
    </row>
    <row r="5326" spans="1:8" x14ac:dyDescent="0.3">
      <c r="A5326" s="2">
        <v>798</v>
      </c>
      <c r="B5326" t="s">
        <v>904</v>
      </c>
      <c r="C5326" t="s">
        <v>3220</v>
      </c>
      <c r="D5326" s="2">
        <v>1</v>
      </c>
      <c r="E5326" s="11" t="s">
        <v>847</v>
      </c>
      <c r="F5326" t="s">
        <v>24</v>
      </c>
      <c r="G5326" s="2" t="s">
        <v>4</v>
      </c>
      <c r="H5326" s="1">
        <v>21.094000000000001</v>
      </c>
    </row>
    <row r="5327" spans="1:8" x14ac:dyDescent="0.3">
      <c r="A5327" s="2">
        <v>799</v>
      </c>
      <c r="B5327" t="s">
        <v>694</v>
      </c>
      <c r="C5327" t="s">
        <v>3220</v>
      </c>
      <c r="D5327" s="2">
        <v>1</v>
      </c>
      <c r="E5327" s="11" t="s">
        <v>204</v>
      </c>
      <c r="F5327" t="s">
        <v>55</v>
      </c>
      <c r="G5327" s="2" t="s">
        <v>4</v>
      </c>
      <c r="H5327" s="1">
        <v>42.294000000000004</v>
      </c>
    </row>
    <row r="5328" spans="1:8" x14ac:dyDescent="0.3">
      <c r="A5328" s="2">
        <v>799</v>
      </c>
      <c r="B5328" t="s">
        <v>1026</v>
      </c>
      <c r="C5328" t="s">
        <v>3220</v>
      </c>
      <c r="D5328" s="2">
        <v>1</v>
      </c>
      <c r="E5328" s="11" t="s">
        <v>204</v>
      </c>
      <c r="F5328" t="s">
        <v>55</v>
      </c>
      <c r="G5328" s="2" t="s">
        <v>203</v>
      </c>
      <c r="H5328" s="1">
        <v>42.294000000000004</v>
      </c>
    </row>
    <row r="5329" spans="1:8" x14ac:dyDescent="0.3">
      <c r="A5329" s="2">
        <v>799</v>
      </c>
      <c r="B5329" t="s">
        <v>693</v>
      </c>
      <c r="C5329" t="s">
        <v>3220</v>
      </c>
      <c r="D5329" s="2">
        <v>1</v>
      </c>
      <c r="E5329" s="11" t="s">
        <v>204</v>
      </c>
      <c r="F5329" t="s">
        <v>55</v>
      </c>
      <c r="G5329" s="2" t="s">
        <v>23</v>
      </c>
      <c r="H5329" s="1">
        <v>42.294000000000004</v>
      </c>
    </row>
    <row r="5330" spans="1:8" x14ac:dyDescent="0.3">
      <c r="A5330" s="2">
        <v>799</v>
      </c>
      <c r="B5330" t="s">
        <v>1025</v>
      </c>
      <c r="C5330" t="s">
        <v>3220</v>
      </c>
      <c r="D5330" s="2">
        <v>1</v>
      </c>
      <c r="E5330" s="11" t="s">
        <v>204</v>
      </c>
      <c r="F5330" t="s">
        <v>81</v>
      </c>
      <c r="G5330" s="2" t="s">
        <v>4</v>
      </c>
      <c r="H5330" s="1">
        <v>42.294000000000004</v>
      </c>
    </row>
    <row r="5331" spans="1:8" x14ac:dyDescent="0.3">
      <c r="A5331" s="2">
        <v>799</v>
      </c>
      <c r="B5331" t="s">
        <v>1024</v>
      </c>
      <c r="C5331" t="s">
        <v>3220</v>
      </c>
      <c r="D5331" s="2">
        <v>1</v>
      </c>
      <c r="E5331" s="11" t="s">
        <v>204</v>
      </c>
      <c r="F5331" t="s">
        <v>81</v>
      </c>
      <c r="G5331" s="2" t="s">
        <v>31</v>
      </c>
      <c r="H5331" s="1">
        <v>42.294000000000004</v>
      </c>
    </row>
    <row r="5332" spans="1:8" x14ac:dyDescent="0.3">
      <c r="A5332" s="2">
        <v>799</v>
      </c>
      <c r="B5332" t="s">
        <v>1023</v>
      </c>
      <c r="C5332" t="s">
        <v>3220</v>
      </c>
      <c r="D5332" s="2">
        <v>1</v>
      </c>
      <c r="E5332" s="11" t="s">
        <v>204</v>
      </c>
      <c r="F5332" t="s">
        <v>81</v>
      </c>
      <c r="G5332" s="2" t="s">
        <v>23</v>
      </c>
      <c r="H5332" s="1">
        <v>42.294000000000004</v>
      </c>
    </row>
    <row r="5333" spans="1:8" x14ac:dyDescent="0.3">
      <c r="A5333" s="2">
        <v>799</v>
      </c>
      <c r="B5333" t="s">
        <v>1025</v>
      </c>
      <c r="C5333" t="s">
        <v>3220</v>
      </c>
      <c r="D5333" s="2">
        <v>1</v>
      </c>
      <c r="E5333" s="11" t="s">
        <v>204</v>
      </c>
      <c r="F5333" t="s">
        <v>81</v>
      </c>
      <c r="G5333" s="2" t="s">
        <v>4</v>
      </c>
      <c r="H5333" s="1">
        <v>42.294000000000004</v>
      </c>
    </row>
    <row r="5334" spans="1:8" x14ac:dyDescent="0.3">
      <c r="A5334" s="2">
        <v>799</v>
      </c>
      <c r="B5334" t="s">
        <v>1024</v>
      </c>
      <c r="C5334" t="s">
        <v>3220</v>
      </c>
      <c r="D5334" s="2">
        <v>1</v>
      </c>
      <c r="E5334" s="11" t="s">
        <v>204</v>
      </c>
      <c r="F5334" t="s">
        <v>81</v>
      </c>
      <c r="G5334" s="2" t="s">
        <v>31</v>
      </c>
      <c r="H5334" s="1">
        <v>42.294000000000004</v>
      </c>
    </row>
    <row r="5335" spans="1:8" x14ac:dyDescent="0.3">
      <c r="A5335" s="2">
        <v>799</v>
      </c>
      <c r="B5335" t="s">
        <v>1023</v>
      </c>
      <c r="C5335" t="s">
        <v>3220</v>
      </c>
      <c r="D5335" s="2">
        <v>1</v>
      </c>
      <c r="E5335" s="11" t="s">
        <v>204</v>
      </c>
      <c r="F5335" t="s">
        <v>81</v>
      </c>
      <c r="G5335" s="2" t="s">
        <v>23</v>
      </c>
      <c r="H5335" s="1">
        <v>42.294000000000004</v>
      </c>
    </row>
    <row r="5336" spans="1:8" x14ac:dyDescent="0.3">
      <c r="A5336" s="2">
        <v>799</v>
      </c>
      <c r="B5336" t="s">
        <v>901</v>
      </c>
      <c r="C5336" t="s">
        <v>3220</v>
      </c>
      <c r="D5336" s="2">
        <v>1</v>
      </c>
      <c r="E5336" s="11" t="s">
        <v>293</v>
      </c>
      <c r="F5336" t="s">
        <v>62</v>
      </c>
      <c r="G5336" s="2" t="s">
        <v>4</v>
      </c>
      <c r="H5336" s="1">
        <v>21.094000000000001</v>
      </c>
    </row>
    <row r="5337" spans="1:8" x14ac:dyDescent="0.3">
      <c r="A5337" s="2">
        <v>799</v>
      </c>
      <c r="B5337" t="s">
        <v>966</v>
      </c>
      <c r="C5337" t="s">
        <v>3220</v>
      </c>
      <c r="D5337" s="2">
        <v>1</v>
      </c>
      <c r="E5337" s="11" t="s">
        <v>293</v>
      </c>
      <c r="F5337" t="s">
        <v>62</v>
      </c>
      <c r="G5337" s="2" t="s">
        <v>31</v>
      </c>
      <c r="H5337" s="1">
        <v>21.094000000000001</v>
      </c>
    </row>
    <row r="5338" spans="1:8" x14ac:dyDescent="0.3">
      <c r="A5338" s="2">
        <v>799</v>
      </c>
      <c r="B5338" t="s">
        <v>294</v>
      </c>
      <c r="C5338" t="s">
        <v>3220</v>
      </c>
      <c r="D5338" s="2">
        <v>1</v>
      </c>
      <c r="E5338" s="11" t="s">
        <v>293</v>
      </c>
      <c r="F5338" t="s">
        <v>62</v>
      </c>
      <c r="G5338" s="2" t="s">
        <v>23</v>
      </c>
      <c r="H5338" s="1">
        <v>21.094000000000001</v>
      </c>
    </row>
    <row r="5339" spans="1:8" x14ac:dyDescent="0.3">
      <c r="A5339" s="2">
        <v>799</v>
      </c>
      <c r="B5339" t="s">
        <v>530</v>
      </c>
      <c r="C5339" t="s">
        <v>3224</v>
      </c>
      <c r="D5339" s="2">
        <v>1</v>
      </c>
      <c r="E5339" s="11" t="s">
        <v>529</v>
      </c>
      <c r="F5339" t="s">
        <v>81</v>
      </c>
      <c r="G5339" s="2" t="s">
        <v>4</v>
      </c>
      <c r="H5339" s="1">
        <v>84.694000000000017</v>
      </c>
    </row>
    <row r="5340" spans="1:8" x14ac:dyDescent="0.3">
      <c r="A5340" s="2">
        <v>799</v>
      </c>
      <c r="B5340" t="s">
        <v>838</v>
      </c>
      <c r="C5340" t="s">
        <v>3224</v>
      </c>
      <c r="D5340" s="2">
        <v>1</v>
      </c>
      <c r="E5340" s="11" t="s">
        <v>529</v>
      </c>
      <c r="F5340" t="s">
        <v>81</v>
      </c>
      <c r="G5340" s="2" t="s">
        <v>31</v>
      </c>
      <c r="H5340" s="1">
        <v>84.694000000000017</v>
      </c>
    </row>
    <row r="5341" spans="1:8" x14ac:dyDescent="0.3">
      <c r="A5341" s="2">
        <v>799</v>
      </c>
      <c r="B5341" t="s">
        <v>866</v>
      </c>
      <c r="C5341" t="s">
        <v>3224</v>
      </c>
      <c r="D5341" s="2">
        <v>1</v>
      </c>
      <c r="E5341" s="11" t="s">
        <v>529</v>
      </c>
      <c r="F5341" t="s">
        <v>81</v>
      </c>
      <c r="G5341" s="2" t="s">
        <v>23</v>
      </c>
      <c r="H5341" s="1">
        <v>84.694000000000017</v>
      </c>
    </row>
    <row r="5342" spans="1:8" x14ac:dyDescent="0.3">
      <c r="A5342" s="2">
        <v>799</v>
      </c>
      <c r="B5342" t="s">
        <v>242</v>
      </c>
      <c r="C5342" t="s">
        <v>3220</v>
      </c>
      <c r="D5342" s="2">
        <v>1</v>
      </c>
      <c r="E5342" s="11" t="s">
        <v>204</v>
      </c>
      <c r="F5342" t="s">
        <v>241</v>
      </c>
      <c r="G5342" s="2" t="s">
        <v>4</v>
      </c>
      <c r="H5342" s="1">
        <v>42.294000000000004</v>
      </c>
    </row>
    <row r="5343" spans="1:8" x14ac:dyDescent="0.3">
      <c r="A5343" s="2">
        <v>799</v>
      </c>
      <c r="B5343" t="s">
        <v>1022</v>
      </c>
      <c r="C5343" t="s">
        <v>3220</v>
      </c>
      <c r="D5343" s="2">
        <v>1</v>
      </c>
      <c r="E5343" s="11" t="s">
        <v>204</v>
      </c>
      <c r="F5343" t="s">
        <v>241</v>
      </c>
      <c r="G5343" s="2" t="s">
        <v>203</v>
      </c>
      <c r="H5343" s="1">
        <v>42.294000000000004</v>
      </c>
    </row>
    <row r="5344" spans="1:8" x14ac:dyDescent="0.3">
      <c r="A5344" s="2">
        <v>799</v>
      </c>
      <c r="B5344" t="s">
        <v>1021</v>
      </c>
      <c r="C5344" t="s">
        <v>3220</v>
      </c>
      <c r="D5344" s="2">
        <v>1</v>
      </c>
      <c r="E5344" s="11" t="s">
        <v>204</v>
      </c>
      <c r="F5344" t="s">
        <v>959</v>
      </c>
      <c r="G5344" s="2" t="s">
        <v>23</v>
      </c>
      <c r="H5344" s="1">
        <v>42.294000000000004</v>
      </c>
    </row>
    <row r="5345" spans="1:8" x14ac:dyDescent="0.3">
      <c r="A5345" s="2">
        <v>799</v>
      </c>
      <c r="B5345" t="s">
        <v>164</v>
      </c>
      <c r="C5345" t="s">
        <v>3220</v>
      </c>
      <c r="D5345" s="2">
        <v>1</v>
      </c>
      <c r="E5345" s="11" t="s">
        <v>140</v>
      </c>
      <c r="F5345" t="s">
        <v>114</v>
      </c>
      <c r="G5345" s="2" t="s">
        <v>4</v>
      </c>
      <c r="H5345" s="1">
        <v>42.294000000000004</v>
      </c>
    </row>
    <row r="5346" spans="1:8" x14ac:dyDescent="0.3">
      <c r="A5346" s="2">
        <v>799</v>
      </c>
      <c r="B5346" t="s">
        <v>824</v>
      </c>
      <c r="C5346" t="s">
        <v>3220</v>
      </c>
      <c r="D5346" s="2">
        <v>1</v>
      </c>
      <c r="E5346" s="11" t="s">
        <v>140</v>
      </c>
      <c r="F5346" t="s">
        <v>114</v>
      </c>
      <c r="G5346" s="2" t="s">
        <v>31</v>
      </c>
      <c r="H5346" s="1">
        <v>42.294000000000004</v>
      </c>
    </row>
    <row r="5347" spans="1:8" x14ac:dyDescent="0.3">
      <c r="A5347" s="2">
        <v>799</v>
      </c>
      <c r="B5347" t="s">
        <v>387</v>
      </c>
      <c r="C5347" t="s">
        <v>3220</v>
      </c>
      <c r="D5347" s="2">
        <v>1</v>
      </c>
      <c r="E5347" s="11" t="s">
        <v>140</v>
      </c>
      <c r="F5347" t="s">
        <v>114</v>
      </c>
      <c r="G5347" s="2" t="s">
        <v>23</v>
      </c>
      <c r="H5347" s="1">
        <v>42.294000000000004</v>
      </c>
    </row>
    <row r="5348" spans="1:8" x14ac:dyDescent="0.3">
      <c r="A5348" s="2">
        <v>799</v>
      </c>
      <c r="B5348" t="s">
        <v>684</v>
      </c>
      <c r="C5348" t="s">
        <v>3220</v>
      </c>
      <c r="D5348" s="2">
        <v>1</v>
      </c>
      <c r="E5348" s="11" t="s">
        <v>204</v>
      </c>
      <c r="F5348" t="s">
        <v>683</v>
      </c>
      <c r="G5348" s="2" t="s">
        <v>4</v>
      </c>
      <c r="H5348" s="1">
        <v>42.294000000000004</v>
      </c>
    </row>
    <row r="5349" spans="1:8" x14ac:dyDescent="0.3">
      <c r="A5349" s="2">
        <v>799</v>
      </c>
      <c r="B5349" t="s">
        <v>1020</v>
      </c>
      <c r="C5349" t="s">
        <v>3220</v>
      </c>
      <c r="D5349" s="2">
        <v>1</v>
      </c>
      <c r="E5349" s="11" t="s">
        <v>204</v>
      </c>
      <c r="F5349" t="s">
        <v>683</v>
      </c>
      <c r="G5349" s="2" t="s">
        <v>203</v>
      </c>
      <c r="H5349" s="1">
        <v>42.294000000000004</v>
      </c>
    </row>
    <row r="5350" spans="1:8" x14ac:dyDescent="0.3">
      <c r="A5350" s="2">
        <v>799</v>
      </c>
      <c r="B5350" t="s">
        <v>1019</v>
      </c>
      <c r="C5350" t="s">
        <v>3220</v>
      </c>
      <c r="D5350" s="2">
        <v>1</v>
      </c>
      <c r="E5350" s="11" t="s">
        <v>204</v>
      </c>
      <c r="F5350" t="s">
        <v>683</v>
      </c>
      <c r="G5350" s="2" t="s">
        <v>31</v>
      </c>
      <c r="H5350" s="1">
        <v>42.294000000000004</v>
      </c>
    </row>
    <row r="5351" spans="1:8" x14ac:dyDescent="0.3">
      <c r="A5351" s="2">
        <v>799</v>
      </c>
      <c r="B5351" t="s">
        <v>1018</v>
      </c>
      <c r="C5351" t="s">
        <v>3220</v>
      </c>
      <c r="D5351" s="2">
        <v>1</v>
      </c>
      <c r="E5351" s="11" t="s">
        <v>204</v>
      </c>
      <c r="F5351" t="s">
        <v>683</v>
      </c>
      <c r="G5351" s="2" t="s">
        <v>23</v>
      </c>
      <c r="H5351" s="1">
        <v>42.294000000000004</v>
      </c>
    </row>
    <row r="5352" spans="1:8" x14ac:dyDescent="0.3">
      <c r="A5352" s="2">
        <v>799</v>
      </c>
      <c r="B5352" t="s">
        <v>1017</v>
      </c>
      <c r="C5352" t="s">
        <v>3220</v>
      </c>
      <c r="D5352" s="2">
        <v>1</v>
      </c>
      <c r="E5352" s="11" t="s">
        <v>204</v>
      </c>
      <c r="F5352" t="s">
        <v>959</v>
      </c>
      <c r="G5352" s="2" t="s">
        <v>4</v>
      </c>
      <c r="H5352" s="1">
        <v>42.294000000000004</v>
      </c>
    </row>
    <row r="5353" spans="1:8" x14ac:dyDescent="0.3">
      <c r="A5353" s="2">
        <v>799</v>
      </c>
      <c r="B5353" t="s">
        <v>1016</v>
      </c>
      <c r="C5353" t="s">
        <v>3220</v>
      </c>
      <c r="D5353" s="2">
        <v>1</v>
      </c>
      <c r="E5353" s="11" t="s">
        <v>204</v>
      </c>
      <c r="F5353" t="s">
        <v>959</v>
      </c>
      <c r="G5353" s="2" t="s">
        <v>203</v>
      </c>
      <c r="H5353" s="1">
        <v>42.294000000000004</v>
      </c>
    </row>
    <row r="5354" spans="1:8" x14ac:dyDescent="0.3">
      <c r="A5354" s="2">
        <v>799</v>
      </c>
      <c r="B5354" t="s">
        <v>161</v>
      </c>
      <c r="C5354" t="s">
        <v>0</v>
      </c>
      <c r="D5354" s="2">
        <v>2</v>
      </c>
      <c r="E5354" s="11" t="s">
        <v>160</v>
      </c>
      <c r="F5354" t="s">
        <v>47</v>
      </c>
      <c r="G5354" s="2" t="s">
        <v>31</v>
      </c>
      <c r="H5354" s="1">
        <v>148.29400000000001</v>
      </c>
    </row>
    <row r="5355" spans="1:8" x14ac:dyDescent="0.3">
      <c r="A5355" s="2">
        <v>799</v>
      </c>
      <c r="B5355" t="s">
        <v>219</v>
      </c>
      <c r="C5355" t="s">
        <v>0</v>
      </c>
      <c r="D5355" s="2">
        <v>2</v>
      </c>
      <c r="E5355" s="11" t="s">
        <v>160</v>
      </c>
      <c r="F5355" t="s">
        <v>47</v>
      </c>
      <c r="G5355" s="2" t="s">
        <v>23</v>
      </c>
      <c r="H5355" s="1">
        <v>148.29400000000001</v>
      </c>
    </row>
    <row r="5356" spans="1:8" x14ac:dyDescent="0.3">
      <c r="A5356" s="2">
        <v>799</v>
      </c>
      <c r="B5356" t="s">
        <v>641</v>
      </c>
      <c r="C5356" t="s">
        <v>3220</v>
      </c>
      <c r="D5356" s="2">
        <v>1</v>
      </c>
      <c r="E5356" s="11" t="s">
        <v>640</v>
      </c>
      <c r="F5356" t="s">
        <v>39</v>
      </c>
      <c r="G5356" s="2" t="s">
        <v>31</v>
      </c>
      <c r="H5356" s="1">
        <v>21.094000000000001</v>
      </c>
    </row>
    <row r="5357" spans="1:8" x14ac:dyDescent="0.3">
      <c r="A5357" s="2">
        <v>799</v>
      </c>
      <c r="B5357" t="s">
        <v>1015</v>
      </c>
      <c r="C5357" t="s">
        <v>3220</v>
      </c>
      <c r="D5357" s="2">
        <v>1</v>
      </c>
      <c r="E5357" s="11" t="s">
        <v>640</v>
      </c>
      <c r="F5357" t="s">
        <v>39</v>
      </c>
      <c r="G5357" s="2" t="s">
        <v>23</v>
      </c>
      <c r="H5357" s="1">
        <v>21.094000000000001</v>
      </c>
    </row>
    <row r="5358" spans="1:8" x14ac:dyDescent="0.3">
      <c r="A5358" s="2">
        <v>799</v>
      </c>
      <c r="B5358" t="s">
        <v>1014</v>
      </c>
      <c r="C5358" t="s">
        <v>1</v>
      </c>
      <c r="D5358" s="2">
        <v>1</v>
      </c>
      <c r="E5358" s="11" t="s">
        <v>1008</v>
      </c>
      <c r="F5358" t="s">
        <v>39</v>
      </c>
      <c r="G5358" s="2" t="s">
        <v>31</v>
      </c>
      <c r="H5358" s="1">
        <v>95.294000000000011</v>
      </c>
    </row>
    <row r="5359" spans="1:8" x14ac:dyDescent="0.3">
      <c r="A5359" s="2">
        <v>799</v>
      </c>
      <c r="B5359" t="s">
        <v>1013</v>
      </c>
      <c r="C5359" t="s">
        <v>1</v>
      </c>
      <c r="D5359" s="2">
        <v>1</v>
      </c>
      <c r="E5359" s="11" t="s">
        <v>1008</v>
      </c>
      <c r="F5359" t="s">
        <v>39</v>
      </c>
      <c r="G5359" s="2" t="s">
        <v>23</v>
      </c>
      <c r="H5359" s="1">
        <v>95.294000000000011</v>
      </c>
    </row>
    <row r="5360" spans="1:8" x14ac:dyDescent="0.3">
      <c r="A5360" s="2">
        <v>799</v>
      </c>
      <c r="B5360" t="s">
        <v>1012</v>
      </c>
      <c r="C5360" t="s">
        <v>3220</v>
      </c>
      <c r="D5360" s="2">
        <v>1</v>
      </c>
      <c r="E5360" s="11" t="s">
        <v>204</v>
      </c>
      <c r="F5360" t="s">
        <v>39</v>
      </c>
      <c r="G5360" s="2" t="s">
        <v>203</v>
      </c>
      <c r="H5360" s="1">
        <v>42.294000000000004</v>
      </c>
    </row>
    <row r="5361" spans="1:8" x14ac:dyDescent="0.3">
      <c r="A5361" s="2">
        <v>799</v>
      </c>
      <c r="B5361" t="s">
        <v>708</v>
      </c>
      <c r="C5361" t="s">
        <v>3220</v>
      </c>
      <c r="D5361" s="2">
        <v>1</v>
      </c>
      <c r="E5361" s="11" t="s">
        <v>204</v>
      </c>
      <c r="F5361" t="s">
        <v>39</v>
      </c>
      <c r="G5361" s="2" t="s">
        <v>23</v>
      </c>
      <c r="H5361" s="1">
        <v>42.294000000000004</v>
      </c>
    </row>
    <row r="5362" spans="1:8" x14ac:dyDescent="0.3">
      <c r="A5362" s="2">
        <v>799</v>
      </c>
      <c r="B5362" t="s">
        <v>1012</v>
      </c>
      <c r="C5362" t="s">
        <v>3220</v>
      </c>
      <c r="D5362" s="2">
        <v>1</v>
      </c>
      <c r="E5362" s="11" t="s">
        <v>204</v>
      </c>
      <c r="F5362" t="s">
        <v>39</v>
      </c>
      <c r="G5362" s="2" t="s">
        <v>203</v>
      </c>
      <c r="H5362" s="1">
        <v>42.294000000000004</v>
      </c>
    </row>
    <row r="5363" spans="1:8" x14ac:dyDescent="0.3">
      <c r="A5363" s="2">
        <v>799</v>
      </c>
      <c r="B5363" t="s">
        <v>277</v>
      </c>
      <c r="C5363" t="s">
        <v>3220</v>
      </c>
      <c r="D5363" s="2">
        <v>1</v>
      </c>
      <c r="E5363" s="11" t="s">
        <v>204</v>
      </c>
      <c r="F5363" t="s">
        <v>276</v>
      </c>
      <c r="G5363" s="2" t="s">
        <v>4</v>
      </c>
      <c r="H5363" s="1">
        <v>42.294000000000004</v>
      </c>
    </row>
    <row r="5364" spans="1:8" x14ac:dyDescent="0.3">
      <c r="A5364" s="2">
        <v>799</v>
      </c>
      <c r="B5364" t="s">
        <v>1011</v>
      </c>
      <c r="C5364" t="s">
        <v>3220</v>
      </c>
      <c r="D5364" s="2">
        <v>1</v>
      </c>
      <c r="E5364" s="11" t="s">
        <v>204</v>
      </c>
      <c r="F5364" t="s">
        <v>276</v>
      </c>
      <c r="G5364" s="2" t="s">
        <v>203</v>
      </c>
      <c r="H5364" s="1">
        <v>42.294000000000004</v>
      </c>
    </row>
    <row r="5365" spans="1:8" x14ac:dyDescent="0.3">
      <c r="A5365" s="2">
        <v>799</v>
      </c>
      <c r="B5365" t="s">
        <v>714</v>
      </c>
      <c r="C5365" t="s">
        <v>3220</v>
      </c>
      <c r="D5365" s="2">
        <v>1</v>
      </c>
      <c r="E5365" s="11" t="s">
        <v>204</v>
      </c>
      <c r="F5365" t="s">
        <v>276</v>
      </c>
      <c r="G5365" s="2" t="s">
        <v>31</v>
      </c>
      <c r="H5365" s="1">
        <v>42.294000000000004</v>
      </c>
    </row>
    <row r="5366" spans="1:8" x14ac:dyDescent="0.3">
      <c r="A5366" s="2">
        <v>799</v>
      </c>
      <c r="B5366" t="s">
        <v>283</v>
      </c>
      <c r="C5366" t="s">
        <v>3220</v>
      </c>
      <c r="D5366" s="2">
        <v>1</v>
      </c>
      <c r="E5366" s="11" t="s">
        <v>204</v>
      </c>
      <c r="F5366" t="s">
        <v>276</v>
      </c>
      <c r="G5366" s="2" t="s">
        <v>23</v>
      </c>
      <c r="H5366" s="1">
        <v>42.294000000000004</v>
      </c>
    </row>
    <row r="5367" spans="1:8" x14ac:dyDescent="0.3">
      <c r="A5367" s="2">
        <v>799</v>
      </c>
      <c r="B5367" t="s">
        <v>1010</v>
      </c>
      <c r="C5367" t="s">
        <v>1</v>
      </c>
      <c r="D5367" s="2">
        <v>1</v>
      </c>
      <c r="E5367" s="11" t="s">
        <v>1008</v>
      </c>
      <c r="F5367" t="s">
        <v>36</v>
      </c>
      <c r="G5367" s="2" t="s">
        <v>31</v>
      </c>
      <c r="H5367" s="1">
        <v>95.294000000000011</v>
      </c>
    </row>
    <row r="5368" spans="1:8" x14ac:dyDescent="0.3">
      <c r="A5368" s="2">
        <v>799</v>
      </c>
      <c r="B5368" t="s">
        <v>1009</v>
      </c>
      <c r="C5368" t="s">
        <v>1</v>
      </c>
      <c r="D5368" s="2">
        <v>1</v>
      </c>
      <c r="E5368" s="11" t="s">
        <v>1008</v>
      </c>
      <c r="F5368" t="s">
        <v>36</v>
      </c>
      <c r="G5368" s="2" t="s">
        <v>23</v>
      </c>
      <c r="H5368" s="1">
        <v>95.294000000000011</v>
      </c>
    </row>
    <row r="5369" spans="1:8" x14ac:dyDescent="0.3">
      <c r="A5369" s="2">
        <v>799</v>
      </c>
      <c r="B5369" t="s">
        <v>1007</v>
      </c>
      <c r="C5369" t="s">
        <v>1</v>
      </c>
      <c r="D5369" s="2">
        <v>1</v>
      </c>
      <c r="E5369" s="11" t="s">
        <v>1004</v>
      </c>
      <c r="F5369" t="s">
        <v>28</v>
      </c>
      <c r="G5369" s="2" t="s">
        <v>4</v>
      </c>
      <c r="H5369" s="1">
        <v>100.59400000000001</v>
      </c>
    </row>
    <row r="5370" spans="1:8" x14ac:dyDescent="0.3">
      <c r="A5370" s="2">
        <v>799</v>
      </c>
      <c r="B5370" t="s">
        <v>1006</v>
      </c>
      <c r="C5370" t="s">
        <v>1</v>
      </c>
      <c r="D5370" s="2">
        <v>1</v>
      </c>
      <c r="E5370" s="11" t="s">
        <v>1004</v>
      </c>
      <c r="F5370" t="s">
        <v>28</v>
      </c>
      <c r="G5370" s="2" t="s">
        <v>31</v>
      </c>
      <c r="H5370" s="1">
        <v>100.59400000000001</v>
      </c>
    </row>
    <row r="5371" spans="1:8" x14ac:dyDescent="0.3">
      <c r="A5371" s="2">
        <v>799</v>
      </c>
      <c r="B5371" t="s">
        <v>1005</v>
      </c>
      <c r="C5371" t="s">
        <v>1</v>
      </c>
      <c r="D5371" s="2">
        <v>1</v>
      </c>
      <c r="E5371" s="11" t="s">
        <v>1004</v>
      </c>
      <c r="F5371" t="s">
        <v>28</v>
      </c>
      <c r="G5371" s="2" t="s">
        <v>23</v>
      </c>
      <c r="H5371" s="1">
        <v>100.59400000000001</v>
      </c>
    </row>
    <row r="5372" spans="1:8" x14ac:dyDescent="0.3">
      <c r="A5372" s="2">
        <v>799</v>
      </c>
      <c r="B5372" t="s">
        <v>688</v>
      </c>
      <c r="C5372" t="s">
        <v>3220</v>
      </c>
      <c r="D5372" s="2">
        <v>1</v>
      </c>
      <c r="E5372" s="11" t="s">
        <v>204</v>
      </c>
      <c r="F5372" t="s">
        <v>28</v>
      </c>
      <c r="G5372" s="2" t="s">
        <v>4</v>
      </c>
      <c r="H5372" s="1">
        <v>42.294000000000004</v>
      </c>
    </row>
    <row r="5373" spans="1:8" x14ac:dyDescent="0.3">
      <c r="A5373" s="2">
        <v>799</v>
      </c>
      <c r="B5373" t="s">
        <v>1003</v>
      </c>
      <c r="C5373" t="s">
        <v>3220</v>
      </c>
      <c r="D5373" s="2">
        <v>1</v>
      </c>
      <c r="E5373" s="11" t="s">
        <v>204</v>
      </c>
      <c r="F5373" t="s">
        <v>28</v>
      </c>
      <c r="G5373" s="2" t="s">
        <v>203</v>
      </c>
      <c r="H5373" s="1">
        <v>42.294000000000004</v>
      </c>
    </row>
    <row r="5374" spans="1:8" x14ac:dyDescent="0.3">
      <c r="A5374" s="2">
        <v>799</v>
      </c>
      <c r="B5374" t="s">
        <v>717</v>
      </c>
      <c r="C5374" t="s">
        <v>3220</v>
      </c>
      <c r="D5374" s="2">
        <v>1</v>
      </c>
      <c r="E5374" s="11" t="s">
        <v>204</v>
      </c>
      <c r="F5374" t="s">
        <v>28</v>
      </c>
      <c r="G5374" s="2" t="s">
        <v>31</v>
      </c>
      <c r="H5374" s="1">
        <v>42.294000000000004</v>
      </c>
    </row>
    <row r="5375" spans="1:8" x14ac:dyDescent="0.3">
      <c r="A5375" s="2">
        <v>799</v>
      </c>
      <c r="B5375" t="s">
        <v>786</v>
      </c>
      <c r="C5375" t="s">
        <v>3</v>
      </c>
      <c r="D5375" s="2">
        <v>1</v>
      </c>
      <c r="E5375" s="11" t="s">
        <v>450</v>
      </c>
      <c r="F5375" t="s">
        <v>24</v>
      </c>
      <c r="G5375" s="2" t="s">
        <v>4</v>
      </c>
      <c r="H5375" s="1">
        <v>68.794000000000011</v>
      </c>
    </row>
    <row r="5376" spans="1:8" x14ac:dyDescent="0.3">
      <c r="A5376" s="2">
        <v>799</v>
      </c>
      <c r="B5376" t="s">
        <v>1002</v>
      </c>
      <c r="C5376" t="s">
        <v>3</v>
      </c>
      <c r="D5376" s="2">
        <v>1</v>
      </c>
      <c r="E5376" s="11" t="s">
        <v>450</v>
      </c>
      <c r="F5376" t="s">
        <v>24</v>
      </c>
      <c r="G5376" s="2" t="s">
        <v>31</v>
      </c>
      <c r="H5376" s="1">
        <v>68.794000000000011</v>
      </c>
    </row>
    <row r="5377" spans="1:8" x14ac:dyDescent="0.3">
      <c r="A5377" s="2">
        <v>800</v>
      </c>
      <c r="B5377" t="s">
        <v>1001</v>
      </c>
      <c r="C5377" t="s">
        <v>1</v>
      </c>
      <c r="D5377" s="2">
        <v>1</v>
      </c>
      <c r="E5377" s="11" t="s">
        <v>53</v>
      </c>
      <c r="F5377" t="s">
        <v>55</v>
      </c>
      <c r="G5377" s="2" t="s">
        <v>31</v>
      </c>
      <c r="H5377" s="1">
        <v>36.994</v>
      </c>
    </row>
    <row r="5378" spans="1:8" x14ac:dyDescent="0.3">
      <c r="A5378" s="2">
        <v>800</v>
      </c>
      <c r="B5378" t="s">
        <v>693</v>
      </c>
      <c r="C5378" t="s">
        <v>3220</v>
      </c>
      <c r="D5378" s="2">
        <v>1</v>
      </c>
      <c r="E5378" s="11" t="s">
        <v>204</v>
      </c>
      <c r="F5378" t="s">
        <v>55</v>
      </c>
      <c r="G5378" s="2" t="s">
        <v>23</v>
      </c>
      <c r="H5378" s="1">
        <v>42.294000000000004</v>
      </c>
    </row>
    <row r="5379" spans="1:8" x14ac:dyDescent="0.3">
      <c r="A5379" s="2">
        <v>800</v>
      </c>
      <c r="B5379" t="s">
        <v>249</v>
      </c>
      <c r="C5379" t="s">
        <v>3</v>
      </c>
      <c r="D5379" s="2">
        <v>1</v>
      </c>
      <c r="E5379" s="11" t="s">
        <v>197</v>
      </c>
      <c r="F5379" t="s">
        <v>55</v>
      </c>
      <c r="G5379" s="2" t="s">
        <v>31</v>
      </c>
      <c r="H5379" s="1">
        <v>68.794000000000011</v>
      </c>
    </row>
    <row r="5380" spans="1:8" x14ac:dyDescent="0.3">
      <c r="A5380" s="2">
        <v>800</v>
      </c>
      <c r="B5380" t="s">
        <v>1000</v>
      </c>
      <c r="C5380" t="s">
        <v>3</v>
      </c>
      <c r="D5380" s="2">
        <v>1</v>
      </c>
      <c r="E5380" s="11" t="s">
        <v>434</v>
      </c>
      <c r="F5380" t="s">
        <v>114</v>
      </c>
      <c r="G5380" s="2" t="s">
        <v>23</v>
      </c>
      <c r="H5380" s="1">
        <v>105.89400000000001</v>
      </c>
    </row>
    <row r="5381" spans="1:8" x14ac:dyDescent="0.3">
      <c r="A5381" s="2">
        <v>800</v>
      </c>
      <c r="B5381" t="s">
        <v>999</v>
      </c>
      <c r="C5381" t="s">
        <v>2</v>
      </c>
      <c r="D5381" s="2">
        <v>1</v>
      </c>
      <c r="E5381" s="11" t="s">
        <v>43</v>
      </c>
      <c r="F5381" t="s">
        <v>114</v>
      </c>
      <c r="G5381" s="2" t="s">
        <v>23</v>
      </c>
      <c r="H5381" s="1">
        <v>74.094000000000008</v>
      </c>
    </row>
    <row r="5382" spans="1:8" x14ac:dyDescent="0.3">
      <c r="A5382" s="2">
        <v>800</v>
      </c>
      <c r="B5382" t="s">
        <v>387</v>
      </c>
      <c r="C5382" t="s">
        <v>3220</v>
      </c>
      <c r="D5382" s="2">
        <v>1</v>
      </c>
      <c r="E5382" s="11" t="s">
        <v>140</v>
      </c>
      <c r="F5382" t="s">
        <v>114</v>
      </c>
      <c r="G5382" s="2" t="s">
        <v>23</v>
      </c>
      <c r="H5382" s="1">
        <v>42.294000000000004</v>
      </c>
    </row>
    <row r="5383" spans="1:8" x14ac:dyDescent="0.3">
      <c r="A5383" s="2">
        <v>800</v>
      </c>
      <c r="B5383" t="s">
        <v>702</v>
      </c>
      <c r="C5383" t="s">
        <v>3220</v>
      </c>
      <c r="D5383" s="2">
        <v>1</v>
      </c>
      <c r="E5383" s="11" t="s">
        <v>700</v>
      </c>
      <c r="F5383" t="s">
        <v>47</v>
      </c>
      <c r="G5383" s="2" t="s">
        <v>31</v>
      </c>
      <c r="H5383" s="1">
        <v>15.793999999999999</v>
      </c>
    </row>
    <row r="5384" spans="1:8" x14ac:dyDescent="0.3">
      <c r="A5384" s="2">
        <v>800</v>
      </c>
      <c r="B5384" t="s">
        <v>699</v>
      </c>
      <c r="C5384" t="s">
        <v>3</v>
      </c>
      <c r="D5384" s="2">
        <v>1</v>
      </c>
      <c r="E5384" s="11" t="s">
        <v>450</v>
      </c>
      <c r="F5384" t="s">
        <v>47</v>
      </c>
      <c r="G5384" s="2" t="s">
        <v>31</v>
      </c>
      <c r="H5384" s="1">
        <v>68.794000000000011</v>
      </c>
    </row>
    <row r="5385" spans="1:8" x14ac:dyDescent="0.3">
      <c r="A5385" s="2">
        <v>800</v>
      </c>
      <c r="B5385" t="s">
        <v>998</v>
      </c>
      <c r="C5385" t="s">
        <v>0</v>
      </c>
      <c r="D5385" s="2">
        <v>1</v>
      </c>
      <c r="E5385" s="11" t="s">
        <v>310</v>
      </c>
      <c r="F5385" t="s">
        <v>47</v>
      </c>
      <c r="G5385" s="2" t="s">
        <v>23</v>
      </c>
      <c r="H5385" s="1">
        <v>153.59400000000002</v>
      </c>
    </row>
    <row r="5386" spans="1:8" x14ac:dyDescent="0.3">
      <c r="A5386" s="2">
        <v>800</v>
      </c>
      <c r="B5386" t="s">
        <v>997</v>
      </c>
      <c r="C5386" t="s">
        <v>0</v>
      </c>
      <c r="D5386" s="2">
        <v>1</v>
      </c>
      <c r="E5386" s="11" t="s">
        <v>996</v>
      </c>
      <c r="F5386" t="s">
        <v>47</v>
      </c>
      <c r="G5386" s="2" t="s">
        <v>23</v>
      </c>
      <c r="H5386" s="1">
        <v>142.994</v>
      </c>
    </row>
    <row r="5387" spans="1:8" x14ac:dyDescent="0.3">
      <c r="A5387" s="2">
        <v>800</v>
      </c>
      <c r="B5387" t="s">
        <v>995</v>
      </c>
      <c r="C5387" t="s">
        <v>3</v>
      </c>
      <c r="D5387" s="2">
        <v>1</v>
      </c>
      <c r="E5387" s="11" t="s">
        <v>434</v>
      </c>
      <c r="F5387" t="s">
        <v>39</v>
      </c>
      <c r="G5387" s="2" t="s">
        <v>31</v>
      </c>
      <c r="H5387" s="1">
        <v>105.89400000000001</v>
      </c>
    </row>
    <row r="5388" spans="1:8" x14ac:dyDescent="0.3">
      <c r="A5388" s="2">
        <v>800</v>
      </c>
      <c r="B5388" t="s">
        <v>994</v>
      </c>
      <c r="C5388" t="s">
        <v>3220</v>
      </c>
      <c r="D5388" s="2">
        <v>1</v>
      </c>
      <c r="E5388" s="11" t="s">
        <v>647</v>
      </c>
      <c r="F5388" t="s">
        <v>39</v>
      </c>
      <c r="G5388" s="2" t="s">
        <v>31</v>
      </c>
      <c r="H5388" s="1">
        <v>15.793999999999999</v>
      </c>
    </row>
    <row r="5389" spans="1:8" x14ac:dyDescent="0.3">
      <c r="A5389" s="2">
        <v>800</v>
      </c>
      <c r="B5389" t="s">
        <v>854</v>
      </c>
      <c r="C5389" t="s">
        <v>3</v>
      </c>
      <c r="D5389" s="2">
        <v>1</v>
      </c>
      <c r="E5389" s="11" t="s">
        <v>180</v>
      </c>
      <c r="F5389" t="s">
        <v>36</v>
      </c>
      <c r="G5389" s="2" t="s">
        <v>23</v>
      </c>
      <c r="H5389" s="1">
        <v>105.89400000000001</v>
      </c>
    </row>
    <row r="5390" spans="1:8" x14ac:dyDescent="0.3">
      <c r="A5390" s="2">
        <v>801</v>
      </c>
      <c r="B5390" t="s">
        <v>993</v>
      </c>
      <c r="C5390" t="s">
        <v>3225</v>
      </c>
      <c r="D5390" s="2">
        <v>1</v>
      </c>
      <c r="E5390" s="11" t="s">
        <v>220</v>
      </c>
      <c r="F5390" t="s">
        <v>55</v>
      </c>
      <c r="G5390" s="2" t="s">
        <v>31</v>
      </c>
      <c r="H5390" s="1">
        <v>195.99400000000003</v>
      </c>
    </row>
    <row r="5391" spans="1:8" x14ac:dyDescent="0.3">
      <c r="A5391" s="2">
        <v>801</v>
      </c>
      <c r="B5391" t="s">
        <v>992</v>
      </c>
      <c r="C5391" t="s">
        <v>3225</v>
      </c>
      <c r="D5391" s="2">
        <v>1</v>
      </c>
      <c r="E5391" s="11" t="s">
        <v>220</v>
      </c>
      <c r="F5391" t="s">
        <v>55</v>
      </c>
      <c r="G5391" s="2" t="s">
        <v>23</v>
      </c>
      <c r="H5391" s="1">
        <v>195.99400000000003</v>
      </c>
    </row>
    <row r="5392" spans="1:8" x14ac:dyDescent="0.3">
      <c r="A5392" s="2">
        <v>801</v>
      </c>
      <c r="B5392" t="s">
        <v>356</v>
      </c>
      <c r="C5392" t="s">
        <v>0</v>
      </c>
      <c r="D5392" s="2">
        <v>1</v>
      </c>
      <c r="E5392" s="11" t="s">
        <v>217</v>
      </c>
      <c r="F5392" t="s">
        <v>55</v>
      </c>
      <c r="G5392" s="2" t="s">
        <v>31</v>
      </c>
      <c r="H5392" s="1">
        <v>142.994</v>
      </c>
    </row>
    <row r="5393" spans="1:8" x14ac:dyDescent="0.3">
      <c r="A5393" s="2">
        <v>801</v>
      </c>
      <c r="B5393" t="s">
        <v>991</v>
      </c>
      <c r="C5393" t="s">
        <v>0</v>
      </c>
      <c r="D5393" s="2">
        <v>1</v>
      </c>
      <c r="E5393" s="11" t="s">
        <v>217</v>
      </c>
      <c r="F5393" t="s">
        <v>62</v>
      </c>
      <c r="G5393" s="2" t="s">
        <v>31</v>
      </c>
      <c r="H5393" s="1">
        <v>142.994</v>
      </c>
    </row>
    <row r="5394" spans="1:8" x14ac:dyDescent="0.3">
      <c r="A5394" s="2">
        <v>801</v>
      </c>
      <c r="B5394" t="s">
        <v>990</v>
      </c>
      <c r="C5394" t="s">
        <v>0</v>
      </c>
      <c r="D5394" s="2">
        <v>1</v>
      </c>
      <c r="E5394" s="11" t="s">
        <v>217</v>
      </c>
      <c r="F5394" t="s">
        <v>62</v>
      </c>
      <c r="G5394" s="2" t="s">
        <v>23</v>
      </c>
      <c r="H5394" s="1">
        <v>142.994</v>
      </c>
    </row>
    <row r="5395" spans="1:8" x14ac:dyDescent="0.3">
      <c r="A5395" s="2">
        <v>801</v>
      </c>
      <c r="B5395" t="s">
        <v>251</v>
      </c>
      <c r="C5395" t="s">
        <v>0</v>
      </c>
      <c r="D5395" s="2">
        <v>1</v>
      </c>
      <c r="E5395" s="11" t="s">
        <v>246</v>
      </c>
      <c r="F5395" t="s">
        <v>62</v>
      </c>
      <c r="G5395" s="2" t="s">
        <v>31</v>
      </c>
      <c r="H5395" s="1">
        <v>158.89400000000001</v>
      </c>
    </row>
    <row r="5396" spans="1:8" x14ac:dyDescent="0.3">
      <c r="A5396" s="2">
        <v>801</v>
      </c>
      <c r="B5396" t="s">
        <v>989</v>
      </c>
      <c r="C5396" t="s">
        <v>3219</v>
      </c>
      <c r="D5396" s="2">
        <v>1</v>
      </c>
      <c r="E5396" s="11" t="s">
        <v>892</v>
      </c>
      <c r="F5396" t="s">
        <v>55</v>
      </c>
      <c r="G5396" s="2" t="s">
        <v>4</v>
      </c>
      <c r="H5396" s="1">
        <v>158.89400000000001</v>
      </c>
    </row>
    <row r="5397" spans="1:8" x14ac:dyDescent="0.3">
      <c r="A5397" s="2">
        <v>801</v>
      </c>
      <c r="B5397" t="s">
        <v>893</v>
      </c>
      <c r="C5397" t="s">
        <v>3219</v>
      </c>
      <c r="D5397" s="2">
        <v>1</v>
      </c>
      <c r="E5397" s="11" t="s">
        <v>892</v>
      </c>
      <c r="F5397" t="s">
        <v>55</v>
      </c>
      <c r="G5397" s="2" t="s">
        <v>31</v>
      </c>
      <c r="H5397" s="1">
        <v>158.89400000000001</v>
      </c>
    </row>
    <row r="5398" spans="1:8" x14ac:dyDescent="0.3">
      <c r="A5398" s="2">
        <v>801</v>
      </c>
      <c r="B5398" t="s">
        <v>934</v>
      </c>
      <c r="C5398" t="s">
        <v>3219</v>
      </c>
      <c r="D5398" s="2">
        <v>1</v>
      </c>
      <c r="E5398" s="11" t="s">
        <v>892</v>
      </c>
      <c r="F5398" t="s">
        <v>55</v>
      </c>
      <c r="G5398" s="2" t="s">
        <v>23</v>
      </c>
      <c r="H5398" s="1">
        <v>158.89400000000001</v>
      </c>
    </row>
    <row r="5399" spans="1:8" x14ac:dyDescent="0.3">
      <c r="A5399" s="2">
        <v>801</v>
      </c>
      <c r="B5399" t="s">
        <v>247</v>
      </c>
      <c r="C5399" t="s">
        <v>0</v>
      </c>
      <c r="D5399" s="2">
        <v>1</v>
      </c>
      <c r="E5399" s="11" t="s">
        <v>246</v>
      </c>
      <c r="F5399" t="s">
        <v>55</v>
      </c>
      <c r="G5399" s="2" t="s">
        <v>23</v>
      </c>
      <c r="H5399" s="1">
        <v>158.89400000000001</v>
      </c>
    </row>
    <row r="5400" spans="1:8" x14ac:dyDescent="0.3">
      <c r="A5400" s="2">
        <v>801</v>
      </c>
      <c r="B5400" t="s">
        <v>418</v>
      </c>
      <c r="C5400" t="s">
        <v>0</v>
      </c>
      <c r="D5400" s="2">
        <v>1</v>
      </c>
      <c r="E5400" s="11" t="s">
        <v>217</v>
      </c>
      <c r="F5400" t="s">
        <v>114</v>
      </c>
      <c r="G5400" s="2" t="s">
        <v>23</v>
      </c>
      <c r="H5400" s="1">
        <v>142.994</v>
      </c>
    </row>
    <row r="5401" spans="1:8" x14ac:dyDescent="0.3">
      <c r="A5401" s="2">
        <v>801</v>
      </c>
      <c r="B5401" t="s">
        <v>833</v>
      </c>
      <c r="C5401" t="s">
        <v>3224</v>
      </c>
      <c r="D5401" s="2">
        <v>1</v>
      </c>
      <c r="E5401" s="11" t="s">
        <v>193</v>
      </c>
      <c r="F5401" t="s">
        <v>47</v>
      </c>
      <c r="G5401" s="2" t="s">
        <v>23</v>
      </c>
      <c r="H5401" s="1">
        <v>100.59400000000001</v>
      </c>
    </row>
    <row r="5402" spans="1:8" x14ac:dyDescent="0.3">
      <c r="A5402" s="2">
        <v>801</v>
      </c>
      <c r="B5402" t="s">
        <v>988</v>
      </c>
      <c r="C5402" t="s">
        <v>0</v>
      </c>
      <c r="D5402" s="2">
        <v>1</v>
      </c>
      <c r="E5402" s="11" t="s">
        <v>987</v>
      </c>
      <c r="F5402" t="s">
        <v>47</v>
      </c>
      <c r="G5402" s="2" t="s">
        <v>23</v>
      </c>
      <c r="H5402" s="1">
        <v>185.39400000000001</v>
      </c>
    </row>
    <row r="5403" spans="1:8" x14ac:dyDescent="0.3">
      <c r="A5403" s="2">
        <v>801</v>
      </c>
      <c r="B5403" t="s">
        <v>986</v>
      </c>
      <c r="C5403" t="s">
        <v>0</v>
      </c>
      <c r="D5403" s="2">
        <v>1</v>
      </c>
      <c r="E5403" s="11" t="s">
        <v>336</v>
      </c>
      <c r="F5403" t="s">
        <v>47</v>
      </c>
      <c r="G5403" s="2" t="s">
        <v>4</v>
      </c>
      <c r="H5403" s="1">
        <v>201.29400000000001</v>
      </c>
    </row>
    <row r="5404" spans="1:8" x14ac:dyDescent="0.3">
      <c r="A5404" s="2">
        <v>801</v>
      </c>
      <c r="B5404" t="s">
        <v>985</v>
      </c>
      <c r="C5404" t="s">
        <v>0</v>
      </c>
      <c r="D5404" s="2">
        <v>1</v>
      </c>
      <c r="E5404" s="11" t="s">
        <v>336</v>
      </c>
      <c r="F5404" t="s">
        <v>47</v>
      </c>
      <c r="G5404" s="2" t="s">
        <v>23</v>
      </c>
      <c r="H5404" s="1">
        <v>201.29400000000001</v>
      </c>
    </row>
    <row r="5405" spans="1:8" x14ac:dyDescent="0.3">
      <c r="A5405" s="2">
        <v>801</v>
      </c>
      <c r="B5405" t="s">
        <v>984</v>
      </c>
      <c r="C5405" t="s">
        <v>0</v>
      </c>
      <c r="D5405" s="2">
        <v>1</v>
      </c>
      <c r="E5405" s="11" t="s">
        <v>217</v>
      </c>
      <c r="F5405" t="s">
        <v>47</v>
      </c>
      <c r="G5405" s="2" t="s">
        <v>4</v>
      </c>
      <c r="H5405" s="1">
        <v>142.994</v>
      </c>
    </row>
    <row r="5406" spans="1:8" x14ac:dyDescent="0.3">
      <c r="A5406" s="2">
        <v>801</v>
      </c>
      <c r="B5406" t="s">
        <v>983</v>
      </c>
      <c r="C5406" t="s">
        <v>3224</v>
      </c>
      <c r="D5406" s="2">
        <v>1</v>
      </c>
      <c r="E5406" s="11" t="s">
        <v>193</v>
      </c>
      <c r="F5406" t="s">
        <v>39</v>
      </c>
      <c r="G5406" s="2" t="s">
        <v>31</v>
      </c>
      <c r="H5406" s="1">
        <v>100.59400000000001</v>
      </c>
    </row>
    <row r="5407" spans="1:8" x14ac:dyDescent="0.3">
      <c r="A5407" s="2">
        <v>801</v>
      </c>
      <c r="B5407" t="s">
        <v>982</v>
      </c>
      <c r="C5407" t="s">
        <v>3219</v>
      </c>
      <c r="D5407" s="2">
        <v>1</v>
      </c>
      <c r="E5407" s="11" t="s">
        <v>892</v>
      </c>
      <c r="F5407" t="s">
        <v>39</v>
      </c>
      <c r="G5407" s="2" t="s">
        <v>4</v>
      </c>
      <c r="H5407" s="1">
        <v>158.89400000000001</v>
      </c>
    </row>
    <row r="5408" spans="1:8" x14ac:dyDescent="0.3">
      <c r="A5408" s="2">
        <v>801</v>
      </c>
      <c r="B5408" t="s">
        <v>981</v>
      </c>
      <c r="C5408" t="s">
        <v>3219</v>
      </c>
      <c r="D5408" s="2">
        <v>2</v>
      </c>
      <c r="E5408" s="11" t="s">
        <v>892</v>
      </c>
      <c r="F5408" t="s">
        <v>39</v>
      </c>
      <c r="G5408" s="2" t="s">
        <v>31</v>
      </c>
      <c r="H5408" s="1">
        <v>158.89400000000001</v>
      </c>
    </row>
    <row r="5409" spans="1:8" x14ac:dyDescent="0.3">
      <c r="A5409" s="2">
        <v>801</v>
      </c>
      <c r="B5409" t="s">
        <v>980</v>
      </c>
      <c r="C5409" t="s">
        <v>2</v>
      </c>
      <c r="D5409" s="2">
        <v>1</v>
      </c>
      <c r="E5409" s="11" t="s">
        <v>43</v>
      </c>
      <c r="F5409" t="s">
        <v>39</v>
      </c>
      <c r="G5409" s="2" t="s">
        <v>31</v>
      </c>
      <c r="H5409" s="1">
        <v>74.094000000000008</v>
      </c>
    </row>
    <row r="5410" spans="1:8" x14ac:dyDescent="0.3">
      <c r="A5410" s="2">
        <v>801</v>
      </c>
      <c r="B5410" t="s">
        <v>979</v>
      </c>
      <c r="C5410" t="s">
        <v>3224</v>
      </c>
      <c r="D5410" s="2">
        <v>1</v>
      </c>
      <c r="E5410" s="11" t="s">
        <v>193</v>
      </c>
      <c r="F5410" t="s">
        <v>36</v>
      </c>
      <c r="G5410" s="2" t="s">
        <v>31</v>
      </c>
      <c r="H5410" s="1">
        <v>100.59400000000001</v>
      </c>
    </row>
    <row r="5411" spans="1:8" x14ac:dyDescent="0.3">
      <c r="A5411" s="2">
        <v>801</v>
      </c>
      <c r="B5411" t="s">
        <v>194</v>
      </c>
      <c r="C5411" t="s">
        <v>3224</v>
      </c>
      <c r="D5411" s="2">
        <v>1</v>
      </c>
      <c r="E5411" s="11" t="s">
        <v>193</v>
      </c>
      <c r="F5411" t="s">
        <v>36</v>
      </c>
      <c r="G5411" s="2" t="s">
        <v>23</v>
      </c>
      <c r="H5411" s="1">
        <v>100.59400000000001</v>
      </c>
    </row>
    <row r="5412" spans="1:8" x14ac:dyDescent="0.3">
      <c r="A5412" s="2">
        <v>802</v>
      </c>
      <c r="B5412" t="s">
        <v>941</v>
      </c>
      <c r="C5412" t="s">
        <v>1</v>
      </c>
      <c r="D5412" s="2">
        <v>1</v>
      </c>
      <c r="E5412" s="11" t="s">
        <v>807</v>
      </c>
      <c r="F5412" t="s">
        <v>55</v>
      </c>
      <c r="G5412" s="2" t="s">
        <v>23</v>
      </c>
      <c r="H5412" s="1">
        <v>79.394000000000005</v>
      </c>
    </row>
    <row r="5413" spans="1:8" x14ac:dyDescent="0.3">
      <c r="A5413" s="2">
        <v>802</v>
      </c>
      <c r="B5413" t="s">
        <v>978</v>
      </c>
      <c r="C5413" t="s">
        <v>3219</v>
      </c>
      <c r="D5413" s="2">
        <v>1</v>
      </c>
      <c r="E5413" s="11" t="s">
        <v>977</v>
      </c>
      <c r="F5413" t="s">
        <v>114</v>
      </c>
      <c r="G5413" s="2" t="s">
        <v>4</v>
      </c>
      <c r="H5413" s="1">
        <v>116.49400000000001</v>
      </c>
    </row>
    <row r="5414" spans="1:8" x14ac:dyDescent="0.3">
      <c r="A5414" s="2">
        <v>802</v>
      </c>
      <c r="B5414" t="s">
        <v>976</v>
      </c>
      <c r="C5414" t="s">
        <v>3224</v>
      </c>
      <c r="D5414" s="2">
        <v>1</v>
      </c>
      <c r="E5414" s="11" t="s">
        <v>191</v>
      </c>
      <c r="F5414" t="s">
        <v>114</v>
      </c>
      <c r="G5414" s="2" t="s">
        <v>4</v>
      </c>
      <c r="H5414" s="1">
        <v>63.494000000000007</v>
      </c>
    </row>
    <row r="5415" spans="1:8" x14ac:dyDescent="0.3">
      <c r="A5415" s="2">
        <v>802</v>
      </c>
      <c r="B5415" t="s">
        <v>975</v>
      </c>
      <c r="C5415" t="s">
        <v>3224</v>
      </c>
      <c r="D5415" s="2">
        <v>1</v>
      </c>
      <c r="E5415" s="11" t="s">
        <v>663</v>
      </c>
      <c r="F5415" t="s">
        <v>114</v>
      </c>
      <c r="G5415" s="2" t="s">
        <v>4</v>
      </c>
      <c r="H5415" s="1">
        <v>111.19400000000002</v>
      </c>
    </row>
    <row r="5416" spans="1:8" x14ac:dyDescent="0.3">
      <c r="A5416" s="2">
        <v>802</v>
      </c>
      <c r="B5416" t="s">
        <v>778</v>
      </c>
      <c r="C5416" t="s">
        <v>3219</v>
      </c>
      <c r="D5416" s="2">
        <v>1</v>
      </c>
      <c r="E5416" s="11" t="s">
        <v>66</v>
      </c>
      <c r="F5416" t="s">
        <v>28</v>
      </c>
      <c r="G5416" s="2" t="s">
        <v>4</v>
      </c>
      <c r="H5416" s="1">
        <v>180.09400000000002</v>
      </c>
    </row>
    <row r="5417" spans="1:8" x14ac:dyDescent="0.3">
      <c r="A5417" s="2">
        <v>802</v>
      </c>
      <c r="B5417" t="s">
        <v>974</v>
      </c>
      <c r="C5417" t="s">
        <v>3224</v>
      </c>
      <c r="D5417" s="2">
        <v>1</v>
      </c>
      <c r="E5417" s="11" t="s">
        <v>499</v>
      </c>
      <c r="F5417" t="s">
        <v>47</v>
      </c>
      <c r="G5417" s="2" t="s">
        <v>4</v>
      </c>
      <c r="H5417" s="1">
        <v>84.694000000000017</v>
      </c>
    </row>
    <row r="5418" spans="1:8" x14ac:dyDescent="0.3">
      <c r="A5418" s="2">
        <v>802</v>
      </c>
      <c r="B5418" t="s">
        <v>698</v>
      </c>
      <c r="C5418" t="s">
        <v>3</v>
      </c>
      <c r="D5418" s="2">
        <v>1</v>
      </c>
      <c r="E5418" s="11" t="s">
        <v>450</v>
      </c>
      <c r="F5418" t="s">
        <v>47</v>
      </c>
      <c r="G5418" s="2" t="s">
        <v>23</v>
      </c>
      <c r="H5418" s="1">
        <v>68.794000000000011</v>
      </c>
    </row>
    <row r="5419" spans="1:8" x14ac:dyDescent="0.3">
      <c r="A5419" s="2">
        <v>802</v>
      </c>
      <c r="B5419" t="s">
        <v>973</v>
      </c>
      <c r="C5419" t="s">
        <v>3219</v>
      </c>
      <c r="D5419" s="2">
        <v>1</v>
      </c>
      <c r="E5419" s="11" t="s">
        <v>119</v>
      </c>
      <c r="F5419" t="s">
        <v>47</v>
      </c>
      <c r="G5419" s="2" t="s">
        <v>4</v>
      </c>
      <c r="H5419" s="1">
        <v>148.29400000000001</v>
      </c>
    </row>
    <row r="5420" spans="1:8" x14ac:dyDescent="0.3">
      <c r="A5420" s="2">
        <v>802</v>
      </c>
      <c r="B5420" t="s">
        <v>972</v>
      </c>
      <c r="C5420" t="s">
        <v>3224</v>
      </c>
      <c r="D5420" s="2">
        <v>1</v>
      </c>
      <c r="E5420" s="11" t="s">
        <v>663</v>
      </c>
      <c r="F5420" t="s">
        <v>36</v>
      </c>
      <c r="G5420" s="2" t="s">
        <v>23</v>
      </c>
      <c r="H5420" s="1">
        <v>111.19400000000002</v>
      </c>
    </row>
    <row r="5421" spans="1:8" x14ac:dyDescent="0.3">
      <c r="A5421" s="2">
        <v>802</v>
      </c>
      <c r="B5421" t="s">
        <v>654</v>
      </c>
      <c r="C5421" t="s">
        <v>3219</v>
      </c>
      <c r="D5421" s="2">
        <v>1</v>
      </c>
      <c r="E5421" s="11" t="s">
        <v>119</v>
      </c>
      <c r="F5421" t="s">
        <v>36</v>
      </c>
      <c r="G5421" s="2" t="s">
        <v>23</v>
      </c>
      <c r="H5421" s="1">
        <v>148.29400000000001</v>
      </c>
    </row>
    <row r="5422" spans="1:8" x14ac:dyDescent="0.3">
      <c r="A5422" s="2">
        <v>802</v>
      </c>
      <c r="B5422" t="s">
        <v>971</v>
      </c>
      <c r="C5422" t="s">
        <v>3224</v>
      </c>
      <c r="D5422" s="2">
        <v>1</v>
      </c>
      <c r="E5422" s="11" t="s">
        <v>970</v>
      </c>
      <c r="F5422" t="s">
        <v>28</v>
      </c>
      <c r="G5422" s="2" t="s">
        <v>23</v>
      </c>
      <c r="H5422" s="1">
        <v>100.59400000000001</v>
      </c>
    </row>
    <row r="5423" spans="1:8" x14ac:dyDescent="0.3">
      <c r="A5423" s="2">
        <v>802</v>
      </c>
      <c r="B5423" t="s">
        <v>969</v>
      </c>
      <c r="C5423" t="s">
        <v>2</v>
      </c>
      <c r="D5423" s="2">
        <v>1</v>
      </c>
      <c r="E5423" s="11" t="s">
        <v>968</v>
      </c>
      <c r="F5423" t="s">
        <v>28</v>
      </c>
      <c r="G5423" s="2" t="s">
        <v>23</v>
      </c>
      <c r="H5423" s="1">
        <v>137.69400000000002</v>
      </c>
    </row>
    <row r="5424" spans="1:8" x14ac:dyDescent="0.3">
      <c r="A5424" s="2">
        <v>802</v>
      </c>
      <c r="B5424" t="s">
        <v>810</v>
      </c>
      <c r="C5424" t="s">
        <v>3233</v>
      </c>
      <c r="D5424" s="2">
        <v>1</v>
      </c>
      <c r="E5424" s="11" t="s">
        <v>606</v>
      </c>
      <c r="F5424" t="s">
        <v>28</v>
      </c>
      <c r="G5424" s="2" t="s">
        <v>4</v>
      </c>
      <c r="H5424" s="1">
        <v>74.094000000000008</v>
      </c>
    </row>
    <row r="5425" spans="1:8" x14ac:dyDescent="0.3">
      <c r="A5425" s="2">
        <v>803</v>
      </c>
      <c r="B5425" t="s">
        <v>356</v>
      </c>
      <c r="C5425" t="s">
        <v>0</v>
      </c>
      <c r="D5425" s="2">
        <v>1</v>
      </c>
      <c r="E5425" s="11" t="s">
        <v>217</v>
      </c>
      <c r="F5425" t="s">
        <v>55</v>
      </c>
      <c r="G5425" s="2" t="s">
        <v>31</v>
      </c>
      <c r="H5425" s="1">
        <v>142.994</v>
      </c>
    </row>
    <row r="5426" spans="1:8" x14ac:dyDescent="0.3">
      <c r="A5426" s="2">
        <v>803</v>
      </c>
      <c r="B5426" t="s">
        <v>295</v>
      </c>
      <c r="C5426" t="s">
        <v>1</v>
      </c>
      <c r="D5426" s="2">
        <v>1</v>
      </c>
      <c r="E5426" s="11" t="s">
        <v>243</v>
      </c>
      <c r="F5426" t="s">
        <v>65</v>
      </c>
      <c r="G5426" s="2" t="s">
        <v>203</v>
      </c>
      <c r="H5426" s="1">
        <v>31.693999999999999</v>
      </c>
    </row>
    <row r="5427" spans="1:8" x14ac:dyDescent="0.3">
      <c r="A5427" s="2">
        <v>803</v>
      </c>
      <c r="B5427" t="s">
        <v>588</v>
      </c>
      <c r="C5427" t="s">
        <v>3220</v>
      </c>
      <c r="D5427" s="2">
        <v>1</v>
      </c>
      <c r="E5427" s="11" t="s">
        <v>293</v>
      </c>
      <c r="F5427" t="s">
        <v>65</v>
      </c>
      <c r="G5427" s="2" t="s">
        <v>31</v>
      </c>
      <c r="H5427" s="1">
        <v>21.094000000000001</v>
      </c>
    </row>
    <row r="5428" spans="1:8" x14ac:dyDescent="0.3">
      <c r="A5428" s="2">
        <v>803</v>
      </c>
      <c r="B5428" t="s">
        <v>295</v>
      </c>
      <c r="C5428" t="s">
        <v>1</v>
      </c>
      <c r="D5428" s="2">
        <v>1</v>
      </c>
      <c r="E5428" s="11" t="s">
        <v>243</v>
      </c>
      <c r="F5428" t="s">
        <v>65</v>
      </c>
      <c r="G5428" s="2" t="s">
        <v>203</v>
      </c>
      <c r="H5428" s="1">
        <v>31.693999999999999</v>
      </c>
    </row>
    <row r="5429" spans="1:8" x14ac:dyDescent="0.3">
      <c r="A5429" s="2">
        <v>803</v>
      </c>
      <c r="B5429" t="s">
        <v>901</v>
      </c>
      <c r="C5429" t="s">
        <v>3220</v>
      </c>
      <c r="D5429" s="2">
        <v>1</v>
      </c>
      <c r="E5429" s="11" t="s">
        <v>293</v>
      </c>
      <c r="F5429" t="s">
        <v>62</v>
      </c>
      <c r="G5429" s="2" t="s">
        <v>4</v>
      </c>
      <c r="H5429" s="1">
        <v>21.094000000000001</v>
      </c>
    </row>
    <row r="5430" spans="1:8" x14ac:dyDescent="0.3">
      <c r="A5430" s="2">
        <v>803</v>
      </c>
      <c r="B5430" t="s">
        <v>907</v>
      </c>
      <c r="C5430" t="s">
        <v>1</v>
      </c>
      <c r="D5430" s="2">
        <v>1</v>
      </c>
      <c r="E5430" s="11" t="s">
        <v>385</v>
      </c>
      <c r="F5430" t="s">
        <v>78</v>
      </c>
      <c r="G5430" s="2" t="s">
        <v>203</v>
      </c>
      <c r="H5430" s="1">
        <v>79.394000000000005</v>
      </c>
    </row>
    <row r="5431" spans="1:8" x14ac:dyDescent="0.3">
      <c r="A5431" s="2">
        <v>803</v>
      </c>
      <c r="B5431" t="s">
        <v>646</v>
      </c>
      <c r="C5431" t="s">
        <v>3220</v>
      </c>
      <c r="D5431" s="2">
        <v>1</v>
      </c>
      <c r="E5431" s="11" t="s">
        <v>637</v>
      </c>
      <c r="F5431" t="s">
        <v>47</v>
      </c>
      <c r="G5431" s="2" t="s">
        <v>4</v>
      </c>
      <c r="H5431" s="1">
        <v>15.793999999999999</v>
      </c>
    </row>
    <row r="5432" spans="1:8" x14ac:dyDescent="0.3">
      <c r="A5432" s="2">
        <v>803</v>
      </c>
      <c r="B5432" t="s">
        <v>905</v>
      </c>
      <c r="C5432" t="s">
        <v>3220</v>
      </c>
      <c r="D5432" s="2">
        <v>1</v>
      </c>
      <c r="E5432" s="11" t="s">
        <v>522</v>
      </c>
      <c r="F5432" t="s">
        <v>39</v>
      </c>
      <c r="G5432" s="2" t="s">
        <v>31</v>
      </c>
      <c r="H5432" s="1">
        <v>42.294000000000004</v>
      </c>
    </row>
    <row r="5433" spans="1:8" x14ac:dyDescent="0.3">
      <c r="A5433" s="2">
        <v>803</v>
      </c>
      <c r="B5433" t="s">
        <v>523</v>
      </c>
      <c r="C5433" t="s">
        <v>3220</v>
      </c>
      <c r="D5433" s="2">
        <v>1</v>
      </c>
      <c r="E5433" s="11" t="s">
        <v>522</v>
      </c>
      <c r="F5433" t="s">
        <v>28</v>
      </c>
      <c r="G5433" s="2" t="s">
        <v>4</v>
      </c>
      <c r="H5433" s="1">
        <v>42.294000000000004</v>
      </c>
    </row>
    <row r="5434" spans="1:8" x14ac:dyDescent="0.3">
      <c r="A5434" s="2">
        <v>803</v>
      </c>
      <c r="B5434" t="s">
        <v>414</v>
      </c>
      <c r="C5434" t="s">
        <v>0</v>
      </c>
      <c r="D5434" s="2">
        <v>1</v>
      </c>
      <c r="E5434" s="11" t="s">
        <v>413</v>
      </c>
      <c r="F5434" t="s">
        <v>28</v>
      </c>
      <c r="G5434" s="2" t="s">
        <v>31</v>
      </c>
      <c r="H5434" s="1">
        <v>132.39400000000001</v>
      </c>
    </row>
    <row r="5435" spans="1:8" x14ac:dyDescent="0.3">
      <c r="A5435" s="2">
        <v>803</v>
      </c>
      <c r="B5435" t="s">
        <v>903</v>
      </c>
      <c r="C5435" t="s">
        <v>3220</v>
      </c>
      <c r="D5435" s="2">
        <v>1</v>
      </c>
      <c r="E5435" s="11" t="s">
        <v>637</v>
      </c>
      <c r="F5435" t="s">
        <v>24</v>
      </c>
      <c r="G5435" s="2" t="s">
        <v>4</v>
      </c>
      <c r="H5435" s="1">
        <v>15.793999999999999</v>
      </c>
    </row>
    <row r="5436" spans="1:8" x14ac:dyDescent="0.3">
      <c r="A5436" s="2">
        <v>803</v>
      </c>
      <c r="B5436" t="s">
        <v>639</v>
      </c>
      <c r="C5436" t="s">
        <v>3220</v>
      </c>
      <c r="D5436" s="2">
        <v>1</v>
      </c>
      <c r="E5436" s="11" t="s">
        <v>637</v>
      </c>
      <c r="F5436" t="s">
        <v>24</v>
      </c>
      <c r="G5436" s="2" t="s">
        <v>31</v>
      </c>
      <c r="H5436" s="1">
        <v>15.793999999999999</v>
      </c>
    </row>
    <row r="5437" spans="1:8" x14ac:dyDescent="0.3">
      <c r="A5437" s="2">
        <v>804</v>
      </c>
      <c r="B5437" t="s">
        <v>671</v>
      </c>
      <c r="C5437" t="s">
        <v>3220</v>
      </c>
      <c r="D5437" s="2">
        <v>1</v>
      </c>
      <c r="E5437" s="11" t="s">
        <v>170</v>
      </c>
      <c r="F5437" t="s">
        <v>55</v>
      </c>
      <c r="G5437" s="2" t="s">
        <v>4</v>
      </c>
      <c r="H5437" s="1">
        <v>36.994</v>
      </c>
    </row>
    <row r="5438" spans="1:8" x14ac:dyDescent="0.3">
      <c r="A5438" s="2">
        <v>804</v>
      </c>
      <c r="B5438" t="s">
        <v>967</v>
      </c>
      <c r="C5438" t="s">
        <v>3220</v>
      </c>
      <c r="D5438" s="2">
        <v>1</v>
      </c>
      <c r="E5438" s="11" t="s">
        <v>185</v>
      </c>
      <c r="F5438" t="s">
        <v>65</v>
      </c>
      <c r="G5438" s="2" t="s">
        <v>31</v>
      </c>
      <c r="H5438" s="1">
        <v>84.694000000000017</v>
      </c>
    </row>
    <row r="5439" spans="1:8" x14ac:dyDescent="0.3">
      <c r="A5439" s="2">
        <v>804</v>
      </c>
      <c r="B5439" t="s">
        <v>966</v>
      </c>
      <c r="C5439" t="s">
        <v>3220</v>
      </c>
      <c r="D5439" s="2">
        <v>1</v>
      </c>
      <c r="E5439" s="11" t="s">
        <v>293</v>
      </c>
      <c r="F5439" t="s">
        <v>62</v>
      </c>
      <c r="G5439" s="2" t="s">
        <v>31</v>
      </c>
      <c r="H5439" s="1">
        <v>21.094000000000001</v>
      </c>
    </row>
    <row r="5440" spans="1:8" x14ac:dyDescent="0.3">
      <c r="A5440" s="2">
        <v>804</v>
      </c>
      <c r="B5440" t="s">
        <v>965</v>
      </c>
      <c r="C5440" t="s">
        <v>3233</v>
      </c>
      <c r="D5440" s="2">
        <v>1</v>
      </c>
      <c r="E5440" s="11" t="s">
        <v>32</v>
      </c>
      <c r="F5440" t="s">
        <v>254</v>
      </c>
      <c r="G5440" s="2" t="s">
        <v>31</v>
      </c>
      <c r="H5440" s="1">
        <v>132.39400000000001</v>
      </c>
    </row>
    <row r="5441" spans="1:8" x14ac:dyDescent="0.3">
      <c r="A5441" s="2">
        <v>804</v>
      </c>
      <c r="B5441" t="s">
        <v>964</v>
      </c>
      <c r="C5441" t="s">
        <v>2</v>
      </c>
      <c r="D5441" s="2">
        <v>1</v>
      </c>
      <c r="E5441" s="11" t="s">
        <v>780</v>
      </c>
      <c r="F5441" t="s">
        <v>254</v>
      </c>
      <c r="G5441" s="2" t="s">
        <v>31</v>
      </c>
      <c r="H5441" s="1">
        <v>116.49400000000001</v>
      </c>
    </row>
    <row r="5442" spans="1:8" x14ac:dyDescent="0.3">
      <c r="A5442" s="2">
        <v>804</v>
      </c>
      <c r="B5442" t="s">
        <v>452</v>
      </c>
      <c r="C5442" t="s">
        <v>3224</v>
      </c>
      <c r="D5442" s="2">
        <v>1</v>
      </c>
      <c r="E5442" s="11" t="s">
        <v>34</v>
      </c>
      <c r="F5442" t="s">
        <v>62</v>
      </c>
      <c r="G5442" s="2" t="s">
        <v>31</v>
      </c>
      <c r="H5442" s="1">
        <v>100.59400000000001</v>
      </c>
    </row>
    <row r="5443" spans="1:8" x14ac:dyDescent="0.3">
      <c r="A5443" s="2">
        <v>804</v>
      </c>
      <c r="B5443" t="s">
        <v>249</v>
      </c>
      <c r="C5443" t="s">
        <v>3</v>
      </c>
      <c r="D5443" s="2">
        <v>1</v>
      </c>
      <c r="E5443" s="11" t="s">
        <v>197</v>
      </c>
      <c r="F5443" t="s">
        <v>55</v>
      </c>
      <c r="G5443" s="2" t="s">
        <v>31</v>
      </c>
      <c r="H5443" s="1">
        <v>68.794000000000011</v>
      </c>
    </row>
    <row r="5444" spans="1:8" x14ac:dyDescent="0.3">
      <c r="A5444" s="2">
        <v>804</v>
      </c>
      <c r="B5444" t="s">
        <v>963</v>
      </c>
      <c r="C5444" t="s">
        <v>1</v>
      </c>
      <c r="D5444" s="2">
        <v>1</v>
      </c>
      <c r="E5444" s="11" t="s">
        <v>770</v>
      </c>
      <c r="F5444" t="s">
        <v>55</v>
      </c>
      <c r="G5444" s="2" t="s">
        <v>31</v>
      </c>
      <c r="H5444" s="1">
        <v>89.994000000000014</v>
      </c>
    </row>
    <row r="5445" spans="1:8" x14ac:dyDescent="0.3">
      <c r="A5445" s="2">
        <v>804</v>
      </c>
      <c r="B5445" t="s">
        <v>121</v>
      </c>
      <c r="C5445" t="s">
        <v>3219</v>
      </c>
      <c r="D5445" s="2">
        <v>1</v>
      </c>
      <c r="E5445" s="11" t="s">
        <v>119</v>
      </c>
      <c r="F5445" t="s">
        <v>55</v>
      </c>
      <c r="G5445" s="2" t="s">
        <v>31</v>
      </c>
      <c r="H5445" s="1">
        <v>148.29400000000001</v>
      </c>
    </row>
    <row r="5446" spans="1:8" x14ac:dyDescent="0.3">
      <c r="A5446" s="2">
        <v>804</v>
      </c>
      <c r="B5446" t="s">
        <v>962</v>
      </c>
      <c r="C5446" t="s">
        <v>1</v>
      </c>
      <c r="D5446" s="2">
        <v>1</v>
      </c>
      <c r="E5446" s="11" t="s">
        <v>279</v>
      </c>
      <c r="F5446" t="s">
        <v>55</v>
      </c>
      <c r="G5446" s="2" t="s">
        <v>4</v>
      </c>
      <c r="H5446" s="1">
        <v>47.594000000000001</v>
      </c>
    </row>
    <row r="5447" spans="1:8" x14ac:dyDescent="0.3">
      <c r="A5447" s="2">
        <v>804</v>
      </c>
      <c r="B5447" t="s">
        <v>961</v>
      </c>
      <c r="C5447" t="s">
        <v>3220</v>
      </c>
      <c r="D5447" s="2">
        <v>1</v>
      </c>
      <c r="E5447" s="11" t="s">
        <v>960</v>
      </c>
      <c r="F5447" t="s">
        <v>959</v>
      </c>
      <c r="G5447" s="2" t="s">
        <v>23</v>
      </c>
      <c r="H5447" s="1">
        <v>42.294000000000004</v>
      </c>
    </row>
    <row r="5448" spans="1:8" x14ac:dyDescent="0.3">
      <c r="A5448" s="2">
        <v>804</v>
      </c>
      <c r="B5448" t="s">
        <v>389</v>
      </c>
      <c r="C5448" t="s">
        <v>3224</v>
      </c>
      <c r="D5448" s="2">
        <v>1</v>
      </c>
      <c r="E5448" s="11" t="s">
        <v>34</v>
      </c>
      <c r="F5448" t="s">
        <v>114</v>
      </c>
      <c r="G5448" s="2" t="s">
        <v>23</v>
      </c>
      <c r="H5448" s="1">
        <v>100.59400000000001</v>
      </c>
    </row>
    <row r="5449" spans="1:8" x14ac:dyDescent="0.3">
      <c r="A5449" s="2">
        <v>804</v>
      </c>
      <c r="B5449" t="s">
        <v>908</v>
      </c>
      <c r="C5449" t="s">
        <v>3220</v>
      </c>
      <c r="D5449" s="2">
        <v>1</v>
      </c>
      <c r="E5449" s="11" t="s">
        <v>847</v>
      </c>
      <c r="F5449" t="s">
        <v>114</v>
      </c>
      <c r="G5449" s="2" t="s">
        <v>31</v>
      </c>
      <c r="H5449" s="1">
        <v>21.094000000000001</v>
      </c>
    </row>
    <row r="5450" spans="1:8" x14ac:dyDescent="0.3">
      <c r="A5450" s="2">
        <v>804</v>
      </c>
      <c r="B5450" t="s">
        <v>117</v>
      </c>
      <c r="C5450" t="s">
        <v>2</v>
      </c>
      <c r="D5450" s="2">
        <v>1</v>
      </c>
      <c r="E5450" s="11" t="s">
        <v>43</v>
      </c>
      <c r="F5450" t="s">
        <v>114</v>
      </c>
      <c r="G5450" s="2" t="s">
        <v>31</v>
      </c>
      <c r="H5450" s="1">
        <v>74.094000000000008</v>
      </c>
    </row>
    <row r="5451" spans="1:8" x14ac:dyDescent="0.3">
      <c r="A5451" s="2">
        <v>804</v>
      </c>
      <c r="B5451" t="s">
        <v>533</v>
      </c>
      <c r="C5451" t="s">
        <v>1</v>
      </c>
      <c r="D5451" s="2">
        <v>1</v>
      </c>
      <c r="E5451" s="11" t="s">
        <v>76</v>
      </c>
      <c r="F5451" t="s">
        <v>47</v>
      </c>
      <c r="G5451" s="2" t="s">
        <v>31</v>
      </c>
      <c r="H5451" s="1">
        <v>63.494</v>
      </c>
    </row>
    <row r="5452" spans="1:8" x14ac:dyDescent="0.3">
      <c r="A5452" s="2">
        <v>804</v>
      </c>
      <c r="B5452" t="s">
        <v>958</v>
      </c>
      <c r="C5452" t="s">
        <v>2</v>
      </c>
      <c r="D5452" s="2">
        <v>1</v>
      </c>
      <c r="E5452" s="11" t="s">
        <v>43</v>
      </c>
      <c r="F5452" t="s">
        <v>47</v>
      </c>
      <c r="G5452" s="2" t="s">
        <v>31</v>
      </c>
      <c r="H5452" s="1">
        <v>74.094000000000008</v>
      </c>
    </row>
    <row r="5453" spans="1:8" x14ac:dyDescent="0.3">
      <c r="A5453" s="2">
        <v>804</v>
      </c>
      <c r="B5453" t="s">
        <v>957</v>
      </c>
      <c r="C5453" t="s">
        <v>3220</v>
      </c>
      <c r="D5453" s="2">
        <v>1</v>
      </c>
      <c r="E5453" s="11" t="s">
        <v>956</v>
      </c>
      <c r="F5453" t="s">
        <v>47</v>
      </c>
      <c r="G5453" s="2" t="s">
        <v>31</v>
      </c>
      <c r="H5453" s="1">
        <v>47.594000000000001</v>
      </c>
    </row>
    <row r="5454" spans="1:8" x14ac:dyDescent="0.3">
      <c r="A5454" s="2">
        <v>804</v>
      </c>
      <c r="B5454" t="s">
        <v>643</v>
      </c>
      <c r="C5454" t="s">
        <v>3221</v>
      </c>
      <c r="D5454" s="2">
        <v>1</v>
      </c>
      <c r="E5454" s="11" t="s">
        <v>642</v>
      </c>
      <c r="F5454" t="s">
        <v>47</v>
      </c>
      <c r="G5454" s="2" t="s">
        <v>4</v>
      </c>
      <c r="H5454" s="1">
        <v>95.294000000000011</v>
      </c>
    </row>
    <row r="5455" spans="1:8" x14ac:dyDescent="0.3">
      <c r="A5455" s="2">
        <v>804</v>
      </c>
      <c r="B5455" t="s">
        <v>955</v>
      </c>
      <c r="C5455" t="s">
        <v>1</v>
      </c>
      <c r="D5455" s="2">
        <v>1</v>
      </c>
      <c r="E5455" s="11" t="s">
        <v>279</v>
      </c>
      <c r="F5455" t="s">
        <v>47</v>
      </c>
      <c r="G5455" s="2" t="s">
        <v>4</v>
      </c>
      <c r="H5455" s="1">
        <v>47.594000000000001</v>
      </c>
    </row>
    <row r="5456" spans="1:8" x14ac:dyDescent="0.3">
      <c r="A5456" s="2">
        <v>804</v>
      </c>
      <c r="B5456" t="s">
        <v>676</v>
      </c>
      <c r="C5456" t="s">
        <v>3</v>
      </c>
      <c r="D5456" s="2">
        <v>1</v>
      </c>
      <c r="E5456" s="11" t="s">
        <v>675</v>
      </c>
      <c r="F5456" t="s">
        <v>39</v>
      </c>
      <c r="G5456" s="2" t="s">
        <v>31</v>
      </c>
      <c r="H5456" s="1">
        <v>89.994000000000014</v>
      </c>
    </row>
    <row r="5457" spans="1:8" x14ac:dyDescent="0.3">
      <c r="A5457" s="2">
        <v>804</v>
      </c>
      <c r="B5457" t="s">
        <v>155</v>
      </c>
      <c r="C5457" t="s">
        <v>3220</v>
      </c>
      <c r="D5457" s="2">
        <v>1</v>
      </c>
      <c r="E5457" s="11" t="s">
        <v>154</v>
      </c>
      <c r="F5457" t="s">
        <v>39</v>
      </c>
      <c r="G5457" s="2" t="s">
        <v>31</v>
      </c>
      <c r="H5457" s="1">
        <v>84.694000000000017</v>
      </c>
    </row>
    <row r="5458" spans="1:8" x14ac:dyDescent="0.3">
      <c r="A5458" s="2">
        <v>804</v>
      </c>
      <c r="B5458" t="s">
        <v>954</v>
      </c>
      <c r="C5458" t="s">
        <v>3220</v>
      </c>
      <c r="D5458" s="2">
        <v>1</v>
      </c>
      <c r="E5458" s="11" t="s">
        <v>647</v>
      </c>
      <c r="F5458" t="s">
        <v>39</v>
      </c>
      <c r="G5458" s="2" t="s">
        <v>23</v>
      </c>
      <c r="H5458" s="1">
        <v>15.793999999999999</v>
      </c>
    </row>
    <row r="5459" spans="1:8" x14ac:dyDescent="0.3">
      <c r="A5459" s="2">
        <v>804</v>
      </c>
      <c r="B5459" t="s">
        <v>953</v>
      </c>
      <c r="C5459" t="s">
        <v>3238</v>
      </c>
      <c r="D5459" s="2">
        <v>1</v>
      </c>
      <c r="E5459" s="11" t="s">
        <v>952</v>
      </c>
      <c r="F5459" t="s">
        <v>39</v>
      </c>
      <c r="G5459" s="2" t="s">
        <v>23</v>
      </c>
      <c r="H5459" s="1">
        <v>105.89400000000001</v>
      </c>
    </row>
    <row r="5460" spans="1:8" x14ac:dyDescent="0.3">
      <c r="A5460" s="2">
        <v>804</v>
      </c>
      <c r="B5460" t="s">
        <v>951</v>
      </c>
      <c r="C5460" t="s">
        <v>3</v>
      </c>
      <c r="D5460" s="2">
        <v>1</v>
      </c>
      <c r="E5460" s="11" t="s">
        <v>180</v>
      </c>
      <c r="F5460" t="s">
        <v>39</v>
      </c>
      <c r="G5460" s="2" t="s">
        <v>31</v>
      </c>
      <c r="H5460" s="1">
        <v>105.89400000000001</v>
      </c>
    </row>
    <row r="5461" spans="1:8" x14ac:dyDescent="0.3">
      <c r="A5461" s="2">
        <v>804</v>
      </c>
      <c r="B5461" t="s">
        <v>856</v>
      </c>
      <c r="C5461" t="s">
        <v>0</v>
      </c>
      <c r="D5461" s="2">
        <v>1</v>
      </c>
      <c r="E5461" s="11" t="s">
        <v>37</v>
      </c>
      <c r="F5461" t="s">
        <v>39</v>
      </c>
      <c r="G5461" s="2" t="s">
        <v>31</v>
      </c>
      <c r="H5461" s="1">
        <v>132.39400000000001</v>
      </c>
    </row>
    <row r="5462" spans="1:8" x14ac:dyDescent="0.3">
      <c r="A5462" s="2">
        <v>804</v>
      </c>
      <c r="B5462" t="s">
        <v>950</v>
      </c>
      <c r="C5462" t="s">
        <v>1</v>
      </c>
      <c r="D5462" s="2">
        <v>1</v>
      </c>
      <c r="E5462" s="11" t="s">
        <v>599</v>
      </c>
      <c r="F5462" t="s">
        <v>39</v>
      </c>
      <c r="G5462" s="2" t="s">
        <v>31</v>
      </c>
      <c r="H5462" s="1">
        <v>79.394000000000005</v>
      </c>
    </row>
    <row r="5463" spans="1:8" x14ac:dyDescent="0.3">
      <c r="A5463" s="2">
        <v>804</v>
      </c>
      <c r="B5463" t="s">
        <v>949</v>
      </c>
      <c r="C5463" t="s">
        <v>3221</v>
      </c>
      <c r="D5463" s="2">
        <v>1</v>
      </c>
      <c r="E5463" s="11" t="s">
        <v>642</v>
      </c>
      <c r="F5463" t="s">
        <v>39</v>
      </c>
      <c r="G5463" s="2" t="s">
        <v>31</v>
      </c>
      <c r="H5463" s="1">
        <v>95.294000000000011</v>
      </c>
    </row>
    <row r="5464" spans="1:8" x14ac:dyDescent="0.3">
      <c r="A5464" s="2">
        <v>804</v>
      </c>
      <c r="B5464" t="s">
        <v>948</v>
      </c>
      <c r="C5464" t="s">
        <v>0</v>
      </c>
      <c r="D5464" s="2">
        <v>1</v>
      </c>
      <c r="E5464" s="11" t="s">
        <v>37</v>
      </c>
      <c r="F5464" t="s">
        <v>36</v>
      </c>
      <c r="G5464" s="2" t="s">
        <v>31</v>
      </c>
      <c r="H5464" s="1">
        <v>132.39400000000001</v>
      </c>
    </row>
    <row r="5465" spans="1:8" x14ac:dyDescent="0.3">
      <c r="A5465" s="2">
        <v>804</v>
      </c>
      <c r="B5465" t="s">
        <v>705</v>
      </c>
      <c r="C5465" t="s">
        <v>3220</v>
      </c>
      <c r="D5465" s="2">
        <v>1</v>
      </c>
      <c r="E5465" s="11" t="s">
        <v>174</v>
      </c>
      <c r="F5465" t="s">
        <v>28</v>
      </c>
      <c r="G5465" s="2" t="s">
        <v>31</v>
      </c>
      <c r="H5465" s="1">
        <v>74.094000000000008</v>
      </c>
    </row>
    <row r="5466" spans="1:8" x14ac:dyDescent="0.3">
      <c r="A5466" s="2">
        <v>804</v>
      </c>
      <c r="B5466" t="s">
        <v>874</v>
      </c>
      <c r="C5466" t="s">
        <v>3224</v>
      </c>
      <c r="D5466" s="2">
        <v>1</v>
      </c>
      <c r="E5466" s="11" t="s">
        <v>656</v>
      </c>
      <c r="F5466" t="s">
        <v>28</v>
      </c>
      <c r="G5466" s="2" t="s">
        <v>4</v>
      </c>
      <c r="H5466" s="1">
        <v>74.094000000000008</v>
      </c>
    </row>
    <row r="5467" spans="1:8" x14ac:dyDescent="0.3">
      <c r="A5467" s="2">
        <v>804</v>
      </c>
      <c r="B5467" t="s">
        <v>371</v>
      </c>
      <c r="C5467" t="s">
        <v>3220</v>
      </c>
      <c r="D5467" s="2">
        <v>1</v>
      </c>
      <c r="E5467" s="11" t="s">
        <v>140</v>
      </c>
      <c r="F5467" t="s">
        <v>28</v>
      </c>
      <c r="G5467" s="2" t="s">
        <v>4</v>
      </c>
      <c r="H5467" s="1">
        <v>42.294000000000004</v>
      </c>
    </row>
    <row r="5468" spans="1:8" x14ac:dyDescent="0.3">
      <c r="A5468" s="2">
        <v>804</v>
      </c>
      <c r="B5468" t="s">
        <v>947</v>
      </c>
      <c r="C5468" t="s">
        <v>3220</v>
      </c>
      <c r="D5468" s="2">
        <v>1</v>
      </c>
      <c r="E5468" s="11" t="s">
        <v>700</v>
      </c>
      <c r="F5468" t="s">
        <v>24</v>
      </c>
      <c r="G5468" s="2" t="s">
        <v>4</v>
      </c>
      <c r="H5468" s="1">
        <v>15.793999999999999</v>
      </c>
    </row>
    <row r="5469" spans="1:8" x14ac:dyDescent="0.3">
      <c r="A5469" s="2">
        <v>804</v>
      </c>
      <c r="B5469" t="s">
        <v>639</v>
      </c>
      <c r="C5469" t="s">
        <v>3220</v>
      </c>
      <c r="D5469" s="2">
        <v>1</v>
      </c>
      <c r="E5469" s="11" t="s">
        <v>637</v>
      </c>
      <c r="F5469" t="s">
        <v>24</v>
      </c>
      <c r="G5469" s="2" t="s">
        <v>31</v>
      </c>
      <c r="H5469" s="1">
        <v>15.793999999999999</v>
      </c>
    </row>
    <row r="5470" spans="1:8" x14ac:dyDescent="0.3">
      <c r="A5470" s="2">
        <v>805</v>
      </c>
      <c r="B5470" t="s">
        <v>946</v>
      </c>
      <c r="C5470" t="s">
        <v>3233</v>
      </c>
      <c r="D5470" s="2">
        <v>1</v>
      </c>
      <c r="E5470" s="11" t="s">
        <v>790</v>
      </c>
      <c r="F5470" t="s">
        <v>114</v>
      </c>
      <c r="G5470" s="2" t="s">
        <v>23</v>
      </c>
      <c r="H5470" s="1">
        <v>74.094000000000008</v>
      </c>
    </row>
    <row r="5471" spans="1:8" x14ac:dyDescent="0.3">
      <c r="A5471" s="2">
        <v>805</v>
      </c>
      <c r="B5471" t="s">
        <v>900</v>
      </c>
      <c r="C5471" t="s">
        <v>3225</v>
      </c>
      <c r="D5471" s="2">
        <v>1</v>
      </c>
      <c r="E5471" s="11" t="s">
        <v>527</v>
      </c>
      <c r="F5471" t="s">
        <v>114</v>
      </c>
      <c r="G5471" s="2" t="s">
        <v>23</v>
      </c>
      <c r="H5471" s="1">
        <v>227.79400000000001</v>
      </c>
    </row>
    <row r="5472" spans="1:8" x14ac:dyDescent="0.3">
      <c r="A5472" s="2">
        <v>805</v>
      </c>
      <c r="B5472" t="s">
        <v>791</v>
      </c>
      <c r="C5472" t="s">
        <v>3233</v>
      </c>
      <c r="D5472" s="2">
        <v>1</v>
      </c>
      <c r="E5472" s="11" t="s">
        <v>790</v>
      </c>
      <c r="F5472" t="s">
        <v>47</v>
      </c>
      <c r="G5472" s="2" t="s">
        <v>31</v>
      </c>
      <c r="H5472" s="1">
        <v>74.094000000000008</v>
      </c>
    </row>
    <row r="5473" spans="1:8" x14ac:dyDescent="0.3">
      <c r="A5473" s="2">
        <v>805</v>
      </c>
      <c r="B5473" t="s">
        <v>945</v>
      </c>
      <c r="C5473" t="s">
        <v>3233</v>
      </c>
      <c r="D5473" s="2">
        <v>1</v>
      </c>
      <c r="E5473" s="11" t="s">
        <v>790</v>
      </c>
      <c r="F5473" t="s">
        <v>47</v>
      </c>
      <c r="G5473" s="2" t="s">
        <v>23</v>
      </c>
      <c r="H5473" s="1">
        <v>74.094000000000008</v>
      </c>
    </row>
    <row r="5474" spans="1:8" x14ac:dyDescent="0.3">
      <c r="A5474" s="2">
        <v>805</v>
      </c>
      <c r="B5474" t="s">
        <v>212</v>
      </c>
      <c r="C5474" t="s">
        <v>3224</v>
      </c>
      <c r="D5474" s="2">
        <v>1</v>
      </c>
      <c r="E5474" s="11" t="s">
        <v>211</v>
      </c>
      <c r="F5474" t="s">
        <v>47</v>
      </c>
      <c r="G5474" s="2" t="s">
        <v>31</v>
      </c>
      <c r="H5474" s="1">
        <v>63.494000000000007</v>
      </c>
    </row>
    <row r="5475" spans="1:8" x14ac:dyDescent="0.3">
      <c r="A5475" s="2">
        <v>805</v>
      </c>
      <c r="B5475" t="s">
        <v>944</v>
      </c>
      <c r="C5475" t="s">
        <v>3224</v>
      </c>
      <c r="D5475" s="2">
        <v>1</v>
      </c>
      <c r="E5475" s="11" t="s">
        <v>211</v>
      </c>
      <c r="F5475" t="s">
        <v>47</v>
      </c>
      <c r="G5475" s="2" t="s">
        <v>23</v>
      </c>
      <c r="H5475" s="1">
        <v>63.494000000000007</v>
      </c>
    </row>
    <row r="5476" spans="1:8" x14ac:dyDescent="0.3">
      <c r="A5476" s="2">
        <v>805</v>
      </c>
      <c r="B5476" t="s">
        <v>924</v>
      </c>
      <c r="C5476" t="s">
        <v>3225</v>
      </c>
      <c r="D5476" s="2">
        <v>1</v>
      </c>
      <c r="E5476" s="11" t="s">
        <v>527</v>
      </c>
      <c r="F5476" t="s">
        <v>47</v>
      </c>
      <c r="G5476" s="2" t="s">
        <v>31</v>
      </c>
      <c r="H5476" s="1">
        <v>227.79400000000001</v>
      </c>
    </row>
    <row r="5477" spans="1:8" x14ac:dyDescent="0.3">
      <c r="A5477" s="2">
        <v>805</v>
      </c>
      <c r="B5477" t="s">
        <v>917</v>
      </c>
      <c r="C5477" t="s">
        <v>3225</v>
      </c>
      <c r="D5477" s="2">
        <v>1</v>
      </c>
      <c r="E5477" s="11" t="s">
        <v>527</v>
      </c>
      <c r="F5477" t="s">
        <v>47</v>
      </c>
      <c r="G5477" s="2" t="s">
        <v>23</v>
      </c>
      <c r="H5477" s="1">
        <v>227.79400000000001</v>
      </c>
    </row>
    <row r="5478" spans="1:8" x14ac:dyDescent="0.3">
      <c r="A5478" s="2">
        <v>805</v>
      </c>
      <c r="B5478" t="s">
        <v>914</v>
      </c>
      <c r="C5478" t="s">
        <v>3224</v>
      </c>
      <c r="D5478" s="2">
        <v>1</v>
      </c>
      <c r="E5478" s="11" t="s">
        <v>494</v>
      </c>
      <c r="F5478" t="s">
        <v>47</v>
      </c>
      <c r="G5478" s="2" t="s">
        <v>23</v>
      </c>
      <c r="H5478" s="1">
        <v>47.594000000000001</v>
      </c>
    </row>
    <row r="5479" spans="1:8" x14ac:dyDescent="0.3">
      <c r="A5479" s="2">
        <v>805</v>
      </c>
      <c r="B5479" t="s">
        <v>930</v>
      </c>
      <c r="C5479" t="s">
        <v>3219</v>
      </c>
      <c r="D5479" s="2">
        <v>1</v>
      </c>
      <c r="E5479" s="11" t="s">
        <v>234</v>
      </c>
      <c r="F5479" t="s">
        <v>47</v>
      </c>
      <c r="G5479" s="2" t="s">
        <v>23</v>
      </c>
      <c r="H5479" s="1">
        <v>142.994</v>
      </c>
    </row>
    <row r="5480" spans="1:8" x14ac:dyDescent="0.3">
      <c r="A5480" s="2">
        <v>805</v>
      </c>
      <c r="B5480" t="s">
        <v>210</v>
      </c>
      <c r="C5480" t="s">
        <v>3219</v>
      </c>
      <c r="D5480" s="2">
        <v>1</v>
      </c>
      <c r="E5480" s="11" t="s">
        <v>209</v>
      </c>
      <c r="F5480" t="s">
        <v>47</v>
      </c>
      <c r="G5480" s="2" t="s">
        <v>31</v>
      </c>
      <c r="H5480" s="1">
        <v>164.19400000000002</v>
      </c>
    </row>
    <row r="5481" spans="1:8" x14ac:dyDescent="0.3">
      <c r="A5481" s="2">
        <v>805</v>
      </c>
      <c r="B5481" t="s">
        <v>580</v>
      </c>
      <c r="C5481" t="s">
        <v>3219</v>
      </c>
      <c r="D5481" s="2">
        <v>1</v>
      </c>
      <c r="E5481" s="11" t="s">
        <v>209</v>
      </c>
      <c r="F5481" t="s">
        <v>47</v>
      </c>
      <c r="G5481" s="2" t="s">
        <v>23</v>
      </c>
      <c r="H5481" s="1">
        <v>164.19400000000002</v>
      </c>
    </row>
    <row r="5482" spans="1:8" x14ac:dyDescent="0.3">
      <c r="A5482" s="2">
        <v>806</v>
      </c>
      <c r="B5482" t="s">
        <v>591</v>
      </c>
      <c r="C5482" t="s">
        <v>0</v>
      </c>
      <c r="D5482" s="2">
        <v>1</v>
      </c>
      <c r="E5482" s="11" t="s">
        <v>291</v>
      </c>
      <c r="F5482" t="s">
        <v>398</v>
      </c>
      <c r="G5482" s="2" t="s">
        <v>4</v>
      </c>
      <c r="H5482" s="1">
        <v>164.19400000000002</v>
      </c>
    </row>
    <row r="5483" spans="1:8" x14ac:dyDescent="0.3">
      <c r="A5483" s="2">
        <v>806</v>
      </c>
      <c r="B5483" t="s">
        <v>399</v>
      </c>
      <c r="C5483" t="s">
        <v>0</v>
      </c>
      <c r="D5483" s="2">
        <v>1</v>
      </c>
      <c r="E5483" s="11" t="s">
        <v>291</v>
      </c>
      <c r="F5483" t="s">
        <v>398</v>
      </c>
      <c r="G5483" s="2" t="s">
        <v>31</v>
      </c>
      <c r="H5483" s="1">
        <v>164.19400000000002</v>
      </c>
    </row>
    <row r="5484" spans="1:8" x14ac:dyDescent="0.3">
      <c r="A5484" s="2">
        <v>806</v>
      </c>
      <c r="B5484" t="s">
        <v>943</v>
      </c>
      <c r="C5484" t="s">
        <v>0</v>
      </c>
      <c r="D5484" s="2">
        <v>1</v>
      </c>
      <c r="E5484" s="11" t="s">
        <v>291</v>
      </c>
      <c r="F5484" t="s">
        <v>398</v>
      </c>
      <c r="G5484" s="2" t="s">
        <v>23</v>
      </c>
      <c r="H5484" s="1">
        <v>164.19400000000002</v>
      </c>
    </row>
    <row r="5485" spans="1:8" x14ac:dyDescent="0.3">
      <c r="A5485" s="2">
        <v>806</v>
      </c>
      <c r="B5485" t="s">
        <v>841</v>
      </c>
      <c r="C5485" t="s">
        <v>0</v>
      </c>
      <c r="D5485" s="2">
        <v>1</v>
      </c>
      <c r="E5485" s="11" t="s">
        <v>396</v>
      </c>
      <c r="F5485" t="s">
        <v>398</v>
      </c>
      <c r="G5485" s="2" t="s">
        <v>4</v>
      </c>
      <c r="H5485" s="1">
        <v>164.19400000000002</v>
      </c>
    </row>
    <row r="5486" spans="1:8" x14ac:dyDescent="0.3">
      <c r="A5486" s="2">
        <v>806</v>
      </c>
      <c r="B5486" t="s">
        <v>817</v>
      </c>
      <c r="C5486" t="s">
        <v>0</v>
      </c>
      <c r="D5486" s="2">
        <v>1</v>
      </c>
      <c r="E5486" s="11" t="s">
        <v>396</v>
      </c>
      <c r="F5486" t="s">
        <v>398</v>
      </c>
      <c r="G5486" s="2" t="s">
        <v>31</v>
      </c>
      <c r="H5486" s="1">
        <v>164.19400000000002</v>
      </c>
    </row>
    <row r="5487" spans="1:8" x14ac:dyDescent="0.3">
      <c r="A5487" s="2">
        <v>806</v>
      </c>
      <c r="B5487" t="s">
        <v>942</v>
      </c>
      <c r="C5487" t="s">
        <v>0</v>
      </c>
      <c r="D5487" s="2">
        <v>1</v>
      </c>
      <c r="E5487" s="11" t="s">
        <v>396</v>
      </c>
      <c r="F5487" t="s">
        <v>398</v>
      </c>
      <c r="G5487" s="2" t="s">
        <v>23</v>
      </c>
      <c r="H5487" s="1">
        <v>164.19400000000002</v>
      </c>
    </row>
    <row r="5488" spans="1:8" x14ac:dyDescent="0.3">
      <c r="A5488" s="2">
        <v>806</v>
      </c>
      <c r="B5488" t="s">
        <v>865</v>
      </c>
      <c r="C5488" t="s">
        <v>1</v>
      </c>
      <c r="D5488" s="2">
        <v>1</v>
      </c>
      <c r="E5488" s="11" t="s">
        <v>807</v>
      </c>
      <c r="F5488" t="s">
        <v>28</v>
      </c>
      <c r="G5488" s="2" t="s">
        <v>4</v>
      </c>
      <c r="H5488" s="1">
        <v>79.394000000000005</v>
      </c>
    </row>
    <row r="5489" spans="1:8" x14ac:dyDescent="0.3">
      <c r="A5489" s="2">
        <v>806</v>
      </c>
      <c r="B5489" t="s">
        <v>808</v>
      </c>
      <c r="C5489" t="s">
        <v>1</v>
      </c>
      <c r="D5489" s="2">
        <v>1</v>
      </c>
      <c r="E5489" s="11" t="s">
        <v>807</v>
      </c>
      <c r="F5489" t="s">
        <v>55</v>
      </c>
      <c r="G5489" s="2" t="s">
        <v>31</v>
      </c>
      <c r="H5489" s="1">
        <v>79.394000000000005</v>
      </c>
    </row>
    <row r="5490" spans="1:8" x14ac:dyDescent="0.3">
      <c r="A5490" s="2">
        <v>806</v>
      </c>
      <c r="B5490" t="s">
        <v>941</v>
      </c>
      <c r="C5490" t="s">
        <v>1</v>
      </c>
      <c r="D5490" s="2">
        <v>1</v>
      </c>
      <c r="E5490" s="11" t="s">
        <v>807</v>
      </c>
      <c r="F5490" t="s">
        <v>55</v>
      </c>
      <c r="G5490" s="2" t="s">
        <v>23</v>
      </c>
      <c r="H5490" s="1">
        <v>79.394000000000005</v>
      </c>
    </row>
    <row r="5491" spans="1:8" x14ac:dyDescent="0.3">
      <c r="A5491" s="2">
        <v>806</v>
      </c>
      <c r="B5491" t="s">
        <v>659</v>
      </c>
      <c r="C5491" t="s">
        <v>3224</v>
      </c>
      <c r="D5491" s="2">
        <v>1</v>
      </c>
      <c r="E5491" s="11" t="s">
        <v>656</v>
      </c>
      <c r="F5491" t="s">
        <v>114</v>
      </c>
      <c r="G5491" s="2" t="s">
        <v>4</v>
      </c>
      <c r="H5491" s="1">
        <v>74.094000000000008</v>
      </c>
    </row>
    <row r="5492" spans="1:8" x14ac:dyDescent="0.3">
      <c r="A5492" s="2">
        <v>806</v>
      </c>
      <c r="B5492" t="s">
        <v>658</v>
      </c>
      <c r="C5492" t="s">
        <v>3224</v>
      </c>
      <c r="D5492" s="2">
        <v>1</v>
      </c>
      <c r="E5492" s="11" t="s">
        <v>656</v>
      </c>
      <c r="F5492" t="s">
        <v>114</v>
      </c>
      <c r="G5492" s="2" t="s">
        <v>31</v>
      </c>
      <c r="H5492" s="1">
        <v>74.094000000000008</v>
      </c>
    </row>
    <row r="5493" spans="1:8" x14ac:dyDescent="0.3">
      <c r="A5493" s="2">
        <v>806</v>
      </c>
      <c r="B5493" t="s">
        <v>657</v>
      </c>
      <c r="C5493" t="s">
        <v>3224</v>
      </c>
      <c r="D5493" s="2">
        <v>1</v>
      </c>
      <c r="E5493" s="11" t="s">
        <v>656</v>
      </c>
      <c r="F5493" t="s">
        <v>114</v>
      </c>
      <c r="G5493" s="2" t="s">
        <v>23</v>
      </c>
      <c r="H5493" s="1">
        <v>74.094000000000008</v>
      </c>
    </row>
    <row r="5494" spans="1:8" x14ac:dyDescent="0.3">
      <c r="A5494" s="2">
        <v>806</v>
      </c>
      <c r="B5494" t="s">
        <v>497</v>
      </c>
      <c r="C5494" t="s">
        <v>1</v>
      </c>
      <c r="D5494" s="2">
        <v>1</v>
      </c>
      <c r="E5494" s="11" t="s">
        <v>485</v>
      </c>
      <c r="F5494" t="s">
        <v>36</v>
      </c>
      <c r="G5494" s="2" t="s">
        <v>4</v>
      </c>
      <c r="H5494" s="1">
        <v>100.59400000000001</v>
      </c>
    </row>
    <row r="5495" spans="1:8" x14ac:dyDescent="0.3">
      <c r="A5495" s="2">
        <v>806</v>
      </c>
      <c r="B5495" t="s">
        <v>940</v>
      </c>
      <c r="C5495" t="s">
        <v>1</v>
      </c>
      <c r="D5495" s="2">
        <v>1</v>
      </c>
      <c r="E5495" s="11" t="s">
        <v>485</v>
      </c>
      <c r="F5495" t="s">
        <v>36</v>
      </c>
      <c r="G5495" s="2" t="s">
        <v>31</v>
      </c>
      <c r="H5495" s="1">
        <v>100.59400000000001</v>
      </c>
    </row>
    <row r="5496" spans="1:8" x14ac:dyDescent="0.3">
      <c r="A5496" s="2">
        <v>806</v>
      </c>
      <c r="B5496" t="s">
        <v>939</v>
      </c>
      <c r="C5496" t="s">
        <v>1</v>
      </c>
      <c r="D5496" s="2">
        <v>1</v>
      </c>
      <c r="E5496" s="11" t="s">
        <v>485</v>
      </c>
      <c r="F5496" t="s">
        <v>36</v>
      </c>
      <c r="G5496" s="2" t="s">
        <v>23</v>
      </c>
      <c r="H5496" s="1">
        <v>100.59400000000001</v>
      </c>
    </row>
    <row r="5497" spans="1:8" x14ac:dyDescent="0.3">
      <c r="A5497" s="2">
        <v>806</v>
      </c>
      <c r="B5497" t="s">
        <v>938</v>
      </c>
      <c r="C5497" t="s">
        <v>3220</v>
      </c>
      <c r="D5497" s="2">
        <v>1</v>
      </c>
      <c r="E5497" s="11" t="s">
        <v>595</v>
      </c>
      <c r="F5497" t="s">
        <v>28</v>
      </c>
      <c r="G5497" s="2" t="s">
        <v>4</v>
      </c>
      <c r="H5497" s="1">
        <v>58.19400000000001</v>
      </c>
    </row>
    <row r="5498" spans="1:8" x14ac:dyDescent="0.3">
      <c r="A5498" s="2">
        <v>806</v>
      </c>
      <c r="B5498" t="s">
        <v>937</v>
      </c>
      <c r="C5498" t="s">
        <v>3220</v>
      </c>
      <c r="D5498" s="2">
        <v>1</v>
      </c>
      <c r="E5498" s="11" t="s">
        <v>595</v>
      </c>
      <c r="F5498" t="s">
        <v>28</v>
      </c>
      <c r="G5498" s="2" t="s">
        <v>31</v>
      </c>
      <c r="H5498" s="1">
        <v>58.19400000000001</v>
      </c>
    </row>
    <row r="5499" spans="1:8" x14ac:dyDescent="0.3">
      <c r="A5499" s="2">
        <v>806</v>
      </c>
      <c r="B5499" t="s">
        <v>596</v>
      </c>
      <c r="C5499" t="s">
        <v>3220</v>
      </c>
      <c r="D5499" s="2">
        <v>1</v>
      </c>
      <c r="E5499" s="11" t="s">
        <v>595</v>
      </c>
      <c r="F5499" t="s">
        <v>28</v>
      </c>
      <c r="G5499" s="2" t="s">
        <v>23</v>
      </c>
      <c r="H5499" s="1">
        <v>58.19400000000001</v>
      </c>
    </row>
    <row r="5500" spans="1:8" x14ac:dyDescent="0.3">
      <c r="A5500" s="2">
        <v>807</v>
      </c>
      <c r="B5500" t="s">
        <v>936</v>
      </c>
      <c r="C5500" t="s">
        <v>3233</v>
      </c>
      <c r="D5500" s="2">
        <v>1</v>
      </c>
      <c r="E5500" s="11" t="s">
        <v>815</v>
      </c>
      <c r="F5500" t="s">
        <v>398</v>
      </c>
      <c r="G5500" s="2" t="s">
        <v>31</v>
      </c>
      <c r="H5500" s="1">
        <v>79.394000000000005</v>
      </c>
    </row>
    <row r="5501" spans="1:8" x14ac:dyDescent="0.3">
      <c r="A5501" s="2">
        <v>807</v>
      </c>
      <c r="B5501" t="s">
        <v>935</v>
      </c>
      <c r="C5501" t="s">
        <v>3219</v>
      </c>
      <c r="D5501" s="2">
        <v>1</v>
      </c>
      <c r="E5501" s="11" t="s">
        <v>367</v>
      </c>
      <c r="F5501" t="s">
        <v>62</v>
      </c>
      <c r="G5501" s="2" t="s">
        <v>4</v>
      </c>
      <c r="H5501" s="1">
        <v>148.29400000000001</v>
      </c>
    </row>
    <row r="5502" spans="1:8" x14ac:dyDescent="0.3">
      <c r="A5502" s="2">
        <v>807</v>
      </c>
      <c r="B5502" t="s">
        <v>893</v>
      </c>
      <c r="C5502" t="s">
        <v>3219</v>
      </c>
      <c r="D5502" s="2">
        <v>1</v>
      </c>
      <c r="E5502" s="11" t="s">
        <v>892</v>
      </c>
      <c r="F5502" t="s">
        <v>55</v>
      </c>
      <c r="G5502" s="2" t="s">
        <v>31</v>
      </c>
      <c r="H5502" s="1">
        <v>158.89400000000001</v>
      </c>
    </row>
    <row r="5503" spans="1:8" x14ac:dyDescent="0.3">
      <c r="A5503" s="2">
        <v>807</v>
      </c>
      <c r="B5503" t="s">
        <v>934</v>
      </c>
      <c r="C5503" t="s">
        <v>3219</v>
      </c>
      <c r="D5503" s="2">
        <v>1</v>
      </c>
      <c r="E5503" s="11" t="s">
        <v>892</v>
      </c>
      <c r="F5503" t="s">
        <v>55</v>
      </c>
      <c r="G5503" s="2" t="s">
        <v>23</v>
      </c>
      <c r="H5503" s="1">
        <v>158.89400000000001</v>
      </c>
    </row>
    <row r="5504" spans="1:8" x14ac:dyDescent="0.3">
      <c r="A5504" s="2">
        <v>807</v>
      </c>
      <c r="B5504" t="s">
        <v>933</v>
      </c>
      <c r="C5504" t="s">
        <v>3225</v>
      </c>
      <c r="D5504" s="2">
        <v>1</v>
      </c>
      <c r="E5504" s="11" t="s">
        <v>932</v>
      </c>
      <c r="F5504" t="s">
        <v>47</v>
      </c>
      <c r="G5504" s="2" t="s">
        <v>4</v>
      </c>
      <c r="H5504" s="1">
        <v>174.79400000000001</v>
      </c>
    </row>
    <row r="5505" spans="1:8" x14ac:dyDescent="0.3">
      <c r="A5505" s="2">
        <v>807</v>
      </c>
      <c r="B5505" t="s">
        <v>212</v>
      </c>
      <c r="C5505" t="s">
        <v>3224</v>
      </c>
      <c r="D5505" s="2">
        <v>1</v>
      </c>
      <c r="E5505" s="11" t="s">
        <v>211</v>
      </c>
      <c r="F5505" t="s">
        <v>47</v>
      </c>
      <c r="G5505" s="2" t="s">
        <v>31</v>
      </c>
      <c r="H5505" s="1">
        <v>63.494000000000007</v>
      </c>
    </row>
    <row r="5506" spans="1:8" x14ac:dyDescent="0.3">
      <c r="A5506" s="2">
        <v>807</v>
      </c>
      <c r="B5506" t="s">
        <v>924</v>
      </c>
      <c r="C5506" t="s">
        <v>3225</v>
      </c>
      <c r="D5506" s="2">
        <v>1</v>
      </c>
      <c r="E5506" s="11" t="s">
        <v>527</v>
      </c>
      <c r="F5506" t="s">
        <v>47</v>
      </c>
      <c r="G5506" s="2" t="s">
        <v>31</v>
      </c>
      <c r="H5506" s="1">
        <v>227.79400000000001</v>
      </c>
    </row>
    <row r="5507" spans="1:8" x14ac:dyDescent="0.3">
      <c r="A5507" s="2">
        <v>807</v>
      </c>
      <c r="B5507" t="s">
        <v>931</v>
      </c>
      <c r="C5507" t="s">
        <v>3233</v>
      </c>
      <c r="D5507" s="2">
        <v>1</v>
      </c>
      <c r="E5507" s="11" t="s">
        <v>815</v>
      </c>
      <c r="F5507" t="s">
        <v>47</v>
      </c>
      <c r="G5507" s="2" t="s">
        <v>23</v>
      </c>
      <c r="H5507" s="1">
        <v>79.394000000000005</v>
      </c>
    </row>
    <row r="5508" spans="1:8" x14ac:dyDescent="0.3">
      <c r="A5508" s="2">
        <v>807</v>
      </c>
      <c r="B5508" t="s">
        <v>930</v>
      </c>
      <c r="C5508" t="s">
        <v>3219</v>
      </c>
      <c r="D5508" s="2">
        <v>1</v>
      </c>
      <c r="E5508" s="11" t="s">
        <v>234</v>
      </c>
      <c r="F5508" t="s">
        <v>47</v>
      </c>
      <c r="G5508" s="2" t="s">
        <v>23</v>
      </c>
      <c r="H5508" s="1">
        <v>142.994</v>
      </c>
    </row>
    <row r="5509" spans="1:8" x14ac:dyDescent="0.3">
      <c r="A5509" s="2">
        <v>807</v>
      </c>
      <c r="B5509" t="s">
        <v>929</v>
      </c>
      <c r="C5509" t="s">
        <v>3219</v>
      </c>
      <c r="D5509" s="2">
        <v>1</v>
      </c>
      <c r="E5509" s="11" t="s">
        <v>367</v>
      </c>
      <c r="F5509" t="s">
        <v>39</v>
      </c>
      <c r="G5509" s="2" t="s">
        <v>4</v>
      </c>
      <c r="H5509" s="1">
        <v>148.29400000000001</v>
      </c>
    </row>
    <row r="5510" spans="1:8" x14ac:dyDescent="0.3">
      <c r="A5510" s="2">
        <v>807</v>
      </c>
      <c r="B5510" t="s">
        <v>822</v>
      </c>
      <c r="C5510" t="s">
        <v>3224</v>
      </c>
      <c r="D5510" s="2">
        <v>1</v>
      </c>
      <c r="E5510" s="11" t="s">
        <v>191</v>
      </c>
      <c r="F5510" t="s">
        <v>36</v>
      </c>
      <c r="G5510" s="2" t="s">
        <v>31</v>
      </c>
      <c r="H5510" s="1">
        <v>63.494000000000007</v>
      </c>
    </row>
    <row r="5511" spans="1:8" x14ac:dyDescent="0.3">
      <c r="A5511" s="2">
        <v>807</v>
      </c>
      <c r="B5511" t="s">
        <v>928</v>
      </c>
      <c r="C5511" t="s">
        <v>3224</v>
      </c>
      <c r="D5511" s="2">
        <v>1</v>
      </c>
      <c r="E5511" s="11" t="s">
        <v>462</v>
      </c>
      <c r="F5511" t="s">
        <v>28</v>
      </c>
      <c r="G5511" s="2" t="s">
        <v>31</v>
      </c>
      <c r="H5511" s="1">
        <v>79.394000000000005</v>
      </c>
    </row>
    <row r="5512" spans="1:8" x14ac:dyDescent="0.3">
      <c r="A5512" s="2">
        <v>807</v>
      </c>
      <c r="B5512" t="s">
        <v>885</v>
      </c>
      <c r="C5512" t="s">
        <v>3225</v>
      </c>
      <c r="D5512" s="2">
        <v>1</v>
      </c>
      <c r="E5512" s="11" t="s">
        <v>176</v>
      </c>
      <c r="F5512" t="s">
        <v>28</v>
      </c>
      <c r="G5512" s="2" t="s">
        <v>31</v>
      </c>
      <c r="H5512" s="1">
        <v>153.59400000000002</v>
      </c>
    </row>
    <row r="5513" spans="1:8" x14ac:dyDescent="0.3">
      <c r="A5513" s="2">
        <v>808</v>
      </c>
      <c r="B5513" t="s">
        <v>808</v>
      </c>
      <c r="C5513" t="s">
        <v>1</v>
      </c>
      <c r="D5513" s="2">
        <v>1</v>
      </c>
      <c r="E5513" s="11" t="s">
        <v>807</v>
      </c>
      <c r="F5513" t="s">
        <v>55</v>
      </c>
      <c r="G5513" s="2" t="s">
        <v>31</v>
      </c>
      <c r="H5513" s="1">
        <v>79.394000000000005</v>
      </c>
    </row>
    <row r="5514" spans="1:8" x14ac:dyDescent="0.3">
      <c r="A5514" s="2">
        <v>808</v>
      </c>
      <c r="B5514" t="s">
        <v>806</v>
      </c>
      <c r="C5514" t="s">
        <v>1</v>
      </c>
      <c r="D5514" s="2">
        <v>1</v>
      </c>
      <c r="E5514" s="11" t="s">
        <v>805</v>
      </c>
      <c r="F5514" t="s">
        <v>55</v>
      </c>
      <c r="G5514" s="2" t="s">
        <v>31</v>
      </c>
      <c r="H5514" s="1">
        <v>89.994000000000014</v>
      </c>
    </row>
    <row r="5515" spans="1:8" x14ac:dyDescent="0.3">
      <c r="A5515" s="2">
        <v>808</v>
      </c>
      <c r="B5515" t="s">
        <v>505</v>
      </c>
      <c r="C5515" t="s">
        <v>3224</v>
      </c>
      <c r="D5515" s="2">
        <v>2</v>
      </c>
      <c r="E5515" s="11" t="s">
        <v>191</v>
      </c>
      <c r="F5515" t="s">
        <v>114</v>
      </c>
      <c r="G5515" s="2" t="s">
        <v>23</v>
      </c>
      <c r="H5515" s="1">
        <v>63.494000000000007</v>
      </c>
    </row>
    <row r="5516" spans="1:8" x14ac:dyDescent="0.3">
      <c r="A5516" s="2">
        <v>808</v>
      </c>
      <c r="B5516" t="s">
        <v>804</v>
      </c>
      <c r="C5516" t="s">
        <v>3219</v>
      </c>
      <c r="D5516" s="2">
        <v>1</v>
      </c>
      <c r="E5516" s="11" t="s">
        <v>209</v>
      </c>
      <c r="F5516" t="s">
        <v>114</v>
      </c>
      <c r="G5516" s="2" t="s">
        <v>23</v>
      </c>
      <c r="H5516" s="1">
        <v>164.19400000000002</v>
      </c>
    </row>
    <row r="5517" spans="1:8" x14ac:dyDescent="0.3">
      <c r="A5517" s="2">
        <v>808</v>
      </c>
      <c r="B5517" t="s">
        <v>224</v>
      </c>
      <c r="C5517" t="s">
        <v>3224</v>
      </c>
      <c r="D5517" s="2">
        <v>1</v>
      </c>
      <c r="E5517" s="11" t="s">
        <v>191</v>
      </c>
      <c r="F5517" t="s">
        <v>47</v>
      </c>
      <c r="G5517" s="2" t="s">
        <v>23</v>
      </c>
      <c r="H5517" s="1">
        <v>63.494000000000007</v>
      </c>
    </row>
    <row r="5518" spans="1:8" x14ac:dyDescent="0.3">
      <c r="A5518" s="2">
        <v>808</v>
      </c>
      <c r="B5518" t="s">
        <v>801</v>
      </c>
      <c r="C5518" t="s">
        <v>3225</v>
      </c>
      <c r="D5518" s="2">
        <v>1</v>
      </c>
      <c r="E5518" s="11" t="s">
        <v>491</v>
      </c>
      <c r="F5518" t="s">
        <v>47</v>
      </c>
      <c r="G5518" s="2" t="s">
        <v>23</v>
      </c>
      <c r="H5518" s="1">
        <v>164.19400000000002</v>
      </c>
    </row>
    <row r="5519" spans="1:8" x14ac:dyDescent="0.3">
      <c r="A5519" s="2">
        <v>808</v>
      </c>
      <c r="B5519" t="s">
        <v>788</v>
      </c>
      <c r="C5519" t="s">
        <v>3225</v>
      </c>
      <c r="D5519" s="2">
        <v>1</v>
      </c>
      <c r="E5519" s="11" t="s">
        <v>176</v>
      </c>
      <c r="F5519" t="s">
        <v>47</v>
      </c>
      <c r="G5519" s="2" t="s">
        <v>31</v>
      </c>
      <c r="H5519" s="1">
        <v>153.59400000000002</v>
      </c>
    </row>
    <row r="5520" spans="1:8" x14ac:dyDescent="0.3">
      <c r="A5520" s="2">
        <v>808</v>
      </c>
      <c r="B5520" t="s">
        <v>927</v>
      </c>
      <c r="C5520" t="s">
        <v>3219</v>
      </c>
      <c r="D5520" s="2">
        <v>1</v>
      </c>
      <c r="E5520" s="11" t="s">
        <v>367</v>
      </c>
      <c r="F5520" t="s">
        <v>39</v>
      </c>
      <c r="G5520" s="2" t="s">
        <v>23</v>
      </c>
      <c r="H5520" s="1">
        <v>148.29400000000001</v>
      </c>
    </row>
    <row r="5521" spans="1:8" x14ac:dyDescent="0.3">
      <c r="A5521" s="2">
        <v>808</v>
      </c>
      <c r="B5521" t="s">
        <v>798</v>
      </c>
      <c r="C5521" t="s">
        <v>3219</v>
      </c>
      <c r="D5521" s="2">
        <v>1</v>
      </c>
      <c r="E5521" s="11" t="s">
        <v>234</v>
      </c>
      <c r="F5521" t="s">
        <v>39</v>
      </c>
      <c r="G5521" s="2" t="s">
        <v>4</v>
      </c>
      <c r="H5521" s="1">
        <v>142.994</v>
      </c>
    </row>
    <row r="5522" spans="1:8" x14ac:dyDescent="0.3">
      <c r="A5522" s="2">
        <v>808</v>
      </c>
      <c r="B5522" t="s">
        <v>192</v>
      </c>
      <c r="C5522" t="s">
        <v>3224</v>
      </c>
      <c r="D5522" s="2">
        <v>1</v>
      </c>
      <c r="E5522" s="11" t="s">
        <v>191</v>
      </c>
      <c r="F5522" t="s">
        <v>36</v>
      </c>
      <c r="G5522" s="2" t="s">
        <v>23</v>
      </c>
      <c r="H5522" s="1">
        <v>63.494000000000007</v>
      </c>
    </row>
    <row r="5523" spans="1:8" x14ac:dyDescent="0.3">
      <c r="A5523" s="2">
        <v>808</v>
      </c>
      <c r="B5523" t="s">
        <v>796</v>
      </c>
      <c r="C5523" t="s">
        <v>0</v>
      </c>
      <c r="D5523" s="2">
        <v>1</v>
      </c>
      <c r="E5523" s="11" t="s">
        <v>593</v>
      </c>
      <c r="F5523" t="s">
        <v>28</v>
      </c>
      <c r="G5523" s="2" t="s">
        <v>23</v>
      </c>
      <c r="H5523" s="1">
        <v>180.09400000000002</v>
      </c>
    </row>
    <row r="5524" spans="1:8" x14ac:dyDescent="0.3">
      <c r="A5524" s="2">
        <v>809</v>
      </c>
      <c r="B5524" t="s">
        <v>894</v>
      </c>
      <c r="C5524" t="s">
        <v>3225</v>
      </c>
      <c r="D5524" s="2">
        <v>1</v>
      </c>
      <c r="E5524" s="11" t="s">
        <v>886</v>
      </c>
      <c r="F5524" t="s">
        <v>254</v>
      </c>
      <c r="G5524" s="2" t="s">
        <v>23</v>
      </c>
      <c r="H5524" s="1">
        <v>174.79400000000001</v>
      </c>
    </row>
    <row r="5525" spans="1:8" x14ac:dyDescent="0.3">
      <c r="A5525" s="2">
        <v>809</v>
      </c>
      <c r="B5525" t="s">
        <v>926</v>
      </c>
      <c r="C5525" t="s">
        <v>3219</v>
      </c>
      <c r="D5525" s="2">
        <v>1</v>
      </c>
      <c r="E5525" s="11" t="s">
        <v>209</v>
      </c>
      <c r="F5525" t="s">
        <v>114</v>
      </c>
      <c r="G5525" s="2" t="s">
        <v>31</v>
      </c>
      <c r="H5525" s="1">
        <v>164.19400000000002</v>
      </c>
    </row>
    <row r="5526" spans="1:8" x14ac:dyDescent="0.3">
      <c r="A5526" s="2">
        <v>809</v>
      </c>
      <c r="B5526" t="s">
        <v>804</v>
      </c>
      <c r="C5526" t="s">
        <v>3219</v>
      </c>
      <c r="D5526" s="2">
        <v>1</v>
      </c>
      <c r="E5526" s="11" t="s">
        <v>209</v>
      </c>
      <c r="F5526" t="s">
        <v>114</v>
      </c>
      <c r="G5526" s="2" t="s">
        <v>23</v>
      </c>
      <c r="H5526" s="1">
        <v>164.19400000000002</v>
      </c>
    </row>
    <row r="5527" spans="1:8" x14ac:dyDescent="0.3">
      <c r="A5527" s="2">
        <v>809</v>
      </c>
      <c r="B5527" t="s">
        <v>792</v>
      </c>
      <c r="C5527" t="s">
        <v>3219</v>
      </c>
      <c r="D5527" s="2">
        <v>1</v>
      </c>
      <c r="E5527" s="11" t="s">
        <v>66</v>
      </c>
      <c r="F5527" t="s">
        <v>28</v>
      </c>
      <c r="G5527" s="2" t="s">
        <v>31</v>
      </c>
      <c r="H5527" s="1">
        <v>180.09400000000002</v>
      </c>
    </row>
    <row r="5528" spans="1:8" x14ac:dyDescent="0.3">
      <c r="A5528" s="2">
        <v>809</v>
      </c>
      <c r="B5528" t="s">
        <v>535</v>
      </c>
      <c r="C5528" t="s">
        <v>3219</v>
      </c>
      <c r="D5528" s="2">
        <v>1</v>
      </c>
      <c r="E5528" s="11" t="s">
        <v>534</v>
      </c>
      <c r="F5528" t="s">
        <v>47</v>
      </c>
      <c r="G5528" s="2" t="s">
        <v>4</v>
      </c>
      <c r="H5528" s="1">
        <v>89.994000000000014</v>
      </c>
    </row>
    <row r="5529" spans="1:8" x14ac:dyDescent="0.3">
      <c r="A5529" s="2">
        <v>809</v>
      </c>
      <c r="B5529" t="s">
        <v>925</v>
      </c>
      <c r="C5529" t="s">
        <v>3219</v>
      </c>
      <c r="D5529" s="2">
        <v>1</v>
      </c>
      <c r="E5529" s="11" t="s">
        <v>534</v>
      </c>
      <c r="F5529" t="s">
        <v>47</v>
      </c>
      <c r="G5529" s="2" t="s">
        <v>23</v>
      </c>
      <c r="H5529" s="1">
        <v>89.994000000000014</v>
      </c>
    </row>
    <row r="5530" spans="1:8" x14ac:dyDescent="0.3">
      <c r="A5530" s="2">
        <v>809</v>
      </c>
      <c r="B5530" t="s">
        <v>918</v>
      </c>
      <c r="C5530" t="s">
        <v>3225</v>
      </c>
      <c r="D5530" s="2">
        <v>1</v>
      </c>
      <c r="E5530" s="11" t="s">
        <v>527</v>
      </c>
      <c r="F5530" t="s">
        <v>47</v>
      </c>
      <c r="G5530" s="2" t="s">
        <v>4</v>
      </c>
      <c r="H5530" s="1">
        <v>227.79400000000001</v>
      </c>
    </row>
    <row r="5531" spans="1:8" x14ac:dyDescent="0.3">
      <c r="A5531" s="2">
        <v>809</v>
      </c>
      <c r="B5531" t="s">
        <v>924</v>
      </c>
      <c r="C5531" t="s">
        <v>3225</v>
      </c>
      <c r="D5531" s="2">
        <v>1</v>
      </c>
      <c r="E5531" s="11" t="s">
        <v>527</v>
      </c>
      <c r="F5531" t="s">
        <v>47</v>
      </c>
      <c r="G5531" s="2" t="s">
        <v>31</v>
      </c>
      <c r="H5531" s="1">
        <v>227.79400000000001</v>
      </c>
    </row>
    <row r="5532" spans="1:8" x14ac:dyDescent="0.3">
      <c r="A5532" s="2">
        <v>809</v>
      </c>
      <c r="B5532" t="s">
        <v>917</v>
      </c>
      <c r="C5532" t="s">
        <v>3225</v>
      </c>
      <c r="D5532" s="2">
        <v>1</v>
      </c>
      <c r="E5532" s="11" t="s">
        <v>527</v>
      </c>
      <c r="F5532" t="s">
        <v>47</v>
      </c>
      <c r="G5532" s="2" t="s">
        <v>23</v>
      </c>
      <c r="H5532" s="1">
        <v>227.79400000000001</v>
      </c>
    </row>
    <row r="5533" spans="1:8" x14ac:dyDescent="0.3">
      <c r="A5533" s="2">
        <v>809</v>
      </c>
      <c r="B5533" t="s">
        <v>923</v>
      </c>
      <c r="C5533" t="s">
        <v>3225</v>
      </c>
      <c r="D5533" s="2">
        <v>1</v>
      </c>
      <c r="E5533" s="11" t="s">
        <v>915</v>
      </c>
      <c r="F5533" t="s">
        <v>39</v>
      </c>
      <c r="G5533" s="2" t="s">
        <v>23</v>
      </c>
      <c r="H5533" s="1">
        <v>169.49400000000003</v>
      </c>
    </row>
    <row r="5534" spans="1:8" x14ac:dyDescent="0.3">
      <c r="A5534" s="2">
        <v>809</v>
      </c>
      <c r="B5534" t="s">
        <v>87</v>
      </c>
      <c r="C5534" t="s">
        <v>2</v>
      </c>
      <c r="D5534" s="2">
        <v>1</v>
      </c>
      <c r="E5534" s="11" t="s">
        <v>86</v>
      </c>
      <c r="F5534" t="s">
        <v>36</v>
      </c>
      <c r="G5534" s="2" t="s">
        <v>4</v>
      </c>
      <c r="H5534" s="1">
        <v>95.294000000000011</v>
      </c>
    </row>
    <row r="5535" spans="1:8" x14ac:dyDescent="0.3">
      <c r="A5535" s="2">
        <v>809</v>
      </c>
      <c r="B5535" t="s">
        <v>922</v>
      </c>
      <c r="C5535" t="s">
        <v>3220</v>
      </c>
      <c r="D5535" s="2">
        <v>1</v>
      </c>
      <c r="E5535" s="11" t="s">
        <v>647</v>
      </c>
      <c r="F5535" t="s">
        <v>28</v>
      </c>
      <c r="G5535" s="2" t="s">
        <v>4</v>
      </c>
      <c r="H5535" s="1">
        <v>15.793999999999999</v>
      </c>
    </row>
    <row r="5536" spans="1:8" x14ac:dyDescent="0.3">
      <c r="A5536" s="2">
        <v>809</v>
      </c>
      <c r="B5536" t="s">
        <v>921</v>
      </c>
      <c r="C5536" t="s">
        <v>3220</v>
      </c>
      <c r="D5536" s="2">
        <v>1</v>
      </c>
      <c r="E5536" s="11" t="s">
        <v>647</v>
      </c>
      <c r="F5536" t="s">
        <v>28</v>
      </c>
      <c r="G5536" s="2" t="s">
        <v>31</v>
      </c>
      <c r="H5536" s="1">
        <v>15.793999999999999</v>
      </c>
    </row>
    <row r="5537" spans="1:8" x14ac:dyDescent="0.3">
      <c r="A5537" s="2">
        <v>809</v>
      </c>
      <c r="B5537" t="s">
        <v>920</v>
      </c>
      <c r="C5537" t="s">
        <v>3220</v>
      </c>
      <c r="D5537" s="2">
        <v>1</v>
      </c>
      <c r="E5537" s="11" t="s">
        <v>647</v>
      </c>
      <c r="F5537" t="s">
        <v>28</v>
      </c>
      <c r="G5537" s="2" t="s">
        <v>23</v>
      </c>
      <c r="H5537" s="1">
        <v>15.793999999999999</v>
      </c>
    </row>
    <row r="5538" spans="1:8" x14ac:dyDescent="0.3">
      <c r="A5538" s="2">
        <v>809</v>
      </c>
      <c r="B5538" t="s">
        <v>455</v>
      </c>
      <c r="C5538" t="s">
        <v>0</v>
      </c>
      <c r="D5538" s="2">
        <v>1</v>
      </c>
      <c r="E5538" s="11" t="s">
        <v>364</v>
      </c>
      <c r="F5538" t="s">
        <v>28</v>
      </c>
      <c r="G5538" s="2" t="s">
        <v>4</v>
      </c>
      <c r="H5538" s="1">
        <v>180.09400000000002</v>
      </c>
    </row>
    <row r="5539" spans="1:8" x14ac:dyDescent="0.3">
      <c r="A5539" s="2">
        <v>809</v>
      </c>
      <c r="B5539" t="s">
        <v>919</v>
      </c>
      <c r="C5539" t="s">
        <v>0</v>
      </c>
      <c r="D5539" s="2">
        <v>1</v>
      </c>
      <c r="E5539" s="11" t="s">
        <v>364</v>
      </c>
      <c r="F5539" t="s">
        <v>28</v>
      </c>
      <c r="G5539" s="2" t="s">
        <v>23</v>
      </c>
      <c r="H5539" s="1">
        <v>180.09400000000002</v>
      </c>
    </row>
    <row r="5540" spans="1:8" x14ac:dyDescent="0.3">
      <c r="A5540" s="2">
        <v>810</v>
      </c>
      <c r="B5540" t="s">
        <v>164</v>
      </c>
      <c r="C5540" t="s">
        <v>3220</v>
      </c>
      <c r="D5540" s="2">
        <v>1</v>
      </c>
      <c r="E5540" s="11" t="s">
        <v>140</v>
      </c>
      <c r="F5540" t="s">
        <v>114</v>
      </c>
      <c r="G5540" s="2" t="s">
        <v>4</v>
      </c>
      <c r="H5540" s="1">
        <v>42.294000000000004</v>
      </c>
    </row>
    <row r="5541" spans="1:8" x14ac:dyDescent="0.3">
      <c r="A5541" s="2">
        <v>810</v>
      </c>
      <c r="B5541" t="s">
        <v>503</v>
      </c>
      <c r="C5541" t="s">
        <v>3224</v>
      </c>
      <c r="D5541" s="2">
        <v>1</v>
      </c>
      <c r="E5541" s="11" t="s">
        <v>494</v>
      </c>
      <c r="F5541" t="s">
        <v>114</v>
      </c>
      <c r="G5541" s="2" t="s">
        <v>31</v>
      </c>
      <c r="H5541" s="1">
        <v>47.594000000000001</v>
      </c>
    </row>
    <row r="5542" spans="1:8" x14ac:dyDescent="0.3">
      <c r="A5542" s="2">
        <v>810</v>
      </c>
      <c r="B5542" t="s">
        <v>301</v>
      </c>
      <c r="C5542" t="s">
        <v>3219</v>
      </c>
      <c r="D5542" s="2">
        <v>1</v>
      </c>
      <c r="E5542" s="11" t="s">
        <v>66</v>
      </c>
      <c r="F5542" t="s">
        <v>47</v>
      </c>
      <c r="G5542" s="2" t="s">
        <v>4</v>
      </c>
      <c r="H5542" s="1">
        <v>180.09400000000002</v>
      </c>
    </row>
    <row r="5543" spans="1:8" x14ac:dyDescent="0.3">
      <c r="A5543" s="2">
        <v>810</v>
      </c>
      <c r="B5543" t="s">
        <v>584</v>
      </c>
      <c r="C5543" t="s">
        <v>3219</v>
      </c>
      <c r="D5543" s="2">
        <v>1</v>
      </c>
      <c r="E5543" s="11" t="s">
        <v>66</v>
      </c>
      <c r="F5543" t="s">
        <v>47</v>
      </c>
      <c r="G5543" s="2" t="s">
        <v>31</v>
      </c>
      <c r="H5543" s="1">
        <v>180.09400000000002</v>
      </c>
    </row>
    <row r="5544" spans="1:8" x14ac:dyDescent="0.3">
      <c r="A5544" s="2">
        <v>810</v>
      </c>
      <c r="B5544" t="s">
        <v>300</v>
      </c>
      <c r="C5544" t="s">
        <v>3219</v>
      </c>
      <c r="D5544" s="2">
        <v>1</v>
      </c>
      <c r="E5544" s="11" t="s">
        <v>66</v>
      </c>
      <c r="F5544" t="s">
        <v>47</v>
      </c>
      <c r="G5544" s="2" t="s">
        <v>23</v>
      </c>
      <c r="H5544" s="1">
        <v>180.09400000000002</v>
      </c>
    </row>
    <row r="5545" spans="1:8" x14ac:dyDescent="0.3">
      <c r="A5545" s="2">
        <v>810</v>
      </c>
      <c r="B5545" t="s">
        <v>918</v>
      </c>
      <c r="C5545" t="s">
        <v>3225</v>
      </c>
      <c r="D5545" s="2">
        <v>1</v>
      </c>
      <c r="E5545" s="11" t="s">
        <v>527</v>
      </c>
      <c r="F5545" t="s">
        <v>47</v>
      </c>
      <c r="G5545" s="2" t="s">
        <v>4</v>
      </c>
      <c r="H5545" s="1">
        <v>227.79400000000001</v>
      </c>
    </row>
    <row r="5546" spans="1:8" x14ac:dyDescent="0.3">
      <c r="A5546" s="2">
        <v>810</v>
      </c>
      <c r="B5546" t="s">
        <v>917</v>
      </c>
      <c r="C5546" t="s">
        <v>3225</v>
      </c>
      <c r="D5546" s="2">
        <v>1</v>
      </c>
      <c r="E5546" s="11" t="s">
        <v>527</v>
      </c>
      <c r="F5546" t="s">
        <v>47</v>
      </c>
      <c r="G5546" s="2" t="s">
        <v>23</v>
      </c>
      <c r="H5546" s="1">
        <v>227.79400000000001</v>
      </c>
    </row>
    <row r="5547" spans="1:8" x14ac:dyDescent="0.3">
      <c r="A5547" s="2">
        <v>810</v>
      </c>
      <c r="B5547" t="s">
        <v>916</v>
      </c>
      <c r="C5547" t="s">
        <v>3225</v>
      </c>
      <c r="D5547" s="2">
        <v>1</v>
      </c>
      <c r="E5547" s="11" t="s">
        <v>915</v>
      </c>
      <c r="F5547" t="s">
        <v>47</v>
      </c>
      <c r="G5547" s="2" t="s">
        <v>4</v>
      </c>
      <c r="H5547" s="1">
        <v>169.49400000000003</v>
      </c>
    </row>
    <row r="5548" spans="1:8" x14ac:dyDescent="0.3">
      <c r="A5548" s="2">
        <v>810</v>
      </c>
      <c r="B5548" t="s">
        <v>601</v>
      </c>
      <c r="C5548" t="s">
        <v>3224</v>
      </c>
      <c r="D5548" s="2">
        <v>2</v>
      </c>
      <c r="E5548" s="11" t="s">
        <v>494</v>
      </c>
      <c r="F5548" t="s">
        <v>47</v>
      </c>
      <c r="G5548" s="2" t="s">
        <v>31</v>
      </c>
      <c r="H5548" s="1">
        <v>47.594000000000001</v>
      </c>
    </row>
    <row r="5549" spans="1:8" x14ac:dyDescent="0.3">
      <c r="A5549" s="2">
        <v>810</v>
      </c>
      <c r="B5549" t="s">
        <v>914</v>
      </c>
      <c r="C5549" t="s">
        <v>3224</v>
      </c>
      <c r="D5549" s="2">
        <v>2</v>
      </c>
      <c r="E5549" s="11" t="s">
        <v>494</v>
      </c>
      <c r="F5549" t="s">
        <v>47</v>
      </c>
      <c r="G5549" s="2" t="s">
        <v>23</v>
      </c>
      <c r="H5549" s="1">
        <v>47.594000000000001</v>
      </c>
    </row>
    <row r="5550" spans="1:8" x14ac:dyDescent="0.3">
      <c r="A5550" s="2">
        <v>810</v>
      </c>
      <c r="B5550" t="s">
        <v>913</v>
      </c>
      <c r="C5550" t="s">
        <v>3219</v>
      </c>
      <c r="D5550" s="2">
        <v>1</v>
      </c>
      <c r="E5550" s="11" t="s">
        <v>209</v>
      </c>
      <c r="F5550" t="s">
        <v>47</v>
      </c>
      <c r="G5550" s="2" t="s">
        <v>4</v>
      </c>
      <c r="H5550" s="1">
        <v>164.19400000000002</v>
      </c>
    </row>
    <row r="5551" spans="1:8" x14ac:dyDescent="0.3">
      <c r="A5551" s="2">
        <v>810</v>
      </c>
      <c r="B5551" t="s">
        <v>210</v>
      </c>
      <c r="C5551" t="s">
        <v>3219</v>
      </c>
      <c r="D5551" s="2">
        <v>1</v>
      </c>
      <c r="E5551" s="11" t="s">
        <v>209</v>
      </c>
      <c r="F5551" t="s">
        <v>47</v>
      </c>
      <c r="G5551" s="2" t="s">
        <v>31</v>
      </c>
      <c r="H5551" s="1">
        <v>164.19400000000002</v>
      </c>
    </row>
    <row r="5552" spans="1:8" x14ac:dyDescent="0.3">
      <c r="A5552" s="2">
        <v>810</v>
      </c>
      <c r="B5552" t="s">
        <v>580</v>
      </c>
      <c r="C5552" t="s">
        <v>3219</v>
      </c>
      <c r="D5552" s="2">
        <v>1</v>
      </c>
      <c r="E5552" s="11" t="s">
        <v>209</v>
      </c>
      <c r="F5552" t="s">
        <v>47</v>
      </c>
      <c r="G5552" s="2" t="s">
        <v>23</v>
      </c>
      <c r="H5552" s="1">
        <v>164.19400000000002</v>
      </c>
    </row>
    <row r="5553" spans="1:8" x14ac:dyDescent="0.3">
      <c r="A5553" s="2">
        <v>810</v>
      </c>
      <c r="B5553" t="s">
        <v>912</v>
      </c>
      <c r="C5553" t="s">
        <v>3225</v>
      </c>
      <c r="D5553" s="2">
        <v>1</v>
      </c>
      <c r="E5553" s="11" t="s">
        <v>176</v>
      </c>
      <c r="F5553" t="s">
        <v>39</v>
      </c>
      <c r="G5553" s="2" t="s">
        <v>23</v>
      </c>
      <c r="H5553" s="1">
        <v>153.59400000000002</v>
      </c>
    </row>
    <row r="5554" spans="1:8" x14ac:dyDescent="0.3">
      <c r="A5554" s="2">
        <v>810</v>
      </c>
      <c r="B5554" t="s">
        <v>911</v>
      </c>
      <c r="C5554" t="s">
        <v>3224</v>
      </c>
      <c r="D5554" s="2">
        <v>1</v>
      </c>
      <c r="E5554" s="11" t="s">
        <v>494</v>
      </c>
      <c r="F5554" t="s">
        <v>36</v>
      </c>
      <c r="G5554" s="2" t="s">
        <v>23</v>
      </c>
      <c r="H5554" s="1">
        <v>47.594000000000001</v>
      </c>
    </row>
    <row r="5555" spans="1:8" x14ac:dyDescent="0.3">
      <c r="A5555" s="2">
        <v>810</v>
      </c>
      <c r="B5555" t="s">
        <v>624</v>
      </c>
      <c r="C5555" t="s">
        <v>3225</v>
      </c>
      <c r="D5555" s="2">
        <v>1</v>
      </c>
      <c r="E5555" s="11" t="s">
        <v>176</v>
      </c>
      <c r="F5555" t="s">
        <v>36</v>
      </c>
      <c r="G5555" s="2" t="s">
        <v>4</v>
      </c>
      <c r="H5555" s="1">
        <v>153.59400000000002</v>
      </c>
    </row>
    <row r="5556" spans="1:8" x14ac:dyDescent="0.3">
      <c r="A5556" s="2">
        <v>810</v>
      </c>
      <c r="B5556" t="s">
        <v>910</v>
      </c>
      <c r="C5556" t="s">
        <v>0</v>
      </c>
      <c r="D5556" s="2">
        <v>1</v>
      </c>
      <c r="E5556" s="11" t="s">
        <v>142</v>
      </c>
      <c r="F5556" t="s">
        <v>28</v>
      </c>
      <c r="G5556" s="2" t="s">
        <v>4</v>
      </c>
      <c r="H5556" s="1">
        <v>121.79400000000001</v>
      </c>
    </row>
    <row r="5557" spans="1:8" x14ac:dyDescent="0.3">
      <c r="A5557" s="2">
        <v>810</v>
      </c>
      <c r="B5557" t="s">
        <v>885</v>
      </c>
      <c r="C5557" t="s">
        <v>3225</v>
      </c>
      <c r="D5557" s="2">
        <v>1</v>
      </c>
      <c r="E5557" s="11" t="s">
        <v>176</v>
      </c>
      <c r="F5557" t="s">
        <v>28</v>
      </c>
      <c r="G5557" s="2" t="s">
        <v>31</v>
      </c>
      <c r="H5557" s="1">
        <v>153.59400000000002</v>
      </c>
    </row>
    <row r="5558" spans="1:8" x14ac:dyDescent="0.3">
      <c r="A5558" s="2">
        <v>811</v>
      </c>
      <c r="B5558" t="s">
        <v>909</v>
      </c>
      <c r="C5558" t="s">
        <v>3220</v>
      </c>
      <c r="D5558" s="2">
        <v>1</v>
      </c>
      <c r="E5558" s="11" t="s">
        <v>640</v>
      </c>
      <c r="F5558" t="s">
        <v>55</v>
      </c>
      <c r="G5558" s="2" t="s">
        <v>4</v>
      </c>
      <c r="H5558" s="1">
        <v>21.094000000000001</v>
      </c>
    </row>
    <row r="5559" spans="1:8" x14ac:dyDescent="0.3">
      <c r="A5559" s="2">
        <v>811</v>
      </c>
      <c r="B5559" t="s">
        <v>295</v>
      </c>
      <c r="C5559" t="s">
        <v>1</v>
      </c>
      <c r="D5559" s="2">
        <v>1</v>
      </c>
      <c r="E5559" s="11" t="s">
        <v>243</v>
      </c>
      <c r="F5559" t="s">
        <v>65</v>
      </c>
      <c r="G5559" s="2" t="s">
        <v>203</v>
      </c>
      <c r="H5559" s="1">
        <v>31.693999999999999</v>
      </c>
    </row>
    <row r="5560" spans="1:8" x14ac:dyDescent="0.3">
      <c r="A5560" s="2">
        <v>811</v>
      </c>
      <c r="B5560" t="s">
        <v>295</v>
      </c>
      <c r="C5560" t="s">
        <v>1</v>
      </c>
      <c r="D5560" s="2">
        <v>1</v>
      </c>
      <c r="E5560" s="11" t="s">
        <v>243</v>
      </c>
      <c r="F5560" t="s">
        <v>65</v>
      </c>
      <c r="G5560" s="2" t="s">
        <v>203</v>
      </c>
      <c r="H5560" s="1">
        <v>31.693999999999999</v>
      </c>
    </row>
    <row r="5561" spans="1:8" x14ac:dyDescent="0.3">
      <c r="A5561" s="2">
        <v>811</v>
      </c>
      <c r="B5561" t="s">
        <v>901</v>
      </c>
      <c r="C5561" t="s">
        <v>3220</v>
      </c>
      <c r="D5561" s="2">
        <v>1</v>
      </c>
      <c r="E5561" s="11" t="s">
        <v>293</v>
      </c>
      <c r="F5561" t="s">
        <v>62</v>
      </c>
      <c r="G5561" s="2" t="s">
        <v>4</v>
      </c>
      <c r="H5561" s="1">
        <v>21.094000000000001</v>
      </c>
    </row>
    <row r="5562" spans="1:8" x14ac:dyDescent="0.3">
      <c r="A5562" s="2">
        <v>811</v>
      </c>
      <c r="B5562" t="s">
        <v>908</v>
      </c>
      <c r="C5562" t="s">
        <v>3220</v>
      </c>
      <c r="D5562" s="2">
        <v>1</v>
      </c>
      <c r="E5562" s="11" t="s">
        <v>847</v>
      </c>
      <c r="F5562" t="s">
        <v>114</v>
      </c>
      <c r="G5562" s="2" t="s">
        <v>31</v>
      </c>
      <c r="H5562" s="1">
        <v>21.094000000000001</v>
      </c>
    </row>
    <row r="5563" spans="1:8" x14ac:dyDescent="0.3">
      <c r="A5563" s="2">
        <v>811</v>
      </c>
      <c r="B5563" t="s">
        <v>907</v>
      </c>
      <c r="C5563" t="s">
        <v>1</v>
      </c>
      <c r="D5563" s="2">
        <v>1</v>
      </c>
      <c r="E5563" s="11" t="s">
        <v>385</v>
      </c>
      <c r="F5563" t="s">
        <v>78</v>
      </c>
      <c r="G5563" s="2" t="s">
        <v>203</v>
      </c>
      <c r="H5563" s="1">
        <v>79.394000000000005</v>
      </c>
    </row>
    <row r="5564" spans="1:8" x14ac:dyDescent="0.3">
      <c r="A5564" s="2">
        <v>811</v>
      </c>
      <c r="B5564" t="s">
        <v>646</v>
      </c>
      <c r="C5564" t="s">
        <v>3220</v>
      </c>
      <c r="D5564" s="2">
        <v>1</v>
      </c>
      <c r="E5564" s="11" t="s">
        <v>637</v>
      </c>
      <c r="F5564" t="s">
        <v>47</v>
      </c>
      <c r="G5564" s="2" t="s">
        <v>4</v>
      </c>
      <c r="H5564" s="1">
        <v>15.793999999999999</v>
      </c>
    </row>
    <row r="5565" spans="1:8" x14ac:dyDescent="0.3">
      <c r="A5565" s="2">
        <v>811</v>
      </c>
      <c r="B5565" t="s">
        <v>641</v>
      </c>
      <c r="C5565" t="s">
        <v>3220</v>
      </c>
      <c r="D5565" s="2">
        <v>1</v>
      </c>
      <c r="E5565" s="11" t="s">
        <v>640</v>
      </c>
      <c r="F5565" t="s">
        <v>39</v>
      </c>
      <c r="G5565" s="2" t="s">
        <v>31</v>
      </c>
      <c r="H5565" s="1">
        <v>21.094000000000001</v>
      </c>
    </row>
    <row r="5566" spans="1:8" x14ac:dyDescent="0.3">
      <c r="A5566" s="2">
        <v>811</v>
      </c>
      <c r="B5566" t="s">
        <v>906</v>
      </c>
      <c r="C5566" t="s">
        <v>3233</v>
      </c>
      <c r="D5566" s="2">
        <v>1</v>
      </c>
      <c r="E5566" s="11" t="s">
        <v>258</v>
      </c>
      <c r="F5566" t="s">
        <v>39</v>
      </c>
      <c r="G5566" s="2" t="s">
        <v>31</v>
      </c>
      <c r="H5566" s="1">
        <v>79.394000000000005</v>
      </c>
    </row>
    <row r="5567" spans="1:8" x14ac:dyDescent="0.3">
      <c r="A5567" s="2">
        <v>811</v>
      </c>
      <c r="B5567" t="s">
        <v>905</v>
      </c>
      <c r="C5567" t="s">
        <v>3220</v>
      </c>
      <c r="D5567" s="2">
        <v>1</v>
      </c>
      <c r="E5567" s="11" t="s">
        <v>522</v>
      </c>
      <c r="F5567" t="s">
        <v>39</v>
      </c>
      <c r="G5567" s="2" t="s">
        <v>31</v>
      </c>
      <c r="H5567" s="1">
        <v>42.294000000000004</v>
      </c>
    </row>
    <row r="5568" spans="1:8" x14ac:dyDescent="0.3">
      <c r="A5568" s="2">
        <v>811</v>
      </c>
      <c r="B5568" t="s">
        <v>523</v>
      </c>
      <c r="C5568" t="s">
        <v>3220</v>
      </c>
      <c r="D5568" s="2">
        <v>1</v>
      </c>
      <c r="E5568" s="11" t="s">
        <v>522</v>
      </c>
      <c r="F5568" t="s">
        <v>28</v>
      </c>
      <c r="G5568" s="2" t="s">
        <v>4</v>
      </c>
      <c r="H5568" s="1">
        <v>42.294000000000004</v>
      </c>
    </row>
    <row r="5569" spans="1:8" x14ac:dyDescent="0.3">
      <c r="A5569" s="2">
        <v>811</v>
      </c>
      <c r="B5569" t="s">
        <v>904</v>
      </c>
      <c r="C5569" t="s">
        <v>3220</v>
      </c>
      <c r="D5569" s="2">
        <v>1</v>
      </c>
      <c r="E5569" s="11" t="s">
        <v>847</v>
      </c>
      <c r="F5569" t="s">
        <v>24</v>
      </c>
      <c r="G5569" s="2" t="s">
        <v>4</v>
      </c>
      <c r="H5569" s="1">
        <v>21.094000000000001</v>
      </c>
    </row>
    <row r="5570" spans="1:8" x14ac:dyDescent="0.3">
      <c r="A5570" s="2">
        <v>811</v>
      </c>
      <c r="B5570" t="s">
        <v>903</v>
      </c>
      <c r="C5570" t="s">
        <v>3220</v>
      </c>
      <c r="D5570" s="2">
        <v>1</v>
      </c>
      <c r="E5570" s="11" t="s">
        <v>637</v>
      </c>
      <c r="F5570" t="s">
        <v>24</v>
      </c>
      <c r="G5570" s="2" t="s">
        <v>4</v>
      </c>
      <c r="H5570" s="1">
        <v>15.793999999999999</v>
      </c>
    </row>
    <row r="5571" spans="1:8" x14ac:dyDescent="0.3">
      <c r="A5571" s="2">
        <v>811</v>
      </c>
      <c r="B5571" t="s">
        <v>639</v>
      </c>
      <c r="C5571" t="s">
        <v>3220</v>
      </c>
      <c r="D5571" s="2">
        <v>1</v>
      </c>
      <c r="E5571" s="11" t="s">
        <v>637</v>
      </c>
      <c r="F5571" t="s">
        <v>24</v>
      </c>
      <c r="G5571" s="2" t="s">
        <v>31</v>
      </c>
      <c r="H5571" s="1">
        <v>15.793999999999999</v>
      </c>
    </row>
    <row r="5572" spans="1:8" x14ac:dyDescent="0.3">
      <c r="A5572" s="2">
        <v>812</v>
      </c>
      <c r="B5572" t="s">
        <v>902</v>
      </c>
      <c r="C5572" t="s">
        <v>3220</v>
      </c>
      <c r="D5572" s="2">
        <v>1</v>
      </c>
      <c r="E5572" s="11" t="s">
        <v>293</v>
      </c>
      <c r="F5572" t="s">
        <v>65</v>
      </c>
      <c r="G5572" s="2" t="s">
        <v>23</v>
      </c>
      <c r="H5572" s="1">
        <v>21.094000000000001</v>
      </c>
    </row>
    <row r="5573" spans="1:8" x14ac:dyDescent="0.3">
      <c r="A5573" s="2">
        <v>812</v>
      </c>
      <c r="B5573" t="s">
        <v>843</v>
      </c>
      <c r="C5573" t="s">
        <v>0</v>
      </c>
      <c r="D5573" s="2">
        <v>1</v>
      </c>
      <c r="E5573" s="11" t="s">
        <v>842</v>
      </c>
      <c r="F5573" t="s">
        <v>65</v>
      </c>
      <c r="G5573" s="2" t="s">
        <v>23</v>
      </c>
      <c r="H5573" s="1">
        <v>201.29400000000001</v>
      </c>
    </row>
    <row r="5574" spans="1:8" x14ac:dyDescent="0.3">
      <c r="A5574" s="2">
        <v>812</v>
      </c>
      <c r="B5574" t="s">
        <v>901</v>
      </c>
      <c r="C5574" t="s">
        <v>3220</v>
      </c>
      <c r="D5574" s="2">
        <v>1</v>
      </c>
      <c r="E5574" s="11" t="s">
        <v>293</v>
      </c>
      <c r="F5574" t="s">
        <v>62</v>
      </c>
      <c r="G5574" s="2" t="s">
        <v>4</v>
      </c>
      <c r="H5574" s="1">
        <v>21.094000000000001</v>
      </c>
    </row>
    <row r="5575" spans="1:8" x14ac:dyDescent="0.3">
      <c r="A5575" s="2">
        <v>812</v>
      </c>
      <c r="B5575" t="s">
        <v>900</v>
      </c>
      <c r="C5575" t="s">
        <v>3225</v>
      </c>
      <c r="D5575" s="2">
        <v>1</v>
      </c>
      <c r="E5575" s="11" t="s">
        <v>527</v>
      </c>
      <c r="F5575" t="s">
        <v>114</v>
      </c>
      <c r="G5575" s="2" t="s">
        <v>23</v>
      </c>
      <c r="H5575" s="1">
        <v>227.79400000000001</v>
      </c>
    </row>
    <row r="5576" spans="1:8" x14ac:dyDescent="0.3">
      <c r="A5576" s="2">
        <v>812</v>
      </c>
      <c r="B5576" t="s">
        <v>899</v>
      </c>
      <c r="C5576" t="s">
        <v>3233</v>
      </c>
      <c r="D5576" s="2">
        <v>1</v>
      </c>
      <c r="E5576" s="11" t="s">
        <v>790</v>
      </c>
      <c r="F5576" t="s">
        <v>47</v>
      </c>
      <c r="G5576" s="2" t="s">
        <v>4</v>
      </c>
      <c r="H5576" s="1">
        <v>74.094000000000008</v>
      </c>
    </row>
    <row r="5577" spans="1:8" x14ac:dyDescent="0.3">
      <c r="A5577" s="2">
        <v>812</v>
      </c>
      <c r="B5577" t="s">
        <v>898</v>
      </c>
      <c r="C5577" t="s">
        <v>1</v>
      </c>
      <c r="D5577" s="2">
        <v>1</v>
      </c>
      <c r="E5577" s="11" t="s">
        <v>897</v>
      </c>
      <c r="F5577" t="s">
        <v>47</v>
      </c>
      <c r="G5577" s="2" t="s">
        <v>31</v>
      </c>
      <c r="H5577" s="1">
        <v>63.494000000000007</v>
      </c>
    </row>
    <row r="5578" spans="1:8" x14ac:dyDescent="0.3">
      <c r="A5578" s="2">
        <v>812</v>
      </c>
      <c r="B5578" t="s">
        <v>879</v>
      </c>
      <c r="C5578" t="s">
        <v>1</v>
      </c>
      <c r="D5578" s="2">
        <v>1</v>
      </c>
      <c r="E5578" s="11" t="s">
        <v>189</v>
      </c>
      <c r="F5578" t="s">
        <v>39</v>
      </c>
      <c r="G5578" s="2" t="s">
        <v>23</v>
      </c>
      <c r="H5578" s="1">
        <v>63.494000000000007</v>
      </c>
    </row>
    <row r="5579" spans="1:8" x14ac:dyDescent="0.3">
      <c r="A5579" s="2">
        <v>812</v>
      </c>
      <c r="B5579" t="s">
        <v>896</v>
      </c>
      <c r="C5579" t="s">
        <v>0</v>
      </c>
      <c r="D5579" s="2">
        <v>1</v>
      </c>
      <c r="E5579" s="11" t="s">
        <v>267</v>
      </c>
      <c r="F5579" t="s">
        <v>39</v>
      </c>
      <c r="G5579" s="2" t="s">
        <v>4</v>
      </c>
      <c r="H5579" s="1">
        <v>158.89400000000001</v>
      </c>
    </row>
    <row r="5580" spans="1:8" x14ac:dyDescent="0.3">
      <c r="A5580" s="2">
        <v>812</v>
      </c>
      <c r="B5580" t="s">
        <v>890</v>
      </c>
      <c r="C5580" t="s">
        <v>0</v>
      </c>
      <c r="D5580" s="2">
        <v>1</v>
      </c>
      <c r="E5580" s="11" t="s">
        <v>531</v>
      </c>
      <c r="F5580" t="s">
        <v>39</v>
      </c>
      <c r="G5580" s="2" t="s">
        <v>31</v>
      </c>
      <c r="H5580" s="1">
        <v>217.19400000000002</v>
      </c>
    </row>
    <row r="5581" spans="1:8" x14ac:dyDescent="0.3">
      <c r="A5581" s="2">
        <v>812</v>
      </c>
      <c r="B5581" t="s">
        <v>895</v>
      </c>
      <c r="C5581" t="s">
        <v>0</v>
      </c>
      <c r="D5581" s="2">
        <v>1</v>
      </c>
      <c r="E5581" s="11" t="s">
        <v>413</v>
      </c>
      <c r="F5581" t="s">
        <v>28</v>
      </c>
      <c r="G5581" s="2" t="s">
        <v>23</v>
      </c>
      <c r="H5581" s="1">
        <v>132.39400000000001</v>
      </c>
    </row>
    <row r="5582" spans="1:8" x14ac:dyDescent="0.3">
      <c r="A5582" s="2">
        <v>812</v>
      </c>
      <c r="B5582" t="s">
        <v>885</v>
      </c>
      <c r="C5582" t="s">
        <v>3225</v>
      </c>
      <c r="D5582" s="2">
        <v>1</v>
      </c>
      <c r="E5582" s="11" t="s">
        <v>176</v>
      </c>
      <c r="F5582" t="s">
        <v>28</v>
      </c>
      <c r="G5582" s="2" t="s">
        <v>31</v>
      </c>
      <c r="H5582" s="1">
        <v>153.59400000000002</v>
      </c>
    </row>
    <row r="5583" spans="1:8" x14ac:dyDescent="0.3">
      <c r="A5583" s="2">
        <v>812</v>
      </c>
      <c r="B5583" t="s">
        <v>884</v>
      </c>
      <c r="C5583" t="s">
        <v>3225</v>
      </c>
      <c r="D5583" s="2">
        <v>1</v>
      </c>
      <c r="E5583" s="11" t="s">
        <v>176</v>
      </c>
      <c r="F5583" t="s">
        <v>28</v>
      </c>
      <c r="G5583" s="2" t="s">
        <v>23</v>
      </c>
      <c r="H5583" s="1">
        <v>153.59400000000002</v>
      </c>
    </row>
    <row r="5584" spans="1:8" x14ac:dyDescent="0.3">
      <c r="A5584" s="2">
        <v>813</v>
      </c>
      <c r="B5584" t="s">
        <v>894</v>
      </c>
      <c r="C5584" t="s">
        <v>3225</v>
      </c>
      <c r="D5584" s="2">
        <v>1</v>
      </c>
      <c r="E5584" s="11" t="s">
        <v>886</v>
      </c>
      <c r="F5584" t="s">
        <v>254</v>
      </c>
      <c r="G5584" s="2" t="s">
        <v>23</v>
      </c>
      <c r="H5584" s="1">
        <v>174.79400000000001</v>
      </c>
    </row>
    <row r="5585" spans="1:8" x14ac:dyDescent="0.3">
      <c r="A5585" s="2">
        <v>813</v>
      </c>
      <c r="B5585" t="s">
        <v>893</v>
      </c>
      <c r="C5585" t="s">
        <v>3219</v>
      </c>
      <c r="D5585" s="2">
        <v>1</v>
      </c>
      <c r="E5585" s="11" t="s">
        <v>892</v>
      </c>
      <c r="F5585" t="s">
        <v>55</v>
      </c>
      <c r="G5585" s="2" t="s">
        <v>31</v>
      </c>
      <c r="H5585" s="1">
        <v>158.89400000000001</v>
      </c>
    </row>
    <row r="5586" spans="1:8" x14ac:dyDescent="0.3">
      <c r="A5586" s="2">
        <v>813</v>
      </c>
      <c r="B5586" t="s">
        <v>891</v>
      </c>
      <c r="C5586" t="s">
        <v>0</v>
      </c>
      <c r="D5586" s="2">
        <v>1</v>
      </c>
      <c r="E5586" s="11" t="s">
        <v>183</v>
      </c>
      <c r="F5586" t="s">
        <v>114</v>
      </c>
      <c r="G5586" s="2" t="s">
        <v>23</v>
      </c>
      <c r="H5586" s="1">
        <v>153.59400000000002</v>
      </c>
    </row>
    <row r="5587" spans="1:8" x14ac:dyDescent="0.3">
      <c r="A5587" s="2">
        <v>813</v>
      </c>
      <c r="B5587" t="s">
        <v>834</v>
      </c>
      <c r="C5587" t="s">
        <v>3225</v>
      </c>
      <c r="D5587" s="2">
        <v>1</v>
      </c>
      <c r="E5587" s="11" t="s">
        <v>527</v>
      </c>
      <c r="F5587" t="s">
        <v>114</v>
      </c>
      <c r="G5587" s="2" t="s">
        <v>31</v>
      </c>
      <c r="H5587" s="1">
        <v>227.79400000000001</v>
      </c>
    </row>
    <row r="5588" spans="1:8" x14ac:dyDescent="0.3">
      <c r="A5588" s="2">
        <v>813</v>
      </c>
      <c r="B5588" t="s">
        <v>890</v>
      </c>
      <c r="C5588" t="s">
        <v>0</v>
      </c>
      <c r="D5588" s="2">
        <v>1</v>
      </c>
      <c r="E5588" s="11" t="s">
        <v>531</v>
      </c>
      <c r="F5588" t="s">
        <v>39</v>
      </c>
      <c r="G5588" s="2" t="s">
        <v>31</v>
      </c>
      <c r="H5588" s="1">
        <v>217.19400000000002</v>
      </c>
    </row>
    <row r="5589" spans="1:8" x14ac:dyDescent="0.3">
      <c r="A5589" s="2">
        <v>813</v>
      </c>
      <c r="B5589" t="s">
        <v>889</v>
      </c>
      <c r="C5589" t="s">
        <v>3219</v>
      </c>
      <c r="D5589" s="2">
        <v>1</v>
      </c>
      <c r="E5589" s="11" t="s">
        <v>234</v>
      </c>
      <c r="F5589" t="s">
        <v>39</v>
      </c>
      <c r="G5589" s="2" t="s">
        <v>31</v>
      </c>
      <c r="H5589" s="1">
        <v>142.994</v>
      </c>
    </row>
    <row r="5590" spans="1:8" x14ac:dyDescent="0.3">
      <c r="A5590" s="2">
        <v>813</v>
      </c>
      <c r="B5590" t="s">
        <v>888</v>
      </c>
      <c r="C5590" t="s">
        <v>3219</v>
      </c>
      <c r="D5590" s="2">
        <v>1</v>
      </c>
      <c r="E5590" s="11" t="s">
        <v>234</v>
      </c>
      <c r="F5590" t="s">
        <v>39</v>
      </c>
      <c r="G5590" s="2" t="s">
        <v>23</v>
      </c>
      <c r="H5590" s="1">
        <v>142.994</v>
      </c>
    </row>
    <row r="5591" spans="1:8" x14ac:dyDescent="0.3">
      <c r="A5591" s="2">
        <v>813</v>
      </c>
      <c r="B5591" t="s">
        <v>787</v>
      </c>
      <c r="C5591" t="s">
        <v>3225</v>
      </c>
      <c r="D5591" s="2">
        <v>1</v>
      </c>
      <c r="E5591" s="11" t="s">
        <v>176</v>
      </c>
      <c r="F5591" t="s">
        <v>39</v>
      </c>
      <c r="G5591" s="2" t="s">
        <v>31</v>
      </c>
      <c r="H5591" s="1">
        <v>153.59400000000002</v>
      </c>
    </row>
    <row r="5592" spans="1:8" x14ac:dyDescent="0.3">
      <c r="A5592" s="2">
        <v>813</v>
      </c>
      <c r="B5592" t="s">
        <v>184</v>
      </c>
      <c r="C5592" t="s">
        <v>0</v>
      </c>
      <c r="D5592" s="2">
        <v>1</v>
      </c>
      <c r="E5592" s="11" t="s">
        <v>183</v>
      </c>
      <c r="F5592" t="s">
        <v>36</v>
      </c>
      <c r="G5592" s="2" t="s">
        <v>23</v>
      </c>
      <c r="H5592" s="1">
        <v>153.59400000000002</v>
      </c>
    </row>
    <row r="5593" spans="1:8" x14ac:dyDescent="0.3">
      <c r="A5593" s="2">
        <v>813</v>
      </c>
      <c r="B5593" t="s">
        <v>887</v>
      </c>
      <c r="C5593" t="s">
        <v>3225</v>
      </c>
      <c r="D5593" s="2">
        <v>1</v>
      </c>
      <c r="E5593" s="11" t="s">
        <v>886</v>
      </c>
      <c r="F5593" t="s">
        <v>28</v>
      </c>
      <c r="G5593" s="2" t="s">
        <v>4</v>
      </c>
      <c r="H5593" s="1">
        <v>174.79400000000001</v>
      </c>
    </row>
    <row r="5594" spans="1:8" x14ac:dyDescent="0.3">
      <c r="A5594" s="2">
        <v>813</v>
      </c>
      <c r="B5594" t="s">
        <v>885</v>
      </c>
      <c r="C5594" t="s">
        <v>3225</v>
      </c>
      <c r="D5594" s="2">
        <v>1</v>
      </c>
      <c r="E5594" s="11" t="s">
        <v>176</v>
      </c>
      <c r="F5594" t="s">
        <v>28</v>
      </c>
      <c r="G5594" s="2" t="s">
        <v>31</v>
      </c>
      <c r="H5594" s="1">
        <v>153.59400000000002</v>
      </c>
    </row>
    <row r="5595" spans="1:8" x14ac:dyDescent="0.3">
      <c r="A5595" s="2">
        <v>813</v>
      </c>
      <c r="B5595" t="s">
        <v>884</v>
      </c>
      <c r="C5595" t="s">
        <v>3225</v>
      </c>
      <c r="D5595" s="2">
        <v>1</v>
      </c>
      <c r="E5595" s="11" t="s">
        <v>176</v>
      </c>
      <c r="F5595" t="s">
        <v>28</v>
      </c>
      <c r="G5595" s="2" t="s">
        <v>23</v>
      </c>
      <c r="H5595" s="1">
        <v>153.59400000000002</v>
      </c>
    </row>
    <row r="5596" spans="1:8" x14ac:dyDescent="0.3">
      <c r="A5596" s="2">
        <v>814</v>
      </c>
      <c r="B5596" t="s">
        <v>659</v>
      </c>
      <c r="C5596" t="s">
        <v>3224</v>
      </c>
      <c r="D5596" s="2">
        <v>1</v>
      </c>
      <c r="E5596" s="11" t="s">
        <v>656</v>
      </c>
      <c r="F5596" t="s">
        <v>114</v>
      </c>
      <c r="G5596" s="2" t="s">
        <v>4</v>
      </c>
      <c r="H5596" s="1">
        <v>74.094000000000008</v>
      </c>
    </row>
    <row r="5597" spans="1:8" x14ac:dyDescent="0.3">
      <c r="A5597" s="2">
        <v>814</v>
      </c>
      <c r="B5597" t="s">
        <v>658</v>
      </c>
      <c r="C5597" t="s">
        <v>3224</v>
      </c>
      <c r="D5597" s="2">
        <v>2</v>
      </c>
      <c r="E5597" s="11" t="s">
        <v>656</v>
      </c>
      <c r="F5597" t="s">
        <v>114</v>
      </c>
      <c r="G5597" s="2" t="s">
        <v>31</v>
      </c>
      <c r="H5597" s="1">
        <v>74.094000000000008</v>
      </c>
    </row>
    <row r="5598" spans="1:8" x14ac:dyDescent="0.3">
      <c r="A5598" s="2">
        <v>814</v>
      </c>
      <c r="B5598" t="s">
        <v>883</v>
      </c>
      <c r="C5598" t="s">
        <v>3224</v>
      </c>
      <c r="D5598" s="2">
        <v>1</v>
      </c>
      <c r="E5598" s="11" t="s">
        <v>656</v>
      </c>
      <c r="F5598" t="s">
        <v>47</v>
      </c>
      <c r="G5598" s="2" t="s">
        <v>4</v>
      </c>
      <c r="H5598" s="1">
        <v>74.094000000000008</v>
      </c>
    </row>
    <row r="5599" spans="1:8" x14ac:dyDescent="0.3">
      <c r="A5599" s="2">
        <v>814</v>
      </c>
      <c r="B5599" t="s">
        <v>882</v>
      </c>
      <c r="C5599" t="s">
        <v>3224</v>
      </c>
      <c r="D5599" s="2">
        <v>1</v>
      </c>
      <c r="E5599" s="11" t="s">
        <v>656</v>
      </c>
      <c r="F5599" t="s">
        <v>47</v>
      </c>
      <c r="G5599" s="2" t="s">
        <v>31</v>
      </c>
      <c r="H5599" s="1">
        <v>74.094000000000008</v>
      </c>
    </row>
    <row r="5600" spans="1:8" x14ac:dyDescent="0.3">
      <c r="A5600" s="2">
        <v>814</v>
      </c>
      <c r="B5600" t="s">
        <v>881</v>
      </c>
      <c r="C5600" t="s">
        <v>3224</v>
      </c>
      <c r="D5600" s="2">
        <v>3</v>
      </c>
      <c r="E5600" s="11" t="s">
        <v>656</v>
      </c>
      <c r="F5600" t="s">
        <v>47</v>
      </c>
      <c r="G5600" s="2" t="s">
        <v>23</v>
      </c>
      <c r="H5600" s="1">
        <v>74.094000000000008</v>
      </c>
    </row>
    <row r="5601" spans="1:8" x14ac:dyDescent="0.3">
      <c r="A5601" s="2">
        <v>814</v>
      </c>
      <c r="B5601" t="s">
        <v>732</v>
      </c>
      <c r="C5601" t="s">
        <v>1</v>
      </c>
      <c r="D5601" s="2">
        <v>1</v>
      </c>
      <c r="E5601" s="11" t="s">
        <v>189</v>
      </c>
      <c r="F5601" t="s">
        <v>39</v>
      </c>
      <c r="G5601" s="2" t="s">
        <v>4</v>
      </c>
      <c r="H5601" s="1">
        <v>63.494000000000007</v>
      </c>
    </row>
    <row r="5602" spans="1:8" x14ac:dyDescent="0.3">
      <c r="A5602" s="2">
        <v>814</v>
      </c>
      <c r="B5602" t="s">
        <v>880</v>
      </c>
      <c r="C5602" t="s">
        <v>1</v>
      </c>
      <c r="D5602" s="2">
        <v>3</v>
      </c>
      <c r="E5602" s="11" t="s">
        <v>189</v>
      </c>
      <c r="F5602" t="s">
        <v>39</v>
      </c>
      <c r="G5602" s="2" t="s">
        <v>31</v>
      </c>
      <c r="H5602" s="1">
        <v>63.494000000000007</v>
      </c>
    </row>
    <row r="5603" spans="1:8" x14ac:dyDescent="0.3">
      <c r="A5603" s="2">
        <v>814</v>
      </c>
      <c r="B5603" t="s">
        <v>879</v>
      </c>
      <c r="C5603" t="s">
        <v>1</v>
      </c>
      <c r="D5603" s="2">
        <v>3</v>
      </c>
      <c r="E5603" s="11" t="s">
        <v>189</v>
      </c>
      <c r="F5603" t="s">
        <v>39</v>
      </c>
      <c r="G5603" s="2" t="s">
        <v>23</v>
      </c>
      <c r="H5603" s="1">
        <v>63.494000000000007</v>
      </c>
    </row>
    <row r="5604" spans="1:8" x14ac:dyDescent="0.3">
      <c r="A5604" s="2">
        <v>814</v>
      </c>
      <c r="B5604" t="s">
        <v>878</v>
      </c>
      <c r="C5604" t="s">
        <v>1</v>
      </c>
      <c r="D5604" s="2">
        <v>1</v>
      </c>
      <c r="E5604" s="11" t="s">
        <v>189</v>
      </c>
      <c r="F5604" t="s">
        <v>28</v>
      </c>
      <c r="G5604" s="2" t="s">
        <v>4</v>
      </c>
      <c r="H5604" s="1">
        <v>63.494000000000007</v>
      </c>
    </row>
    <row r="5605" spans="1:8" x14ac:dyDescent="0.3">
      <c r="A5605" s="2">
        <v>814</v>
      </c>
      <c r="B5605" t="s">
        <v>877</v>
      </c>
      <c r="C5605" t="s">
        <v>1</v>
      </c>
      <c r="D5605" s="2">
        <v>1</v>
      </c>
      <c r="E5605" s="11" t="s">
        <v>189</v>
      </c>
      <c r="F5605" t="s">
        <v>28</v>
      </c>
      <c r="G5605" s="2" t="s">
        <v>203</v>
      </c>
      <c r="H5605" s="1">
        <v>63.494000000000007</v>
      </c>
    </row>
    <row r="5606" spans="1:8" x14ac:dyDescent="0.3">
      <c r="A5606" s="2">
        <v>814</v>
      </c>
      <c r="B5606" t="s">
        <v>876</v>
      </c>
      <c r="C5606" t="s">
        <v>1</v>
      </c>
      <c r="D5606" s="2">
        <v>3</v>
      </c>
      <c r="E5606" s="11" t="s">
        <v>189</v>
      </c>
      <c r="F5606" t="s">
        <v>28</v>
      </c>
      <c r="G5606" s="2" t="s">
        <v>31</v>
      </c>
      <c r="H5606" s="1">
        <v>63.494000000000007</v>
      </c>
    </row>
    <row r="5607" spans="1:8" x14ac:dyDescent="0.3">
      <c r="A5607" s="2">
        <v>814</v>
      </c>
      <c r="B5607" t="s">
        <v>875</v>
      </c>
      <c r="C5607" t="s">
        <v>1</v>
      </c>
      <c r="D5607" s="2">
        <v>4</v>
      </c>
      <c r="E5607" s="11" t="s">
        <v>189</v>
      </c>
      <c r="F5607" t="s">
        <v>28</v>
      </c>
      <c r="G5607" s="2" t="s">
        <v>23</v>
      </c>
      <c r="H5607" s="1">
        <v>63.494000000000007</v>
      </c>
    </row>
    <row r="5608" spans="1:8" x14ac:dyDescent="0.3">
      <c r="A5608" s="2">
        <v>814</v>
      </c>
      <c r="B5608" t="s">
        <v>874</v>
      </c>
      <c r="C5608" t="s">
        <v>3224</v>
      </c>
      <c r="D5608" s="2">
        <v>1</v>
      </c>
      <c r="E5608" s="11" t="s">
        <v>656</v>
      </c>
      <c r="F5608" t="s">
        <v>28</v>
      </c>
      <c r="G5608" s="2" t="s">
        <v>4</v>
      </c>
      <c r="H5608" s="1">
        <v>74.094000000000008</v>
      </c>
    </row>
    <row r="5609" spans="1:8" x14ac:dyDescent="0.3">
      <c r="A5609" s="2">
        <v>815</v>
      </c>
      <c r="B5609" t="s">
        <v>873</v>
      </c>
      <c r="C5609" t="s">
        <v>1</v>
      </c>
      <c r="D5609" s="2">
        <v>1</v>
      </c>
      <c r="E5609" s="11" t="s">
        <v>53</v>
      </c>
      <c r="F5609" t="s">
        <v>55</v>
      </c>
      <c r="G5609" s="2" t="s">
        <v>4</v>
      </c>
      <c r="H5609" s="1">
        <v>36.994</v>
      </c>
    </row>
    <row r="5610" spans="1:8" x14ac:dyDescent="0.3">
      <c r="A5610" s="2">
        <v>815</v>
      </c>
      <c r="B5610" t="s">
        <v>761</v>
      </c>
      <c r="C5610" t="s">
        <v>1</v>
      </c>
      <c r="D5610" s="2">
        <v>1</v>
      </c>
      <c r="E5610" s="11" t="s">
        <v>53</v>
      </c>
      <c r="F5610" t="s">
        <v>55</v>
      </c>
      <c r="G5610" s="2" t="s">
        <v>23</v>
      </c>
      <c r="H5610" s="1">
        <v>36.994</v>
      </c>
    </row>
    <row r="5611" spans="1:8" x14ac:dyDescent="0.3">
      <c r="A5611" s="2">
        <v>815</v>
      </c>
      <c r="B5611" t="s">
        <v>872</v>
      </c>
      <c r="C5611" t="s">
        <v>3238</v>
      </c>
      <c r="D5611" s="2">
        <v>1</v>
      </c>
      <c r="E5611" s="11" t="s">
        <v>871</v>
      </c>
      <c r="F5611" t="s">
        <v>55</v>
      </c>
      <c r="G5611" s="2" t="s">
        <v>31</v>
      </c>
      <c r="H5611" s="1">
        <v>68.794000000000011</v>
      </c>
    </row>
    <row r="5612" spans="1:8" x14ac:dyDescent="0.3">
      <c r="A5612" s="2">
        <v>815</v>
      </c>
      <c r="B5612" t="s">
        <v>870</v>
      </c>
      <c r="C5612" t="s">
        <v>2</v>
      </c>
      <c r="D5612" s="2">
        <v>1</v>
      </c>
      <c r="E5612" s="11" t="s">
        <v>144</v>
      </c>
      <c r="F5612" t="s">
        <v>55</v>
      </c>
      <c r="G5612" s="2" t="s">
        <v>31</v>
      </c>
      <c r="H5612" s="1">
        <v>142.994</v>
      </c>
    </row>
    <row r="5613" spans="1:8" x14ac:dyDescent="0.3">
      <c r="A5613" s="2">
        <v>815</v>
      </c>
      <c r="B5613" t="s">
        <v>754</v>
      </c>
      <c r="C5613" t="s">
        <v>1</v>
      </c>
      <c r="D5613" s="2">
        <v>1</v>
      </c>
      <c r="E5613" s="11" t="s">
        <v>53</v>
      </c>
      <c r="F5613" t="s">
        <v>65</v>
      </c>
      <c r="G5613" s="2" t="s">
        <v>23</v>
      </c>
      <c r="H5613" s="1">
        <v>36.994</v>
      </c>
    </row>
    <row r="5614" spans="1:8" x14ac:dyDescent="0.3">
      <c r="A5614" s="2">
        <v>815</v>
      </c>
      <c r="B5614" t="s">
        <v>295</v>
      </c>
      <c r="C5614" t="s">
        <v>1</v>
      </c>
      <c r="D5614" s="2">
        <v>1</v>
      </c>
      <c r="E5614" s="11" t="s">
        <v>243</v>
      </c>
      <c r="F5614" t="s">
        <v>65</v>
      </c>
      <c r="G5614" s="2" t="s">
        <v>203</v>
      </c>
      <c r="H5614" s="1">
        <v>31.693999999999999</v>
      </c>
    </row>
    <row r="5615" spans="1:8" x14ac:dyDescent="0.3">
      <c r="A5615" s="2">
        <v>815</v>
      </c>
      <c r="B5615" t="s">
        <v>869</v>
      </c>
      <c r="C5615" t="s">
        <v>1</v>
      </c>
      <c r="D5615" s="2">
        <v>1</v>
      </c>
      <c r="E5615" s="11" t="s">
        <v>770</v>
      </c>
      <c r="F5615" t="s">
        <v>81</v>
      </c>
      <c r="G5615" s="2" t="s">
        <v>31</v>
      </c>
      <c r="H5615" s="1">
        <v>89.994000000000014</v>
      </c>
    </row>
    <row r="5616" spans="1:8" x14ac:dyDescent="0.3">
      <c r="A5616" s="2">
        <v>815</v>
      </c>
      <c r="B5616" t="s">
        <v>868</v>
      </c>
      <c r="C5616" t="s">
        <v>1</v>
      </c>
      <c r="D5616" s="2">
        <v>1</v>
      </c>
      <c r="E5616" s="11" t="s">
        <v>357</v>
      </c>
      <c r="F5616" t="s">
        <v>62</v>
      </c>
      <c r="G5616" s="2" t="s">
        <v>4</v>
      </c>
      <c r="H5616" s="1">
        <v>52.893999999999998</v>
      </c>
    </row>
    <row r="5617" spans="1:8" x14ac:dyDescent="0.3">
      <c r="A5617" s="2">
        <v>815</v>
      </c>
      <c r="B5617" t="s">
        <v>867</v>
      </c>
      <c r="C5617" t="s">
        <v>0</v>
      </c>
      <c r="D5617" s="2">
        <v>1</v>
      </c>
      <c r="E5617" s="11" t="s">
        <v>562</v>
      </c>
      <c r="F5617" t="s">
        <v>62</v>
      </c>
      <c r="G5617" s="2" t="s">
        <v>31</v>
      </c>
      <c r="H5617" s="1">
        <v>158.89400000000001</v>
      </c>
    </row>
    <row r="5618" spans="1:8" x14ac:dyDescent="0.3">
      <c r="A5618" s="2">
        <v>815</v>
      </c>
      <c r="B5618" t="s">
        <v>866</v>
      </c>
      <c r="C5618" t="s">
        <v>3224</v>
      </c>
      <c r="D5618" s="2">
        <v>1</v>
      </c>
      <c r="E5618" s="11" t="s">
        <v>529</v>
      </c>
      <c r="F5618" t="s">
        <v>81</v>
      </c>
      <c r="G5618" s="2" t="s">
        <v>23</v>
      </c>
      <c r="H5618" s="1">
        <v>84.694000000000017</v>
      </c>
    </row>
    <row r="5619" spans="1:8" x14ac:dyDescent="0.3">
      <c r="A5619" s="2">
        <v>815</v>
      </c>
      <c r="B5619" t="s">
        <v>743</v>
      </c>
      <c r="C5619" t="s">
        <v>1</v>
      </c>
      <c r="D5619" s="2">
        <v>1</v>
      </c>
      <c r="E5619" s="11" t="s">
        <v>53</v>
      </c>
      <c r="F5619" t="s">
        <v>28</v>
      </c>
      <c r="G5619" s="2" t="s">
        <v>4</v>
      </c>
      <c r="H5619" s="1">
        <v>36.994</v>
      </c>
    </row>
    <row r="5620" spans="1:8" x14ac:dyDescent="0.3">
      <c r="A5620" s="2">
        <v>815</v>
      </c>
      <c r="B5620" t="s">
        <v>724</v>
      </c>
      <c r="C5620" t="s">
        <v>1</v>
      </c>
      <c r="D5620" s="2">
        <v>1</v>
      </c>
      <c r="E5620" s="11" t="s">
        <v>222</v>
      </c>
      <c r="F5620" t="s">
        <v>28</v>
      </c>
      <c r="G5620" s="2" t="s">
        <v>4</v>
      </c>
      <c r="H5620" s="1">
        <v>52.893999999999998</v>
      </c>
    </row>
    <row r="5621" spans="1:8" x14ac:dyDescent="0.3">
      <c r="A5621" s="2">
        <v>815</v>
      </c>
      <c r="B5621" t="s">
        <v>865</v>
      </c>
      <c r="C5621" t="s">
        <v>1</v>
      </c>
      <c r="D5621" s="2">
        <v>1</v>
      </c>
      <c r="E5621" s="11" t="s">
        <v>807</v>
      </c>
      <c r="F5621" t="s">
        <v>28</v>
      </c>
      <c r="G5621" s="2" t="s">
        <v>4</v>
      </c>
      <c r="H5621" s="1">
        <v>79.394000000000005</v>
      </c>
    </row>
    <row r="5622" spans="1:8" x14ac:dyDescent="0.3">
      <c r="A5622" s="2">
        <v>815</v>
      </c>
      <c r="B5622" t="s">
        <v>721</v>
      </c>
      <c r="C5622" t="s">
        <v>1</v>
      </c>
      <c r="D5622" s="2">
        <v>1</v>
      </c>
      <c r="E5622" s="11" t="s">
        <v>285</v>
      </c>
      <c r="F5622" t="s">
        <v>62</v>
      </c>
      <c r="G5622" s="2" t="s">
        <v>31</v>
      </c>
      <c r="H5622" s="1">
        <v>68.794000000000011</v>
      </c>
    </row>
    <row r="5623" spans="1:8" x14ac:dyDescent="0.3">
      <c r="A5623" s="2">
        <v>815</v>
      </c>
      <c r="B5623" t="s">
        <v>720</v>
      </c>
      <c r="C5623" t="s">
        <v>1</v>
      </c>
      <c r="D5623" s="2">
        <v>1</v>
      </c>
      <c r="E5623" s="11" t="s">
        <v>285</v>
      </c>
      <c r="F5623" t="s">
        <v>62</v>
      </c>
      <c r="G5623" s="2" t="s">
        <v>23</v>
      </c>
      <c r="H5623" s="1">
        <v>68.794000000000011</v>
      </c>
    </row>
    <row r="5624" spans="1:8" x14ac:dyDescent="0.3">
      <c r="A5624" s="2">
        <v>815</v>
      </c>
      <c r="B5624" t="s">
        <v>391</v>
      </c>
      <c r="C5624" t="s">
        <v>3</v>
      </c>
      <c r="D5624" s="2">
        <v>1</v>
      </c>
      <c r="E5624" s="11" t="s">
        <v>197</v>
      </c>
      <c r="F5624" t="s">
        <v>55</v>
      </c>
      <c r="G5624" s="2" t="s">
        <v>23</v>
      </c>
      <c r="H5624" s="1">
        <v>68.794000000000011</v>
      </c>
    </row>
    <row r="5625" spans="1:8" x14ac:dyDescent="0.3">
      <c r="A5625" s="2">
        <v>815</v>
      </c>
      <c r="B5625" t="s">
        <v>390</v>
      </c>
      <c r="C5625" t="s">
        <v>3224</v>
      </c>
      <c r="D5625" s="2">
        <v>1</v>
      </c>
      <c r="E5625" s="11" t="s">
        <v>195</v>
      </c>
      <c r="F5625" t="s">
        <v>55</v>
      </c>
      <c r="G5625" s="2" t="s">
        <v>23</v>
      </c>
      <c r="H5625" s="1">
        <v>84.694000000000017</v>
      </c>
    </row>
    <row r="5626" spans="1:8" x14ac:dyDescent="0.3">
      <c r="A5626" s="2">
        <v>815</v>
      </c>
      <c r="B5626" t="s">
        <v>864</v>
      </c>
      <c r="C5626" t="s">
        <v>1</v>
      </c>
      <c r="D5626" s="2">
        <v>2</v>
      </c>
      <c r="E5626" s="11" t="s">
        <v>737</v>
      </c>
      <c r="F5626" t="s">
        <v>55</v>
      </c>
      <c r="G5626" s="2" t="s">
        <v>4</v>
      </c>
      <c r="H5626" s="1">
        <v>74.094000000000008</v>
      </c>
    </row>
    <row r="5627" spans="1:8" x14ac:dyDescent="0.3">
      <c r="A5627" s="2">
        <v>815</v>
      </c>
      <c r="B5627" t="s">
        <v>808</v>
      </c>
      <c r="C5627" t="s">
        <v>1</v>
      </c>
      <c r="D5627" s="2">
        <v>1</v>
      </c>
      <c r="E5627" s="11" t="s">
        <v>807</v>
      </c>
      <c r="F5627" t="s">
        <v>55</v>
      </c>
      <c r="G5627" s="2" t="s">
        <v>31</v>
      </c>
      <c r="H5627" s="1">
        <v>79.394000000000005</v>
      </c>
    </row>
    <row r="5628" spans="1:8" x14ac:dyDescent="0.3">
      <c r="A5628" s="2">
        <v>815</v>
      </c>
      <c r="B5628" t="s">
        <v>244</v>
      </c>
      <c r="C5628" t="s">
        <v>1</v>
      </c>
      <c r="D5628" s="2">
        <v>1</v>
      </c>
      <c r="E5628" s="11" t="s">
        <v>243</v>
      </c>
      <c r="F5628" t="s">
        <v>241</v>
      </c>
      <c r="G5628" s="2" t="s">
        <v>203</v>
      </c>
      <c r="H5628" s="1">
        <v>31.693999999999999</v>
      </c>
    </row>
    <row r="5629" spans="1:8" x14ac:dyDescent="0.3">
      <c r="A5629" s="2">
        <v>815</v>
      </c>
      <c r="B5629" t="s">
        <v>389</v>
      </c>
      <c r="C5629" t="s">
        <v>3224</v>
      </c>
      <c r="D5629" s="2">
        <v>1</v>
      </c>
      <c r="E5629" s="11" t="s">
        <v>34</v>
      </c>
      <c r="F5629" t="s">
        <v>114</v>
      </c>
      <c r="G5629" s="2" t="s">
        <v>23</v>
      </c>
      <c r="H5629" s="1">
        <v>100.59400000000001</v>
      </c>
    </row>
    <row r="5630" spans="1:8" x14ac:dyDescent="0.3">
      <c r="A5630" s="2">
        <v>815</v>
      </c>
      <c r="B5630" t="s">
        <v>863</v>
      </c>
      <c r="C5630" t="s">
        <v>3233</v>
      </c>
      <c r="D5630" s="2">
        <v>1</v>
      </c>
      <c r="E5630" s="11" t="s">
        <v>862</v>
      </c>
      <c r="F5630" t="s">
        <v>114</v>
      </c>
      <c r="G5630" s="2" t="s">
        <v>23</v>
      </c>
      <c r="H5630" s="1">
        <v>68.794000000000011</v>
      </c>
    </row>
    <row r="5631" spans="1:8" x14ac:dyDescent="0.3">
      <c r="A5631" s="2">
        <v>815</v>
      </c>
      <c r="B5631" t="s">
        <v>861</v>
      </c>
      <c r="C5631" t="s">
        <v>3220</v>
      </c>
      <c r="D5631" s="2">
        <v>1</v>
      </c>
      <c r="E5631" s="11" t="s">
        <v>847</v>
      </c>
      <c r="F5631" t="s">
        <v>114</v>
      </c>
      <c r="G5631" s="2" t="s">
        <v>23</v>
      </c>
      <c r="H5631" s="1">
        <v>21.094000000000001</v>
      </c>
    </row>
    <row r="5632" spans="1:8" x14ac:dyDescent="0.3">
      <c r="A5632" s="2">
        <v>815</v>
      </c>
      <c r="B5632" t="s">
        <v>860</v>
      </c>
      <c r="C5632" t="s">
        <v>1</v>
      </c>
      <c r="D5632" s="2">
        <v>1</v>
      </c>
      <c r="E5632" s="11" t="s">
        <v>243</v>
      </c>
      <c r="F5632" t="s">
        <v>683</v>
      </c>
      <c r="G5632" s="2" t="s">
        <v>31</v>
      </c>
      <c r="H5632" s="1">
        <v>31.693999999999999</v>
      </c>
    </row>
    <row r="5633" spans="1:8" x14ac:dyDescent="0.3">
      <c r="A5633" s="2">
        <v>815</v>
      </c>
      <c r="B5633" t="s">
        <v>698</v>
      </c>
      <c r="C5633" t="s">
        <v>3</v>
      </c>
      <c r="D5633" s="2">
        <v>1</v>
      </c>
      <c r="E5633" s="11" t="s">
        <v>450</v>
      </c>
      <c r="F5633" t="s">
        <v>47</v>
      </c>
      <c r="G5633" s="2" t="s">
        <v>23</v>
      </c>
      <c r="H5633" s="1">
        <v>68.794000000000011</v>
      </c>
    </row>
    <row r="5634" spans="1:8" x14ac:dyDescent="0.3">
      <c r="A5634" s="2">
        <v>815</v>
      </c>
      <c r="B5634" t="s">
        <v>859</v>
      </c>
      <c r="C5634" t="s">
        <v>1</v>
      </c>
      <c r="D5634" s="2">
        <v>1</v>
      </c>
      <c r="E5634" s="11" t="s">
        <v>285</v>
      </c>
      <c r="F5634" t="s">
        <v>39</v>
      </c>
      <c r="G5634" s="2" t="s">
        <v>31</v>
      </c>
      <c r="H5634" s="1">
        <v>68.794000000000011</v>
      </c>
    </row>
    <row r="5635" spans="1:8" x14ac:dyDescent="0.3">
      <c r="A5635" s="2">
        <v>815</v>
      </c>
      <c r="B5635" t="s">
        <v>858</v>
      </c>
      <c r="C5635" t="s">
        <v>3</v>
      </c>
      <c r="D5635" s="2">
        <v>1</v>
      </c>
      <c r="E5635" s="11" t="s">
        <v>675</v>
      </c>
      <c r="F5635" t="s">
        <v>39</v>
      </c>
      <c r="G5635" s="2" t="s">
        <v>23</v>
      </c>
      <c r="H5635" s="1">
        <v>89.994000000000014</v>
      </c>
    </row>
    <row r="5636" spans="1:8" x14ac:dyDescent="0.3">
      <c r="A5636" s="2">
        <v>815</v>
      </c>
      <c r="B5636" t="s">
        <v>381</v>
      </c>
      <c r="C5636" t="s">
        <v>3220</v>
      </c>
      <c r="D5636" s="2">
        <v>1</v>
      </c>
      <c r="E5636" s="11" t="s">
        <v>154</v>
      </c>
      <c r="F5636" t="s">
        <v>39</v>
      </c>
      <c r="G5636" s="2" t="s">
        <v>23</v>
      </c>
      <c r="H5636" s="1">
        <v>84.694000000000017</v>
      </c>
    </row>
    <row r="5637" spans="1:8" x14ac:dyDescent="0.3">
      <c r="A5637" s="2">
        <v>815</v>
      </c>
      <c r="B5637" t="s">
        <v>857</v>
      </c>
      <c r="C5637" t="s">
        <v>3224</v>
      </c>
      <c r="D5637" s="2">
        <v>1</v>
      </c>
      <c r="E5637" s="11" t="s">
        <v>696</v>
      </c>
      <c r="F5637" t="s">
        <v>39</v>
      </c>
      <c r="G5637" s="2" t="s">
        <v>23</v>
      </c>
      <c r="H5637" s="1">
        <v>47.594000000000001</v>
      </c>
    </row>
    <row r="5638" spans="1:8" x14ac:dyDescent="0.3">
      <c r="A5638" s="2">
        <v>815</v>
      </c>
      <c r="B5638" t="s">
        <v>856</v>
      </c>
      <c r="C5638" t="s">
        <v>0</v>
      </c>
      <c r="D5638" s="2">
        <v>1</v>
      </c>
      <c r="E5638" s="11" t="s">
        <v>37</v>
      </c>
      <c r="F5638" t="s">
        <v>39</v>
      </c>
      <c r="G5638" s="2" t="s">
        <v>31</v>
      </c>
      <c r="H5638" s="1">
        <v>132.39400000000001</v>
      </c>
    </row>
    <row r="5639" spans="1:8" x14ac:dyDescent="0.3">
      <c r="A5639" s="2">
        <v>815</v>
      </c>
      <c r="B5639" t="s">
        <v>600</v>
      </c>
      <c r="C5639" t="s">
        <v>1</v>
      </c>
      <c r="D5639" s="2">
        <v>1</v>
      </c>
      <c r="E5639" s="11" t="s">
        <v>599</v>
      </c>
      <c r="F5639" t="s">
        <v>39</v>
      </c>
      <c r="G5639" s="2" t="s">
        <v>4</v>
      </c>
      <c r="H5639" s="1">
        <v>79.394000000000005</v>
      </c>
    </row>
    <row r="5640" spans="1:8" x14ac:dyDescent="0.3">
      <c r="A5640" s="2">
        <v>815</v>
      </c>
      <c r="B5640" t="s">
        <v>192</v>
      </c>
      <c r="C5640" t="s">
        <v>3224</v>
      </c>
      <c r="D5640" s="2">
        <v>1</v>
      </c>
      <c r="E5640" s="11" t="s">
        <v>191</v>
      </c>
      <c r="F5640" t="s">
        <v>36</v>
      </c>
      <c r="G5640" s="2" t="s">
        <v>23</v>
      </c>
      <c r="H5640" s="1">
        <v>63.494000000000007</v>
      </c>
    </row>
    <row r="5641" spans="1:8" x14ac:dyDescent="0.3">
      <c r="A5641" s="2">
        <v>815</v>
      </c>
      <c r="B5641" t="s">
        <v>855</v>
      </c>
      <c r="C5641" t="s">
        <v>3220</v>
      </c>
      <c r="D5641" s="2">
        <v>1</v>
      </c>
      <c r="E5641" s="11" t="s">
        <v>185</v>
      </c>
      <c r="F5641" t="s">
        <v>36</v>
      </c>
      <c r="G5641" s="2" t="s">
        <v>23</v>
      </c>
      <c r="H5641" s="1">
        <v>84.694000000000017</v>
      </c>
    </row>
    <row r="5642" spans="1:8" x14ac:dyDescent="0.3">
      <c r="A5642" s="2">
        <v>815</v>
      </c>
      <c r="B5642" t="s">
        <v>854</v>
      </c>
      <c r="C5642" t="s">
        <v>3</v>
      </c>
      <c r="D5642" s="2">
        <v>1</v>
      </c>
      <c r="E5642" s="11" t="s">
        <v>180</v>
      </c>
      <c r="F5642" t="s">
        <v>36</v>
      </c>
      <c r="G5642" s="2" t="s">
        <v>23</v>
      </c>
      <c r="H5642" s="1">
        <v>105.89400000000001</v>
      </c>
    </row>
    <row r="5643" spans="1:8" x14ac:dyDescent="0.3">
      <c r="A5643" s="2">
        <v>815</v>
      </c>
      <c r="B5643" t="s">
        <v>360</v>
      </c>
      <c r="C5643" t="s">
        <v>1</v>
      </c>
      <c r="D5643" s="2">
        <v>1</v>
      </c>
      <c r="E5643" s="11" t="s">
        <v>357</v>
      </c>
      <c r="F5643" t="s">
        <v>28</v>
      </c>
      <c r="G5643" s="2" t="s">
        <v>4</v>
      </c>
      <c r="H5643" s="1">
        <v>52.893999999999998</v>
      </c>
    </row>
    <row r="5644" spans="1:8" x14ac:dyDescent="0.3">
      <c r="A5644" s="2">
        <v>815</v>
      </c>
      <c r="B5644" t="s">
        <v>853</v>
      </c>
      <c r="C5644" t="s">
        <v>3224</v>
      </c>
      <c r="D5644" s="2">
        <v>1</v>
      </c>
      <c r="E5644" s="11" t="s">
        <v>462</v>
      </c>
      <c r="F5644" t="s">
        <v>28</v>
      </c>
      <c r="G5644" s="2" t="s">
        <v>23</v>
      </c>
      <c r="H5644" s="1">
        <v>79.394000000000005</v>
      </c>
    </row>
    <row r="5645" spans="1:8" x14ac:dyDescent="0.3">
      <c r="A5645" s="2">
        <v>815</v>
      </c>
      <c r="B5645" t="s">
        <v>852</v>
      </c>
      <c r="C5645" t="s">
        <v>0</v>
      </c>
      <c r="D5645" s="2">
        <v>1</v>
      </c>
      <c r="E5645" s="11" t="s">
        <v>364</v>
      </c>
      <c r="F5645" t="s">
        <v>28</v>
      </c>
      <c r="G5645" s="2" t="s">
        <v>31</v>
      </c>
      <c r="H5645" s="1">
        <v>180.09400000000002</v>
      </c>
    </row>
    <row r="5646" spans="1:8" x14ac:dyDescent="0.3">
      <c r="A5646" s="2">
        <v>815</v>
      </c>
      <c r="B5646" t="s">
        <v>851</v>
      </c>
      <c r="C5646" t="s">
        <v>1</v>
      </c>
      <c r="D5646" s="2">
        <v>1</v>
      </c>
      <c r="E5646" s="11" t="s">
        <v>285</v>
      </c>
      <c r="F5646" t="s">
        <v>24</v>
      </c>
      <c r="G5646" s="2" t="s">
        <v>4</v>
      </c>
      <c r="H5646" s="1">
        <v>68.794000000000011</v>
      </c>
    </row>
    <row r="5647" spans="1:8" x14ac:dyDescent="0.3">
      <c r="A5647" s="2">
        <v>815</v>
      </c>
      <c r="B5647" t="s">
        <v>850</v>
      </c>
      <c r="C5647" t="s">
        <v>1</v>
      </c>
      <c r="D5647" s="2">
        <v>1</v>
      </c>
      <c r="E5647" s="11" t="s">
        <v>222</v>
      </c>
      <c r="F5647" t="s">
        <v>24</v>
      </c>
      <c r="G5647" s="2" t="s">
        <v>23</v>
      </c>
      <c r="H5647" s="1">
        <v>52.893999999999998</v>
      </c>
    </row>
    <row r="5648" spans="1:8" x14ac:dyDescent="0.3">
      <c r="A5648" s="2">
        <v>815</v>
      </c>
      <c r="B5648" t="s">
        <v>849</v>
      </c>
      <c r="C5648" t="s">
        <v>3224</v>
      </c>
      <c r="D5648" s="2">
        <v>2</v>
      </c>
      <c r="E5648" s="11" t="s">
        <v>132</v>
      </c>
      <c r="F5648" t="s">
        <v>24</v>
      </c>
      <c r="G5648" s="2" t="s">
        <v>23</v>
      </c>
      <c r="H5648" s="1">
        <v>84.694000000000017</v>
      </c>
    </row>
    <row r="5649" spans="1:8" x14ac:dyDescent="0.3">
      <c r="A5649" s="2">
        <v>815</v>
      </c>
      <c r="B5649" t="s">
        <v>848</v>
      </c>
      <c r="C5649" t="s">
        <v>3220</v>
      </c>
      <c r="D5649" s="2">
        <v>1</v>
      </c>
      <c r="E5649" s="11" t="s">
        <v>847</v>
      </c>
      <c r="F5649" t="s">
        <v>24</v>
      </c>
      <c r="G5649" s="2" t="s">
        <v>23</v>
      </c>
      <c r="H5649" s="1">
        <v>21.094000000000001</v>
      </c>
    </row>
    <row r="5650" spans="1:8" x14ac:dyDescent="0.3">
      <c r="A5650" s="2">
        <v>816</v>
      </c>
      <c r="B5650" t="s">
        <v>846</v>
      </c>
      <c r="C5650" t="s">
        <v>0</v>
      </c>
      <c r="D5650" s="2">
        <v>1</v>
      </c>
      <c r="E5650" s="11" t="s">
        <v>845</v>
      </c>
      <c r="F5650" t="s">
        <v>65</v>
      </c>
      <c r="G5650" s="2" t="s">
        <v>31</v>
      </c>
      <c r="H5650" s="1">
        <v>185.39400000000001</v>
      </c>
    </row>
    <row r="5651" spans="1:8" x14ac:dyDescent="0.3">
      <c r="A5651" s="2">
        <v>816</v>
      </c>
      <c r="B5651" t="s">
        <v>844</v>
      </c>
      <c r="C5651" t="s">
        <v>0</v>
      </c>
      <c r="D5651" s="2">
        <v>1</v>
      </c>
      <c r="E5651" s="11" t="s">
        <v>842</v>
      </c>
      <c r="F5651" t="s">
        <v>65</v>
      </c>
      <c r="G5651" s="2" t="s">
        <v>31</v>
      </c>
      <c r="H5651" s="1">
        <v>201.29400000000001</v>
      </c>
    </row>
    <row r="5652" spans="1:8" x14ac:dyDescent="0.3">
      <c r="A5652" s="2">
        <v>816</v>
      </c>
      <c r="B5652" t="s">
        <v>843</v>
      </c>
      <c r="C5652" t="s">
        <v>0</v>
      </c>
      <c r="D5652" s="2">
        <v>1</v>
      </c>
      <c r="E5652" s="11" t="s">
        <v>842</v>
      </c>
      <c r="F5652" t="s">
        <v>65</v>
      </c>
      <c r="G5652" s="2" t="s">
        <v>23</v>
      </c>
      <c r="H5652" s="1">
        <v>201.29400000000001</v>
      </c>
    </row>
    <row r="5653" spans="1:8" x14ac:dyDescent="0.3">
      <c r="A5653" s="2">
        <v>816</v>
      </c>
      <c r="B5653" t="s">
        <v>420</v>
      </c>
      <c r="C5653" t="s">
        <v>3233</v>
      </c>
      <c r="D5653" s="2">
        <v>1</v>
      </c>
      <c r="E5653" s="11" t="s">
        <v>419</v>
      </c>
      <c r="F5653" t="s">
        <v>126</v>
      </c>
      <c r="G5653" s="2" t="s">
        <v>31</v>
      </c>
      <c r="H5653" s="1">
        <v>105.89400000000001</v>
      </c>
    </row>
    <row r="5654" spans="1:8" x14ac:dyDescent="0.3">
      <c r="A5654" s="2">
        <v>816</v>
      </c>
      <c r="B5654" t="s">
        <v>591</v>
      </c>
      <c r="C5654" t="s">
        <v>0</v>
      </c>
      <c r="D5654" s="2">
        <v>1</v>
      </c>
      <c r="E5654" s="11" t="s">
        <v>291</v>
      </c>
      <c r="F5654" t="s">
        <v>398</v>
      </c>
      <c r="G5654" s="2" t="s">
        <v>4</v>
      </c>
      <c r="H5654" s="1">
        <v>164.19400000000002</v>
      </c>
    </row>
    <row r="5655" spans="1:8" x14ac:dyDescent="0.3">
      <c r="A5655" s="2">
        <v>816</v>
      </c>
      <c r="B5655" t="s">
        <v>399</v>
      </c>
      <c r="C5655" t="s">
        <v>0</v>
      </c>
      <c r="D5655" s="2">
        <v>1</v>
      </c>
      <c r="E5655" s="11" t="s">
        <v>291</v>
      </c>
      <c r="F5655" t="s">
        <v>398</v>
      </c>
      <c r="G5655" s="2" t="s">
        <v>31</v>
      </c>
      <c r="H5655" s="1">
        <v>164.19400000000002</v>
      </c>
    </row>
    <row r="5656" spans="1:8" x14ac:dyDescent="0.3">
      <c r="A5656" s="2">
        <v>816</v>
      </c>
      <c r="B5656" t="s">
        <v>841</v>
      </c>
      <c r="C5656" t="s">
        <v>0</v>
      </c>
      <c r="D5656" s="2">
        <v>1</v>
      </c>
      <c r="E5656" s="11" t="s">
        <v>396</v>
      </c>
      <c r="F5656" t="s">
        <v>398</v>
      </c>
      <c r="G5656" s="2" t="s">
        <v>4</v>
      </c>
      <c r="H5656" s="1">
        <v>164.19400000000002</v>
      </c>
    </row>
    <row r="5657" spans="1:8" x14ac:dyDescent="0.3">
      <c r="A5657" s="2">
        <v>816</v>
      </c>
      <c r="B5657" t="s">
        <v>817</v>
      </c>
      <c r="C5657" t="s">
        <v>0</v>
      </c>
      <c r="D5657" s="2">
        <v>1</v>
      </c>
      <c r="E5657" s="11" t="s">
        <v>396</v>
      </c>
      <c r="F5657" t="s">
        <v>398</v>
      </c>
      <c r="G5657" s="2" t="s">
        <v>31</v>
      </c>
      <c r="H5657" s="1">
        <v>164.19400000000002</v>
      </c>
    </row>
    <row r="5658" spans="1:8" x14ac:dyDescent="0.3">
      <c r="A5658" s="2">
        <v>816</v>
      </c>
      <c r="B5658" t="s">
        <v>292</v>
      </c>
      <c r="C5658" t="s">
        <v>0</v>
      </c>
      <c r="D5658" s="2">
        <v>1</v>
      </c>
      <c r="E5658" s="11" t="s">
        <v>291</v>
      </c>
      <c r="F5658" t="s">
        <v>81</v>
      </c>
      <c r="G5658" s="2" t="s">
        <v>31</v>
      </c>
      <c r="H5658" s="1">
        <v>164.19400000000002</v>
      </c>
    </row>
    <row r="5659" spans="1:8" x14ac:dyDescent="0.3">
      <c r="A5659" s="2">
        <v>816</v>
      </c>
      <c r="B5659" t="s">
        <v>840</v>
      </c>
      <c r="C5659" t="s">
        <v>0</v>
      </c>
      <c r="D5659" s="2">
        <v>1</v>
      </c>
      <c r="E5659" s="11" t="s">
        <v>396</v>
      </c>
      <c r="F5659" t="s">
        <v>81</v>
      </c>
      <c r="G5659" s="2" t="s">
        <v>4</v>
      </c>
      <c r="H5659" s="1">
        <v>164.19400000000002</v>
      </c>
    </row>
    <row r="5660" spans="1:8" x14ac:dyDescent="0.3">
      <c r="A5660" s="2">
        <v>816</v>
      </c>
      <c r="B5660" t="s">
        <v>839</v>
      </c>
      <c r="C5660" t="s">
        <v>0</v>
      </c>
      <c r="D5660" s="2">
        <v>1</v>
      </c>
      <c r="E5660" s="11" t="s">
        <v>396</v>
      </c>
      <c r="F5660" t="s">
        <v>81</v>
      </c>
      <c r="G5660" s="2" t="s">
        <v>31</v>
      </c>
      <c r="H5660" s="1">
        <v>164.19400000000002</v>
      </c>
    </row>
    <row r="5661" spans="1:8" x14ac:dyDescent="0.3">
      <c r="A5661" s="2">
        <v>816</v>
      </c>
      <c r="B5661" t="s">
        <v>397</v>
      </c>
      <c r="C5661" t="s">
        <v>0</v>
      </c>
      <c r="D5661" s="2">
        <v>1</v>
      </c>
      <c r="E5661" s="11" t="s">
        <v>396</v>
      </c>
      <c r="F5661" t="s">
        <v>81</v>
      </c>
      <c r="G5661" s="2" t="s">
        <v>23</v>
      </c>
      <c r="H5661" s="1">
        <v>164.19400000000002</v>
      </c>
    </row>
    <row r="5662" spans="1:8" x14ac:dyDescent="0.3">
      <c r="A5662" s="2">
        <v>816</v>
      </c>
      <c r="B5662" t="s">
        <v>838</v>
      </c>
      <c r="C5662" t="s">
        <v>3224</v>
      </c>
      <c r="D5662" s="2">
        <v>1</v>
      </c>
      <c r="E5662" s="11" t="s">
        <v>529</v>
      </c>
      <c r="F5662" t="s">
        <v>81</v>
      </c>
      <c r="G5662" s="2" t="s">
        <v>31</v>
      </c>
      <c r="H5662" s="1">
        <v>84.694000000000017</v>
      </c>
    </row>
    <row r="5663" spans="1:8" x14ac:dyDescent="0.3">
      <c r="A5663" s="2">
        <v>816</v>
      </c>
      <c r="B5663" t="s">
        <v>837</v>
      </c>
      <c r="C5663" t="s">
        <v>3233</v>
      </c>
      <c r="D5663" s="2">
        <v>1</v>
      </c>
      <c r="E5663" s="11" t="s">
        <v>799</v>
      </c>
      <c r="F5663" t="s">
        <v>81</v>
      </c>
      <c r="G5663" s="2" t="s">
        <v>31</v>
      </c>
      <c r="H5663" s="1">
        <v>127.09400000000001</v>
      </c>
    </row>
    <row r="5664" spans="1:8" x14ac:dyDescent="0.3">
      <c r="A5664" s="2">
        <v>816</v>
      </c>
      <c r="B5664" t="s">
        <v>836</v>
      </c>
      <c r="C5664" t="s">
        <v>0</v>
      </c>
      <c r="D5664" s="2">
        <v>1</v>
      </c>
      <c r="E5664" s="11" t="s">
        <v>665</v>
      </c>
      <c r="F5664" t="s">
        <v>28</v>
      </c>
      <c r="G5664" s="2" t="s">
        <v>31</v>
      </c>
      <c r="H5664" s="1">
        <v>164.19400000000002</v>
      </c>
    </row>
    <row r="5665" spans="1:8" x14ac:dyDescent="0.3">
      <c r="A5665" s="2">
        <v>816</v>
      </c>
      <c r="B5665" t="s">
        <v>835</v>
      </c>
      <c r="C5665" t="s">
        <v>0</v>
      </c>
      <c r="D5665" s="2">
        <v>1</v>
      </c>
      <c r="E5665" s="11" t="s">
        <v>310</v>
      </c>
      <c r="F5665" t="s">
        <v>114</v>
      </c>
      <c r="G5665" s="2" t="s">
        <v>31</v>
      </c>
      <c r="H5665" s="1">
        <v>153.59400000000002</v>
      </c>
    </row>
    <row r="5666" spans="1:8" x14ac:dyDescent="0.3">
      <c r="A5666" s="2">
        <v>816</v>
      </c>
      <c r="B5666" t="s">
        <v>834</v>
      </c>
      <c r="C5666" t="s">
        <v>3225</v>
      </c>
      <c r="D5666" s="2">
        <v>1</v>
      </c>
      <c r="E5666" s="11" t="s">
        <v>527</v>
      </c>
      <c r="F5666" t="s">
        <v>114</v>
      </c>
      <c r="G5666" s="2" t="s">
        <v>31</v>
      </c>
      <c r="H5666" s="1">
        <v>227.79400000000001</v>
      </c>
    </row>
    <row r="5667" spans="1:8" x14ac:dyDescent="0.3">
      <c r="A5667" s="2">
        <v>816</v>
      </c>
      <c r="B5667" t="s">
        <v>226</v>
      </c>
      <c r="C5667" t="s">
        <v>3224</v>
      </c>
      <c r="D5667" s="2">
        <v>1</v>
      </c>
      <c r="E5667" s="11" t="s">
        <v>193</v>
      </c>
      <c r="F5667" t="s">
        <v>47</v>
      </c>
      <c r="G5667" s="2" t="s">
        <v>31</v>
      </c>
      <c r="H5667" s="1">
        <v>100.59400000000001</v>
      </c>
    </row>
    <row r="5668" spans="1:8" x14ac:dyDescent="0.3">
      <c r="A5668" s="2">
        <v>816</v>
      </c>
      <c r="B5668" t="s">
        <v>833</v>
      </c>
      <c r="C5668" t="s">
        <v>3224</v>
      </c>
      <c r="D5668" s="2">
        <v>1</v>
      </c>
      <c r="E5668" s="11" t="s">
        <v>193</v>
      </c>
      <c r="F5668" t="s">
        <v>47</v>
      </c>
      <c r="G5668" s="2" t="s">
        <v>23</v>
      </c>
      <c r="H5668" s="1">
        <v>100.59400000000001</v>
      </c>
    </row>
    <row r="5669" spans="1:8" x14ac:dyDescent="0.3">
      <c r="A5669" s="2">
        <v>816</v>
      </c>
      <c r="B5669" t="s">
        <v>832</v>
      </c>
      <c r="C5669" t="s">
        <v>3225</v>
      </c>
      <c r="D5669" s="2">
        <v>1</v>
      </c>
      <c r="E5669" s="11" t="s">
        <v>831</v>
      </c>
      <c r="F5669" t="s">
        <v>47</v>
      </c>
      <c r="G5669" s="2" t="s">
        <v>4</v>
      </c>
      <c r="H5669" s="1">
        <v>190.69400000000002</v>
      </c>
    </row>
    <row r="5670" spans="1:8" x14ac:dyDescent="0.3">
      <c r="A5670" s="2">
        <v>816</v>
      </c>
      <c r="B5670" t="s">
        <v>830</v>
      </c>
      <c r="C5670" t="s">
        <v>0</v>
      </c>
      <c r="D5670" s="2">
        <v>1</v>
      </c>
      <c r="E5670" s="11" t="s">
        <v>217</v>
      </c>
      <c r="F5670" t="s">
        <v>47</v>
      </c>
      <c r="G5670" s="2" t="s">
        <v>23</v>
      </c>
      <c r="H5670" s="1">
        <v>142.994</v>
      </c>
    </row>
    <row r="5671" spans="1:8" x14ac:dyDescent="0.3">
      <c r="A5671" s="2">
        <v>816</v>
      </c>
      <c r="B5671" t="s">
        <v>829</v>
      </c>
      <c r="C5671" t="s">
        <v>0</v>
      </c>
      <c r="D5671" s="2">
        <v>1</v>
      </c>
      <c r="E5671" s="11" t="s">
        <v>310</v>
      </c>
      <c r="F5671" t="s">
        <v>47</v>
      </c>
      <c r="G5671" s="2" t="s">
        <v>4</v>
      </c>
      <c r="H5671" s="1">
        <v>153.59400000000002</v>
      </c>
    </row>
    <row r="5672" spans="1:8" x14ac:dyDescent="0.3">
      <c r="A5672" s="2">
        <v>816</v>
      </c>
      <c r="B5672" t="s">
        <v>765</v>
      </c>
      <c r="C5672" t="s">
        <v>0</v>
      </c>
      <c r="D5672" s="2">
        <v>1</v>
      </c>
      <c r="E5672" s="11" t="s">
        <v>531</v>
      </c>
      <c r="F5672" t="s">
        <v>39</v>
      </c>
      <c r="G5672" s="2" t="s">
        <v>4</v>
      </c>
      <c r="H5672" s="1">
        <v>217.19400000000002</v>
      </c>
    </row>
    <row r="5673" spans="1:8" x14ac:dyDescent="0.3">
      <c r="A5673" s="2">
        <v>816</v>
      </c>
      <c r="B5673" t="s">
        <v>590</v>
      </c>
      <c r="C5673" t="s">
        <v>0</v>
      </c>
      <c r="D5673" s="2">
        <v>1</v>
      </c>
      <c r="E5673" s="11" t="s">
        <v>464</v>
      </c>
      <c r="F5673" t="s">
        <v>39</v>
      </c>
      <c r="G5673" s="2" t="s">
        <v>31</v>
      </c>
      <c r="H5673" s="1">
        <v>206.59400000000002</v>
      </c>
    </row>
    <row r="5674" spans="1:8" x14ac:dyDescent="0.3">
      <c r="A5674" s="2">
        <v>816</v>
      </c>
      <c r="B5674" t="s">
        <v>828</v>
      </c>
      <c r="C5674" t="s">
        <v>0</v>
      </c>
      <c r="D5674" s="2">
        <v>1</v>
      </c>
      <c r="E5674" s="11" t="s">
        <v>531</v>
      </c>
      <c r="F5674" t="s">
        <v>28</v>
      </c>
      <c r="G5674" s="2" t="s">
        <v>31</v>
      </c>
      <c r="H5674" s="1">
        <v>217.19400000000002</v>
      </c>
    </row>
    <row r="5675" spans="1:8" x14ac:dyDescent="0.3">
      <c r="A5675" s="2">
        <v>817</v>
      </c>
      <c r="B5675" t="s">
        <v>827</v>
      </c>
      <c r="C5675" t="s">
        <v>3220</v>
      </c>
      <c r="D5675" s="2">
        <v>2</v>
      </c>
      <c r="E5675" s="11" t="s">
        <v>640</v>
      </c>
      <c r="F5675" t="s">
        <v>55</v>
      </c>
      <c r="G5675" s="2" t="s">
        <v>31</v>
      </c>
      <c r="H5675" s="1">
        <v>21.094000000000001</v>
      </c>
    </row>
    <row r="5676" spans="1:8" x14ac:dyDescent="0.3">
      <c r="A5676" s="2">
        <v>817</v>
      </c>
      <c r="B5676" t="s">
        <v>652</v>
      </c>
      <c r="C5676" t="s">
        <v>3220</v>
      </c>
      <c r="D5676" s="2">
        <v>1</v>
      </c>
      <c r="E5676" s="11" t="s">
        <v>640</v>
      </c>
      <c r="F5676" t="s">
        <v>55</v>
      </c>
      <c r="G5676" s="2" t="s">
        <v>23</v>
      </c>
      <c r="H5676" s="1">
        <v>21.094000000000001</v>
      </c>
    </row>
    <row r="5677" spans="1:8" x14ac:dyDescent="0.3">
      <c r="A5677" s="2">
        <v>817</v>
      </c>
      <c r="B5677" t="s">
        <v>826</v>
      </c>
      <c r="C5677" t="s">
        <v>3224</v>
      </c>
      <c r="D5677" s="2">
        <v>1</v>
      </c>
      <c r="E5677" s="11" t="s">
        <v>499</v>
      </c>
      <c r="F5677" t="s">
        <v>55</v>
      </c>
      <c r="G5677" s="2" t="s">
        <v>4</v>
      </c>
      <c r="H5677" s="1">
        <v>84.694000000000017</v>
      </c>
    </row>
    <row r="5678" spans="1:8" x14ac:dyDescent="0.3">
      <c r="A5678" s="2">
        <v>817</v>
      </c>
      <c r="B5678" t="s">
        <v>825</v>
      </c>
      <c r="C5678" t="s">
        <v>3224</v>
      </c>
      <c r="D5678" s="2">
        <v>1</v>
      </c>
      <c r="E5678" s="11" t="s">
        <v>191</v>
      </c>
      <c r="F5678" t="s">
        <v>65</v>
      </c>
      <c r="G5678" s="2" t="s">
        <v>31</v>
      </c>
      <c r="H5678" s="1">
        <v>63.494000000000007</v>
      </c>
    </row>
    <row r="5679" spans="1:8" x14ac:dyDescent="0.3">
      <c r="A5679" s="2">
        <v>817</v>
      </c>
      <c r="B5679" t="s">
        <v>238</v>
      </c>
      <c r="C5679" t="s">
        <v>3224</v>
      </c>
      <c r="D5679" s="2">
        <v>1</v>
      </c>
      <c r="E5679" s="11" t="s">
        <v>191</v>
      </c>
      <c r="F5679" t="s">
        <v>114</v>
      </c>
      <c r="G5679" s="2" t="s">
        <v>31</v>
      </c>
      <c r="H5679" s="1">
        <v>63.494000000000007</v>
      </c>
    </row>
    <row r="5680" spans="1:8" x14ac:dyDescent="0.3">
      <c r="A5680" s="2">
        <v>817</v>
      </c>
      <c r="B5680" t="s">
        <v>824</v>
      </c>
      <c r="C5680" t="s">
        <v>3220</v>
      </c>
      <c r="D5680" s="2">
        <v>1</v>
      </c>
      <c r="E5680" s="11" t="s">
        <v>140</v>
      </c>
      <c r="F5680" t="s">
        <v>114</v>
      </c>
      <c r="G5680" s="2" t="s">
        <v>31</v>
      </c>
      <c r="H5680" s="1">
        <v>42.294000000000004</v>
      </c>
    </row>
    <row r="5681" spans="1:8" x14ac:dyDescent="0.3">
      <c r="A5681" s="2">
        <v>817</v>
      </c>
      <c r="B5681" t="s">
        <v>387</v>
      </c>
      <c r="C5681" t="s">
        <v>3220</v>
      </c>
      <c r="D5681" s="2">
        <v>1</v>
      </c>
      <c r="E5681" s="11" t="s">
        <v>140</v>
      </c>
      <c r="F5681" t="s">
        <v>114</v>
      </c>
      <c r="G5681" s="2" t="s">
        <v>23</v>
      </c>
      <c r="H5681" s="1">
        <v>42.294000000000004</v>
      </c>
    </row>
    <row r="5682" spans="1:8" x14ac:dyDescent="0.3">
      <c r="A5682" s="2">
        <v>817</v>
      </c>
      <c r="B5682" t="s">
        <v>225</v>
      </c>
      <c r="C5682" t="s">
        <v>3224</v>
      </c>
      <c r="D5682" s="2">
        <v>1</v>
      </c>
      <c r="E5682" s="11" t="s">
        <v>191</v>
      </c>
      <c r="F5682" t="s">
        <v>47</v>
      </c>
      <c r="G5682" s="2" t="s">
        <v>31</v>
      </c>
      <c r="H5682" s="1">
        <v>63.494000000000007</v>
      </c>
    </row>
    <row r="5683" spans="1:8" x14ac:dyDescent="0.3">
      <c r="A5683" s="2">
        <v>817</v>
      </c>
      <c r="B5683" t="s">
        <v>500</v>
      </c>
      <c r="C5683" t="s">
        <v>3224</v>
      </c>
      <c r="D5683" s="2">
        <v>1</v>
      </c>
      <c r="E5683" s="11" t="s">
        <v>499</v>
      </c>
      <c r="F5683" t="s">
        <v>39</v>
      </c>
      <c r="G5683" s="2" t="s">
        <v>4</v>
      </c>
      <c r="H5683" s="1">
        <v>84.694000000000017</v>
      </c>
    </row>
    <row r="5684" spans="1:8" x14ac:dyDescent="0.3">
      <c r="A5684" s="2">
        <v>817</v>
      </c>
      <c r="B5684" t="s">
        <v>823</v>
      </c>
      <c r="C5684" t="s">
        <v>2</v>
      </c>
      <c r="D5684" s="2">
        <v>2</v>
      </c>
      <c r="E5684" s="11" t="s">
        <v>733</v>
      </c>
      <c r="F5684" t="s">
        <v>39</v>
      </c>
      <c r="G5684" s="2" t="s">
        <v>31</v>
      </c>
      <c r="H5684" s="1">
        <v>132.39400000000001</v>
      </c>
    </row>
    <row r="5685" spans="1:8" x14ac:dyDescent="0.3">
      <c r="A5685" s="2">
        <v>817</v>
      </c>
      <c r="B5685" t="s">
        <v>822</v>
      </c>
      <c r="C5685" t="s">
        <v>3224</v>
      </c>
      <c r="D5685" s="2">
        <v>1</v>
      </c>
      <c r="E5685" s="11" t="s">
        <v>191</v>
      </c>
      <c r="F5685" t="s">
        <v>36</v>
      </c>
      <c r="G5685" s="2" t="s">
        <v>31</v>
      </c>
      <c r="H5685" s="1">
        <v>63.494000000000007</v>
      </c>
    </row>
    <row r="5686" spans="1:8" x14ac:dyDescent="0.3">
      <c r="A5686" s="2">
        <v>817</v>
      </c>
      <c r="B5686" t="s">
        <v>821</v>
      </c>
      <c r="C5686" t="s">
        <v>3224</v>
      </c>
      <c r="D5686" s="2">
        <v>1</v>
      </c>
      <c r="E5686" s="11" t="s">
        <v>819</v>
      </c>
      <c r="F5686" t="s">
        <v>28</v>
      </c>
      <c r="G5686" s="2" t="s">
        <v>31</v>
      </c>
      <c r="H5686" s="1">
        <v>79.394000000000005</v>
      </c>
    </row>
    <row r="5687" spans="1:8" x14ac:dyDescent="0.3">
      <c r="A5687" s="2">
        <v>817</v>
      </c>
      <c r="B5687" t="s">
        <v>820</v>
      </c>
      <c r="C5687" t="s">
        <v>3224</v>
      </c>
      <c r="D5687" s="2">
        <v>1</v>
      </c>
      <c r="E5687" s="11" t="s">
        <v>819</v>
      </c>
      <c r="F5687" t="s">
        <v>28</v>
      </c>
      <c r="G5687" s="2" t="s">
        <v>23</v>
      </c>
      <c r="H5687" s="1">
        <v>79.394000000000005</v>
      </c>
    </row>
    <row r="5688" spans="1:8" x14ac:dyDescent="0.3">
      <c r="A5688" s="2">
        <v>817</v>
      </c>
      <c r="B5688" t="s">
        <v>818</v>
      </c>
      <c r="C5688" t="s">
        <v>3220</v>
      </c>
      <c r="D5688" s="2">
        <v>1</v>
      </c>
      <c r="E5688" s="11" t="s">
        <v>140</v>
      </c>
      <c r="F5688" t="s">
        <v>28</v>
      </c>
      <c r="G5688" s="2" t="s">
        <v>31</v>
      </c>
      <c r="H5688" s="1">
        <v>42.294000000000004</v>
      </c>
    </row>
    <row r="5689" spans="1:8" x14ac:dyDescent="0.3">
      <c r="A5689" s="2">
        <v>818</v>
      </c>
      <c r="B5689" t="s">
        <v>622</v>
      </c>
      <c r="C5689" t="s">
        <v>3233</v>
      </c>
      <c r="D5689" s="2">
        <v>1</v>
      </c>
      <c r="E5689" s="11" t="s">
        <v>606</v>
      </c>
      <c r="F5689" t="s">
        <v>65</v>
      </c>
      <c r="G5689" s="2" t="s">
        <v>31</v>
      </c>
      <c r="H5689" s="1">
        <v>74.094000000000008</v>
      </c>
    </row>
    <row r="5690" spans="1:8" x14ac:dyDescent="0.3">
      <c r="A5690" s="2">
        <v>818</v>
      </c>
      <c r="B5690" t="s">
        <v>817</v>
      </c>
      <c r="C5690" t="s">
        <v>0</v>
      </c>
      <c r="D5690" s="2">
        <v>1</v>
      </c>
      <c r="E5690" s="11" t="s">
        <v>396</v>
      </c>
      <c r="F5690" t="s">
        <v>398</v>
      </c>
      <c r="G5690" s="2" t="s">
        <v>31</v>
      </c>
      <c r="H5690" s="1">
        <v>164.19400000000002</v>
      </c>
    </row>
    <row r="5691" spans="1:8" x14ac:dyDescent="0.3">
      <c r="A5691" s="2">
        <v>818</v>
      </c>
      <c r="B5691" t="s">
        <v>816</v>
      </c>
      <c r="C5691" t="s">
        <v>3233</v>
      </c>
      <c r="D5691" s="2">
        <v>1</v>
      </c>
      <c r="E5691" s="11" t="s">
        <v>815</v>
      </c>
      <c r="F5691" t="s">
        <v>398</v>
      </c>
      <c r="G5691" s="2" t="s">
        <v>4</v>
      </c>
      <c r="H5691" s="1">
        <v>79.394000000000005</v>
      </c>
    </row>
    <row r="5692" spans="1:8" x14ac:dyDescent="0.3">
      <c r="A5692" s="2">
        <v>818</v>
      </c>
      <c r="B5692" t="s">
        <v>814</v>
      </c>
      <c r="C5692" t="s">
        <v>0</v>
      </c>
      <c r="D5692" s="2">
        <v>1</v>
      </c>
      <c r="E5692" s="11" t="s">
        <v>813</v>
      </c>
      <c r="F5692" t="s">
        <v>398</v>
      </c>
      <c r="G5692" s="2" t="s">
        <v>23</v>
      </c>
      <c r="H5692" s="1">
        <v>164.19400000000002</v>
      </c>
    </row>
    <row r="5693" spans="1:8" x14ac:dyDescent="0.3">
      <c r="A5693" s="2">
        <v>818</v>
      </c>
      <c r="B5693" t="s">
        <v>472</v>
      </c>
      <c r="C5693" t="s">
        <v>0</v>
      </c>
      <c r="D5693" s="2">
        <v>1</v>
      </c>
      <c r="E5693" s="11" t="s">
        <v>291</v>
      </c>
      <c r="F5693" t="s">
        <v>81</v>
      </c>
      <c r="G5693" s="2" t="s">
        <v>4</v>
      </c>
      <c r="H5693" s="1">
        <v>164.19400000000002</v>
      </c>
    </row>
    <row r="5694" spans="1:8" x14ac:dyDescent="0.3">
      <c r="A5694" s="2">
        <v>818</v>
      </c>
      <c r="B5694" t="s">
        <v>666</v>
      </c>
      <c r="C5694" t="s">
        <v>0</v>
      </c>
      <c r="D5694" s="2">
        <v>1</v>
      </c>
      <c r="E5694" s="11" t="s">
        <v>665</v>
      </c>
      <c r="F5694" t="s">
        <v>28</v>
      </c>
      <c r="G5694" s="2" t="s">
        <v>23</v>
      </c>
      <c r="H5694" s="1">
        <v>164.19400000000002</v>
      </c>
    </row>
    <row r="5695" spans="1:8" x14ac:dyDescent="0.3">
      <c r="A5695" s="2">
        <v>818</v>
      </c>
      <c r="B5695" t="s">
        <v>812</v>
      </c>
      <c r="C5695" t="s">
        <v>3224</v>
      </c>
      <c r="D5695" s="2">
        <v>1</v>
      </c>
      <c r="E5695" s="11" t="s">
        <v>696</v>
      </c>
      <c r="F5695" t="s">
        <v>47</v>
      </c>
      <c r="G5695" s="2" t="s">
        <v>23</v>
      </c>
      <c r="H5695" s="1">
        <v>47.594000000000001</v>
      </c>
    </row>
    <row r="5696" spans="1:8" x14ac:dyDescent="0.3">
      <c r="A5696" s="2">
        <v>818</v>
      </c>
      <c r="B5696" t="s">
        <v>811</v>
      </c>
      <c r="C5696" t="s">
        <v>3224</v>
      </c>
      <c r="D5696" s="2">
        <v>1</v>
      </c>
      <c r="E5696" s="11" t="s">
        <v>696</v>
      </c>
      <c r="F5696" t="s">
        <v>39</v>
      </c>
      <c r="G5696" s="2" t="s">
        <v>31</v>
      </c>
      <c r="H5696" s="1">
        <v>47.594000000000001</v>
      </c>
    </row>
    <row r="5697" spans="1:8" x14ac:dyDescent="0.3">
      <c r="A5697" s="2">
        <v>818</v>
      </c>
      <c r="B5697" t="s">
        <v>465</v>
      </c>
      <c r="C5697" t="s">
        <v>0</v>
      </c>
      <c r="D5697" s="2">
        <v>1</v>
      </c>
      <c r="E5697" s="11" t="s">
        <v>464</v>
      </c>
      <c r="F5697" t="s">
        <v>39</v>
      </c>
      <c r="G5697" s="2" t="s">
        <v>4</v>
      </c>
      <c r="H5697" s="1">
        <v>206.59400000000002</v>
      </c>
    </row>
    <row r="5698" spans="1:8" x14ac:dyDescent="0.3">
      <c r="A5698" s="2">
        <v>818</v>
      </c>
      <c r="B5698" t="s">
        <v>800</v>
      </c>
      <c r="C5698" t="s">
        <v>3233</v>
      </c>
      <c r="D5698" s="2">
        <v>1</v>
      </c>
      <c r="E5698" s="11" t="s">
        <v>799</v>
      </c>
      <c r="F5698" t="s">
        <v>39</v>
      </c>
      <c r="G5698" s="2" t="s">
        <v>23</v>
      </c>
      <c r="H5698" s="1">
        <v>127.09400000000001</v>
      </c>
    </row>
    <row r="5699" spans="1:8" x14ac:dyDescent="0.3">
      <c r="A5699" s="2">
        <v>818</v>
      </c>
      <c r="B5699" t="s">
        <v>810</v>
      </c>
      <c r="C5699" t="s">
        <v>3233</v>
      </c>
      <c r="D5699" s="2">
        <v>1</v>
      </c>
      <c r="E5699" s="11" t="s">
        <v>606</v>
      </c>
      <c r="F5699" t="s">
        <v>28</v>
      </c>
      <c r="G5699" s="2" t="s">
        <v>4</v>
      </c>
      <c r="H5699" s="1">
        <v>74.094000000000008</v>
      </c>
    </row>
    <row r="5700" spans="1:8" x14ac:dyDescent="0.3">
      <c r="A5700" s="2">
        <v>818</v>
      </c>
      <c r="B5700" t="s">
        <v>414</v>
      </c>
      <c r="C5700" t="s">
        <v>0</v>
      </c>
      <c r="D5700" s="2">
        <v>1</v>
      </c>
      <c r="E5700" s="11" t="s">
        <v>413</v>
      </c>
      <c r="F5700" t="s">
        <v>28</v>
      </c>
      <c r="G5700" s="2" t="s">
        <v>31</v>
      </c>
      <c r="H5700" s="1">
        <v>132.39400000000001</v>
      </c>
    </row>
    <row r="5701" spans="1:8" x14ac:dyDescent="0.3">
      <c r="A5701" s="2">
        <v>819</v>
      </c>
      <c r="B5701" t="s">
        <v>809</v>
      </c>
      <c r="C5701" t="s">
        <v>3224</v>
      </c>
      <c r="D5701" s="2">
        <v>1</v>
      </c>
      <c r="E5701" s="11" t="s">
        <v>663</v>
      </c>
      <c r="F5701" t="s">
        <v>55</v>
      </c>
      <c r="G5701" s="2" t="s">
        <v>23</v>
      </c>
      <c r="H5701" s="1">
        <v>111.19400000000002</v>
      </c>
    </row>
    <row r="5702" spans="1:8" x14ac:dyDescent="0.3">
      <c r="A5702" s="2">
        <v>819</v>
      </c>
      <c r="B5702" t="s">
        <v>808</v>
      </c>
      <c r="C5702" t="s">
        <v>1</v>
      </c>
      <c r="D5702" s="2">
        <v>1</v>
      </c>
      <c r="E5702" s="11" t="s">
        <v>807</v>
      </c>
      <c r="F5702" t="s">
        <v>55</v>
      </c>
      <c r="G5702" s="2" t="s">
        <v>31</v>
      </c>
      <c r="H5702" s="1">
        <v>79.394000000000005</v>
      </c>
    </row>
    <row r="5703" spans="1:8" x14ac:dyDescent="0.3">
      <c r="A5703" s="2">
        <v>819</v>
      </c>
      <c r="B5703" t="s">
        <v>806</v>
      </c>
      <c r="C5703" t="s">
        <v>1</v>
      </c>
      <c r="D5703" s="2">
        <v>1</v>
      </c>
      <c r="E5703" s="11" t="s">
        <v>805</v>
      </c>
      <c r="F5703" t="s">
        <v>55</v>
      </c>
      <c r="G5703" s="2" t="s">
        <v>31</v>
      </c>
      <c r="H5703" s="1">
        <v>89.994000000000014</v>
      </c>
    </row>
    <row r="5704" spans="1:8" x14ac:dyDescent="0.3">
      <c r="A5704" s="2">
        <v>819</v>
      </c>
      <c r="B5704" t="s">
        <v>505</v>
      </c>
      <c r="C5704" t="s">
        <v>3224</v>
      </c>
      <c r="D5704" s="2">
        <v>2</v>
      </c>
      <c r="E5704" s="11" t="s">
        <v>191</v>
      </c>
      <c r="F5704" t="s">
        <v>114</v>
      </c>
      <c r="G5704" s="2" t="s">
        <v>23</v>
      </c>
      <c r="H5704" s="1">
        <v>63.494000000000007</v>
      </c>
    </row>
    <row r="5705" spans="1:8" x14ac:dyDescent="0.3">
      <c r="A5705" s="2">
        <v>819</v>
      </c>
      <c r="B5705" t="s">
        <v>804</v>
      </c>
      <c r="C5705" t="s">
        <v>3219</v>
      </c>
      <c r="D5705" s="2">
        <v>1</v>
      </c>
      <c r="E5705" s="11" t="s">
        <v>209</v>
      </c>
      <c r="F5705" t="s">
        <v>114</v>
      </c>
      <c r="G5705" s="2" t="s">
        <v>23</v>
      </c>
      <c r="H5705" s="1">
        <v>164.19400000000002</v>
      </c>
    </row>
    <row r="5706" spans="1:8" x14ac:dyDescent="0.3">
      <c r="A5706" s="2">
        <v>819</v>
      </c>
      <c r="B5706" t="s">
        <v>803</v>
      </c>
      <c r="C5706" t="s">
        <v>3233</v>
      </c>
      <c r="D5706" s="2">
        <v>1</v>
      </c>
      <c r="E5706" s="11" t="s">
        <v>802</v>
      </c>
      <c r="F5706" t="s">
        <v>36</v>
      </c>
      <c r="G5706" s="2" t="s">
        <v>31</v>
      </c>
      <c r="H5706" s="1">
        <v>68.794000000000011</v>
      </c>
    </row>
    <row r="5707" spans="1:8" x14ac:dyDescent="0.3">
      <c r="A5707" s="2">
        <v>819</v>
      </c>
      <c r="B5707" t="s">
        <v>801</v>
      </c>
      <c r="C5707" t="s">
        <v>3225</v>
      </c>
      <c r="D5707" s="2">
        <v>1</v>
      </c>
      <c r="E5707" s="11" t="s">
        <v>491</v>
      </c>
      <c r="F5707" t="s">
        <v>47</v>
      </c>
      <c r="G5707" s="2" t="s">
        <v>23</v>
      </c>
      <c r="H5707" s="1">
        <v>164.19400000000002</v>
      </c>
    </row>
    <row r="5708" spans="1:8" x14ac:dyDescent="0.3">
      <c r="A5708" s="2">
        <v>819</v>
      </c>
      <c r="B5708" t="s">
        <v>788</v>
      </c>
      <c r="C5708" t="s">
        <v>3225</v>
      </c>
      <c r="D5708" s="2">
        <v>1</v>
      </c>
      <c r="E5708" s="11" t="s">
        <v>176</v>
      </c>
      <c r="F5708" t="s">
        <v>47</v>
      </c>
      <c r="G5708" s="2" t="s">
        <v>31</v>
      </c>
      <c r="H5708" s="1">
        <v>153.59400000000002</v>
      </c>
    </row>
    <row r="5709" spans="1:8" x14ac:dyDescent="0.3">
      <c r="A5709" s="2">
        <v>819</v>
      </c>
      <c r="B5709" t="s">
        <v>800</v>
      </c>
      <c r="C5709" t="s">
        <v>3233</v>
      </c>
      <c r="D5709" s="2">
        <v>1</v>
      </c>
      <c r="E5709" s="11" t="s">
        <v>799</v>
      </c>
      <c r="F5709" t="s">
        <v>39</v>
      </c>
      <c r="G5709" s="2" t="s">
        <v>23</v>
      </c>
      <c r="H5709" s="1">
        <v>127.09400000000001</v>
      </c>
    </row>
    <row r="5710" spans="1:8" x14ac:dyDescent="0.3">
      <c r="A5710" s="2">
        <v>819</v>
      </c>
      <c r="B5710" t="s">
        <v>798</v>
      </c>
      <c r="C5710" t="s">
        <v>3219</v>
      </c>
      <c r="D5710" s="2">
        <v>1</v>
      </c>
      <c r="E5710" s="11" t="s">
        <v>234</v>
      </c>
      <c r="F5710" t="s">
        <v>39</v>
      </c>
      <c r="G5710" s="2" t="s">
        <v>4</v>
      </c>
      <c r="H5710" s="1">
        <v>142.994</v>
      </c>
    </row>
    <row r="5711" spans="1:8" x14ac:dyDescent="0.3">
      <c r="A5711" s="2">
        <v>819</v>
      </c>
      <c r="B5711" t="s">
        <v>797</v>
      </c>
      <c r="C5711" t="s">
        <v>0</v>
      </c>
      <c r="D5711" s="2">
        <v>1</v>
      </c>
      <c r="E5711" s="11" t="s">
        <v>564</v>
      </c>
      <c r="F5711" t="s">
        <v>36</v>
      </c>
      <c r="G5711" s="2" t="s">
        <v>31</v>
      </c>
      <c r="H5711" s="1">
        <v>227.79400000000001</v>
      </c>
    </row>
    <row r="5712" spans="1:8" x14ac:dyDescent="0.3">
      <c r="A5712" s="2">
        <v>819</v>
      </c>
      <c r="B5712" t="s">
        <v>796</v>
      </c>
      <c r="C5712" t="s">
        <v>0</v>
      </c>
      <c r="D5712" s="2">
        <v>1</v>
      </c>
      <c r="E5712" s="11" t="s">
        <v>593</v>
      </c>
      <c r="F5712" t="s">
        <v>28</v>
      </c>
      <c r="G5712" s="2" t="s">
        <v>23</v>
      </c>
      <c r="H5712" s="1">
        <v>180.09400000000002</v>
      </c>
    </row>
    <row r="5713" spans="1:8" x14ac:dyDescent="0.3">
      <c r="A5713" s="2">
        <v>819</v>
      </c>
      <c r="B5713" t="s">
        <v>795</v>
      </c>
      <c r="C5713" t="s">
        <v>1</v>
      </c>
      <c r="D5713" s="2">
        <v>1</v>
      </c>
      <c r="E5713" s="11" t="s">
        <v>485</v>
      </c>
      <c r="F5713" t="s">
        <v>28</v>
      </c>
      <c r="G5713" s="2" t="s">
        <v>4</v>
      </c>
      <c r="H5713" s="1">
        <v>100.59400000000001</v>
      </c>
    </row>
    <row r="5714" spans="1:8" x14ac:dyDescent="0.3">
      <c r="A5714" s="2">
        <v>820</v>
      </c>
      <c r="B5714" t="s">
        <v>794</v>
      </c>
      <c r="C5714" t="s">
        <v>3220</v>
      </c>
      <c r="D5714" s="2">
        <v>1</v>
      </c>
      <c r="E5714" s="11" t="s">
        <v>146</v>
      </c>
      <c r="F5714" t="s">
        <v>62</v>
      </c>
      <c r="G5714" s="2" t="s">
        <v>23</v>
      </c>
      <c r="H5714" s="1">
        <v>36.994</v>
      </c>
    </row>
    <row r="5715" spans="1:8" x14ac:dyDescent="0.3">
      <c r="A5715" s="2">
        <v>820</v>
      </c>
      <c r="B5715" t="s">
        <v>793</v>
      </c>
      <c r="C5715" t="s">
        <v>3225</v>
      </c>
      <c r="D5715" s="2">
        <v>1</v>
      </c>
      <c r="E5715" s="11" t="s">
        <v>239</v>
      </c>
      <c r="F5715" t="s">
        <v>114</v>
      </c>
      <c r="G5715" s="2" t="s">
        <v>4</v>
      </c>
      <c r="H5715" s="1">
        <v>148.29400000000001</v>
      </c>
    </row>
    <row r="5716" spans="1:8" x14ac:dyDescent="0.3">
      <c r="A5716" s="2">
        <v>820</v>
      </c>
      <c r="B5716" t="s">
        <v>513</v>
      </c>
      <c r="C5716" t="s">
        <v>3219</v>
      </c>
      <c r="D5716" s="2">
        <v>1</v>
      </c>
      <c r="E5716" s="11" t="s">
        <v>234</v>
      </c>
      <c r="F5716" t="s">
        <v>114</v>
      </c>
      <c r="G5716" s="2" t="s">
        <v>31</v>
      </c>
      <c r="H5716" s="1">
        <v>142.994</v>
      </c>
    </row>
    <row r="5717" spans="1:8" x14ac:dyDescent="0.3">
      <c r="A5717" s="2">
        <v>820</v>
      </c>
      <c r="B5717" t="s">
        <v>792</v>
      </c>
      <c r="C5717" t="s">
        <v>3219</v>
      </c>
      <c r="D5717" s="2">
        <v>1</v>
      </c>
      <c r="E5717" s="11" t="s">
        <v>66</v>
      </c>
      <c r="F5717" t="s">
        <v>28</v>
      </c>
      <c r="G5717" s="2" t="s">
        <v>31</v>
      </c>
      <c r="H5717" s="1">
        <v>180.09400000000002</v>
      </c>
    </row>
    <row r="5718" spans="1:8" x14ac:dyDescent="0.3">
      <c r="A5718" s="2">
        <v>820</v>
      </c>
      <c r="B5718" t="s">
        <v>77</v>
      </c>
      <c r="C5718" t="s">
        <v>1</v>
      </c>
      <c r="D5718" s="2">
        <v>1</v>
      </c>
      <c r="E5718" s="11" t="s">
        <v>76</v>
      </c>
      <c r="F5718" t="s">
        <v>47</v>
      </c>
      <c r="G5718" s="2" t="s">
        <v>23</v>
      </c>
      <c r="H5718" s="1">
        <v>63.494</v>
      </c>
    </row>
    <row r="5719" spans="1:8" x14ac:dyDescent="0.3">
      <c r="A5719" s="2">
        <v>820</v>
      </c>
      <c r="B5719" t="s">
        <v>584</v>
      </c>
      <c r="C5719" t="s">
        <v>3219</v>
      </c>
      <c r="D5719" s="2">
        <v>1</v>
      </c>
      <c r="E5719" s="11" t="s">
        <v>66</v>
      </c>
      <c r="F5719" t="s">
        <v>47</v>
      </c>
      <c r="G5719" s="2" t="s">
        <v>31</v>
      </c>
      <c r="H5719" s="1">
        <v>180.09400000000002</v>
      </c>
    </row>
    <row r="5720" spans="1:8" x14ac:dyDescent="0.3">
      <c r="A5720" s="2">
        <v>820</v>
      </c>
      <c r="B5720" t="s">
        <v>791</v>
      </c>
      <c r="C5720" t="s">
        <v>3233</v>
      </c>
      <c r="D5720" s="2">
        <v>1</v>
      </c>
      <c r="E5720" s="11" t="s">
        <v>790</v>
      </c>
      <c r="F5720" t="s">
        <v>47</v>
      </c>
      <c r="G5720" s="2" t="s">
        <v>31</v>
      </c>
      <c r="H5720" s="1">
        <v>74.094000000000008</v>
      </c>
    </row>
    <row r="5721" spans="1:8" x14ac:dyDescent="0.3">
      <c r="A5721" s="2">
        <v>820</v>
      </c>
      <c r="B5721" t="s">
        <v>789</v>
      </c>
      <c r="C5721" t="s">
        <v>3225</v>
      </c>
      <c r="D5721" s="2">
        <v>1</v>
      </c>
      <c r="E5721" s="11" t="s">
        <v>176</v>
      </c>
      <c r="F5721" t="s">
        <v>47</v>
      </c>
      <c r="G5721" s="2" t="s">
        <v>4</v>
      </c>
      <c r="H5721" s="1">
        <v>153.59400000000002</v>
      </c>
    </row>
    <row r="5722" spans="1:8" x14ac:dyDescent="0.3">
      <c r="A5722" s="2">
        <v>820</v>
      </c>
      <c r="B5722" t="s">
        <v>788</v>
      </c>
      <c r="C5722" t="s">
        <v>3225</v>
      </c>
      <c r="D5722" s="2">
        <v>1</v>
      </c>
      <c r="E5722" s="11" t="s">
        <v>176</v>
      </c>
      <c r="F5722" t="s">
        <v>47</v>
      </c>
      <c r="G5722" s="2" t="s">
        <v>31</v>
      </c>
      <c r="H5722" s="1">
        <v>153.59400000000002</v>
      </c>
    </row>
    <row r="5723" spans="1:8" x14ac:dyDescent="0.3">
      <c r="A5723" s="2">
        <v>820</v>
      </c>
      <c r="B5723" t="s">
        <v>787</v>
      </c>
      <c r="C5723" t="s">
        <v>3225</v>
      </c>
      <c r="D5723" s="2">
        <v>1</v>
      </c>
      <c r="E5723" s="11" t="s">
        <v>176</v>
      </c>
      <c r="F5723" t="s">
        <v>39</v>
      </c>
      <c r="G5723" s="2" t="s">
        <v>31</v>
      </c>
      <c r="H5723" s="1">
        <v>153.59400000000002</v>
      </c>
    </row>
    <row r="5724" spans="1:8" x14ac:dyDescent="0.3">
      <c r="A5724" s="2">
        <v>820</v>
      </c>
      <c r="B5724" t="s">
        <v>455</v>
      </c>
      <c r="C5724" t="s">
        <v>0</v>
      </c>
      <c r="D5724" s="2">
        <v>1</v>
      </c>
      <c r="E5724" s="11" t="s">
        <v>364</v>
      </c>
      <c r="F5724" t="s">
        <v>28</v>
      </c>
      <c r="G5724" s="2" t="s">
        <v>4</v>
      </c>
      <c r="H5724" s="1">
        <v>180.09400000000002</v>
      </c>
    </row>
    <row r="5725" spans="1:8" x14ac:dyDescent="0.3">
      <c r="A5725" s="2">
        <v>820</v>
      </c>
      <c r="B5725" t="s">
        <v>521</v>
      </c>
      <c r="C5725" t="s">
        <v>3224</v>
      </c>
      <c r="D5725" s="2">
        <v>1</v>
      </c>
      <c r="E5725" s="11" t="s">
        <v>520</v>
      </c>
      <c r="F5725" t="s">
        <v>24</v>
      </c>
      <c r="G5725" s="2" t="s">
        <v>4</v>
      </c>
      <c r="H5725" s="1">
        <v>68.794000000000011</v>
      </c>
    </row>
    <row r="5726" spans="1:8" x14ac:dyDescent="0.3">
      <c r="A5726" s="2">
        <v>820</v>
      </c>
      <c r="B5726" t="s">
        <v>786</v>
      </c>
      <c r="C5726" t="s">
        <v>3</v>
      </c>
      <c r="D5726" s="2">
        <v>1</v>
      </c>
      <c r="E5726" s="11" t="s">
        <v>450</v>
      </c>
      <c r="F5726" t="s">
        <v>24</v>
      </c>
      <c r="G5726" s="2" t="s">
        <v>4</v>
      </c>
      <c r="H5726" s="1">
        <v>68.794000000000011</v>
      </c>
    </row>
    <row r="5727" spans="1:8" x14ac:dyDescent="0.3">
      <c r="A5727" s="2">
        <v>821</v>
      </c>
      <c r="B5727" t="s">
        <v>785</v>
      </c>
      <c r="C5727" t="s">
        <v>2</v>
      </c>
      <c r="D5727" s="2">
        <v>1</v>
      </c>
      <c r="E5727" s="11" t="s">
        <v>60</v>
      </c>
      <c r="F5727" t="s">
        <v>65</v>
      </c>
      <c r="G5727" s="2" t="s">
        <v>31</v>
      </c>
      <c r="H5727" s="1">
        <v>68.794000000000011</v>
      </c>
    </row>
    <row r="5728" spans="1:8" x14ac:dyDescent="0.3">
      <c r="A5728" s="2">
        <v>821</v>
      </c>
      <c r="B5728" t="s">
        <v>130</v>
      </c>
      <c r="C5728" t="s">
        <v>2</v>
      </c>
      <c r="D5728" s="2">
        <v>1</v>
      </c>
      <c r="E5728" s="11" t="s">
        <v>60</v>
      </c>
      <c r="F5728" t="s">
        <v>65</v>
      </c>
      <c r="G5728" s="2" t="s">
        <v>23</v>
      </c>
      <c r="H5728" s="1">
        <v>68.794000000000011</v>
      </c>
    </row>
    <row r="5729" spans="1:8" x14ac:dyDescent="0.3">
      <c r="A5729" s="2">
        <v>821</v>
      </c>
      <c r="B5729" t="s">
        <v>784</v>
      </c>
      <c r="C5729" t="s">
        <v>2</v>
      </c>
      <c r="D5729" s="2">
        <v>1</v>
      </c>
      <c r="E5729" s="11" t="s">
        <v>783</v>
      </c>
      <c r="F5729" t="s">
        <v>114</v>
      </c>
      <c r="G5729" s="2" t="s">
        <v>31</v>
      </c>
      <c r="H5729" s="1">
        <v>169.49400000000003</v>
      </c>
    </row>
    <row r="5730" spans="1:8" x14ac:dyDescent="0.3">
      <c r="A5730" s="2">
        <v>821</v>
      </c>
      <c r="B5730" t="s">
        <v>559</v>
      </c>
      <c r="C5730" t="s">
        <v>3334</v>
      </c>
      <c r="D5730" s="2">
        <v>1</v>
      </c>
      <c r="E5730" s="11" t="s">
        <v>448</v>
      </c>
      <c r="F5730" t="s">
        <v>114</v>
      </c>
      <c r="G5730" s="2" t="s">
        <v>23</v>
      </c>
      <c r="H5730" s="1">
        <v>164.19400000000002</v>
      </c>
    </row>
    <row r="5731" spans="1:8" x14ac:dyDescent="0.3">
      <c r="A5731" s="2">
        <v>821</v>
      </c>
      <c r="B5731" t="s">
        <v>782</v>
      </c>
      <c r="C5731" t="s">
        <v>2</v>
      </c>
      <c r="D5731" s="2">
        <v>1</v>
      </c>
      <c r="E5731" s="11" t="s">
        <v>780</v>
      </c>
      <c r="F5731" t="s">
        <v>114</v>
      </c>
      <c r="G5731" s="2" t="s">
        <v>31</v>
      </c>
      <c r="H5731" s="1">
        <v>116.49400000000001</v>
      </c>
    </row>
    <row r="5732" spans="1:8" x14ac:dyDescent="0.3">
      <c r="A5732" s="2">
        <v>821</v>
      </c>
      <c r="B5732" t="s">
        <v>781</v>
      </c>
      <c r="C5732" t="s">
        <v>2</v>
      </c>
      <c r="D5732" s="2">
        <v>1</v>
      </c>
      <c r="E5732" s="11" t="s">
        <v>780</v>
      </c>
      <c r="F5732" t="s">
        <v>114</v>
      </c>
      <c r="G5732" s="2" t="s">
        <v>23</v>
      </c>
      <c r="H5732" s="1">
        <v>116.49400000000001</v>
      </c>
    </row>
    <row r="5733" spans="1:8" x14ac:dyDescent="0.3">
      <c r="A5733" s="2">
        <v>821</v>
      </c>
      <c r="B5733" t="s">
        <v>779</v>
      </c>
      <c r="C5733" t="s">
        <v>1</v>
      </c>
      <c r="D5733" s="2">
        <v>1</v>
      </c>
      <c r="E5733" s="11" t="s">
        <v>599</v>
      </c>
      <c r="F5733" t="s">
        <v>114</v>
      </c>
      <c r="G5733" s="2" t="s">
        <v>23</v>
      </c>
      <c r="H5733" s="1">
        <v>79.394000000000005</v>
      </c>
    </row>
    <row r="5734" spans="1:8" x14ac:dyDescent="0.3">
      <c r="A5734" s="2">
        <v>821</v>
      </c>
      <c r="B5734" t="s">
        <v>778</v>
      </c>
      <c r="C5734" t="s">
        <v>3219</v>
      </c>
      <c r="D5734" s="2">
        <v>1</v>
      </c>
      <c r="E5734" s="11" t="s">
        <v>66</v>
      </c>
      <c r="F5734" t="s">
        <v>28</v>
      </c>
      <c r="G5734" s="2" t="s">
        <v>4</v>
      </c>
      <c r="H5734" s="1">
        <v>180.09400000000002</v>
      </c>
    </row>
    <row r="5735" spans="1:8" x14ac:dyDescent="0.3">
      <c r="A5735" s="2">
        <v>821</v>
      </c>
      <c r="B5735" t="s">
        <v>777</v>
      </c>
      <c r="C5735" t="s">
        <v>2</v>
      </c>
      <c r="D5735" s="2">
        <v>1</v>
      </c>
      <c r="E5735" s="11" t="s">
        <v>60</v>
      </c>
      <c r="F5735" t="s">
        <v>36</v>
      </c>
      <c r="G5735" s="2" t="s">
        <v>31</v>
      </c>
      <c r="H5735" s="1">
        <v>68.794000000000011</v>
      </c>
    </row>
    <row r="5736" spans="1:8" x14ac:dyDescent="0.3">
      <c r="A5736" s="2">
        <v>821</v>
      </c>
      <c r="B5736" t="s">
        <v>776</v>
      </c>
      <c r="C5736" t="s">
        <v>2</v>
      </c>
      <c r="D5736" s="2">
        <v>1</v>
      </c>
      <c r="E5736" s="11" t="s">
        <v>60</v>
      </c>
      <c r="F5736" t="s">
        <v>36</v>
      </c>
      <c r="G5736" s="2" t="s">
        <v>23</v>
      </c>
      <c r="H5736" s="1">
        <v>68.794000000000011</v>
      </c>
    </row>
    <row r="5737" spans="1:8" x14ac:dyDescent="0.3">
      <c r="A5737" s="2">
        <v>821</v>
      </c>
      <c r="B5737" t="s">
        <v>301</v>
      </c>
      <c r="C5737" t="s">
        <v>3219</v>
      </c>
      <c r="D5737" s="2">
        <v>1</v>
      </c>
      <c r="E5737" s="11" t="s">
        <v>66</v>
      </c>
      <c r="F5737" t="s">
        <v>47</v>
      </c>
      <c r="G5737" s="2" t="s">
        <v>4</v>
      </c>
      <c r="H5737" s="1">
        <v>180.09400000000002</v>
      </c>
    </row>
    <row r="5738" spans="1:8" x14ac:dyDescent="0.3">
      <c r="A5738" s="2">
        <v>821</v>
      </c>
      <c r="B5738" t="s">
        <v>584</v>
      </c>
      <c r="C5738" t="s">
        <v>3219</v>
      </c>
      <c r="D5738" s="2">
        <v>1</v>
      </c>
      <c r="E5738" s="11" t="s">
        <v>66</v>
      </c>
      <c r="F5738" t="s">
        <v>47</v>
      </c>
      <c r="G5738" s="2" t="s">
        <v>31</v>
      </c>
      <c r="H5738" s="1">
        <v>180.09400000000002</v>
      </c>
    </row>
    <row r="5739" spans="1:8" x14ac:dyDescent="0.3">
      <c r="A5739" s="2">
        <v>821</v>
      </c>
      <c r="B5739" t="s">
        <v>775</v>
      </c>
      <c r="C5739" t="s">
        <v>3334</v>
      </c>
      <c r="D5739" s="2">
        <v>1</v>
      </c>
      <c r="E5739" s="11" t="s">
        <v>448</v>
      </c>
      <c r="F5739" t="s">
        <v>47</v>
      </c>
      <c r="G5739" s="2" t="s">
        <v>23</v>
      </c>
      <c r="H5739" s="1">
        <v>164.19400000000002</v>
      </c>
    </row>
    <row r="5740" spans="1:8" x14ac:dyDescent="0.3">
      <c r="A5740" s="2">
        <v>821</v>
      </c>
      <c r="B5740" t="s">
        <v>219</v>
      </c>
      <c r="C5740" t="s">
        <v>0</v>
      </c>
      <c r="D5740" s="2">
        <v>1</v>
      </c>
      <c r="E5740" s="11" t="s">
        <v>160</v>
      </c>
      <c r="F5740" t="s">
        <v>47</v>
      </c>
      <c r="G5740" s="2" t="s">
        <v>23</v>
      </c>
      <c r="H5740" s="1">
        <v>148.29400000000001</v>
      </c>
    </row>
    <row r="5741" spans="1:8" x14ac:dyDescent="0.3">
      <c r="A5741" s="2">
        <v>821</v>
      </c>
      <c r="B5741" t="s">
        <v>774</v>
      </c>
      <c r="C5741" t="s">
        <v>3</v>
      </c>
      <c r="D5741" s="2">
        <v>1</v>
      </c>
      <c r="E5741" s="11" t="s">
        <v>180</v>
      </c>
      <c r="F5741" t="s">
        <v>47</v>
      </c>
      <c r="G5741" s="2" t="s">
        <v>31</v>
      </c>
      <c r="H5741" s="1">
        <v>105.89400000000001</v>
      </c>
    </row>
    <row r="5742" spans="1:8" x14ac:dyDescent="0.3">
      <c r="A5742" s="2">
        <v>821</v>
      </c>
      <c r="B5742" t="s">
        <v>773</v>
      </c>
      <c r="C5742" t="s">
        <v>1</v>
      </c>
      <c r="D5742" s="2">
        <v>1</v>
      </c>
      <c r="E5742" s="11" t="s">
        <v>599</v>
      </c>
      <c r="F5742" t="s">
        <v>47</v>
      </c>
      <c r="G5742" s="2" t="s">
        <v>23</v>
      </c>
      <c r="H5742" s="1">
        <v>79.394000000000005</v>
      </c>
    </row>
    <row r="5743" spans="1:8" x14ac:dyDescent="0.3">
      <c r="A5743" s="2">
        <v>821</v>
      </c>
      <c r="B5743" t="s">
        <v>732</v>
      </c>
      <c r="C5743" t="s">
        <v>1</v>
      </c>
      <c r="D5743" s="2">
        <v>1</v>
      </c>
      <c r="E5743" s="11" t="s">
        <v>189</v>
      </c>
      <c r="F5743" t="s">
        <v>39</v>
      </c>
      <c r="G5743" s="2" t="s">
        <v>4</v>
      </c>
      <c r="H5743" s="1">
        <v>63.494000000000007</v>
      </c>
    </row>
    <row r="5744" spans="1:8" x14ac:dyDescent="0.3">
      <c r="A5744" s="2">
        <v>821</v>
      </c>
      <c r="B5744" t="s">
        <v>99</v>
      </c>
      <c r="C5744" t="s">
        <v>2</v>
      </c>
      <c r="D5744" s="2">
        <v>1</v>
      </c>
      <c r="E5744" s="11" t="s">
        <v>60</v>
      </c>
      <c r="F5744" t="s">
        <v>39</v>
      </c>
      <c r="G5744" s="2" t="s">
        <v>23</v>
      </c>
      <c r="H5744" s="1">
        <v>68.794000000000011</v>
      </c>
    </row>
    <row r="5745" spans="1:8" x14ac:dyDescent="0.3">
      <c r="A5745" s="2">
        <v>821</v>
      </c>
      <c r="B5745" t="s">
        <v>772</v>
      </c>
      <c r="C5745" t="s">
        <v>1</v>
      </c>
      <c r="D5745" s="2">
        <v>1</v>
      </c>
      <c r="E5745" s="11" t="s">
        <v>599</v>
      </c>
      <c r="F5745" t="s">
        <v>39</v>
      </c>
      <c r="G5745" s="2" t="s">
        <v>23</v>
      </c>
      <c r="H5745" s="1">
        <v>79.394000000000005</v>
      </c>
    </row>
    <row r="5746" spans="1:8" x14ac:dyDescent="0.3">
      <c r="A5746" s="2">
        <v>822</v>
      </c>
      <c r="B5746" t="s">
        <v>760</v>
      </c>
      <c r="C5746" t="s">
        <v>1</v>
      </c>
      <c r="D5746" s="2">
        <v>1</v>
      </c>
      <c r="E5746" s="11" t="s">
        <v>189</v>
      </c>
      <c r="F5746" t="s">
        <v>55</v>
      </c>
      <c r="G5746" s="2" t="s">
        <v>4</v>
      </c>
      <c r="H5746" s="1">
        <v>63.494000000000007</v>
      </c>
    </row>
    <row r="5747" spans="1:8" x14ac:dyDescent="0.3">
      <c r="A5747" s="2">
        <v>822</v>
      </c>
      <c r="B5747" t="s">
        <v>771</v>
      </c>
      <c r="C5747" t="s">
        <v>1</v>
      </c>
      <c r="D5747" s="2">
        <v>1</v>
      </c>
      <c r="E5747" s="11" t="s">
        <v>770</v>
      </c>
      <c r="F5747" t="s">
        <v>114</v>
      </c>
      <c r="G5747" s="2" t="s">
        <v>4</v>
      </c>
      <c r="H5747" s="1">
        <v>89.994000000000014</v>
      </c>
    </row>
    <row r="5748" spans="1:8" x14ac:dyDescent="0.3">
      <c r="A5748" s="2">
        <v>822</v>
      </c>
      <c r="B5748" t="s">
        <v>769</v>
      </c>
      <c r="C5748" t="s">
        <v>3224</v>
      </c>
      <c r="D5748" s="2">
        <v>1</v>
      </c>
      <c r="E5748" s="11" t="s">
        <v>663</v>
      </c>
      <c r="F5748" t="s">
        <v>114</v>
      </c>
      <c r="G5748" s="2" t="s">
        <v>31</v>
      </c>
      <c r="H5748" s="1">
        <v>111.19400000000002</v>
      </c>
    </row>
    <row r="5749" spans="1:8" x14ac:dyDescent="0.3">
      <c r="A5749" s="2">
        <v>822</v>
      </c>
      <c r="B5749" t="s">
        <v>584</v>
      </c>
      <c r="C5749" t="s">
        <v>3219</v>
      </c>
      <c r="D5749" s="2">
        <v>1</v>
      </c>
      <c r="E5749" s="11" t="s">
        <v>66</v>
      </c>
      <c r="F5749" t="s">
        <v>47</v>
      </c>
      <c r="G5749" s="2" t="s">
        <v>31</v>
      </c>
      <c r="H5749" s="1">
        <v>180.09400000000002</v>
      </c>
    </row>
    <row r="5750" spans="1:8" x14ac:dyDescent="0.3">
      <c r="A5750" s="2">
        <v>822</v>
      </c>
      <c r="B5750" t="s">
        <v>600</v>
      </c>
      <c r="C5750" t="s">
        <v>1</v>
      </c>
      <c r="D5750" s="2">
        <v>1</v>
      </c>
      <c r="E5750" s="11" t="s">
        <v>599</v>
      </c>
      <c r="F5750" t="s">
        <v>39</v>
      </c>
      <c r="G5750" s="2" t="s">
        <v>4</v>
      </c>
      <c r="H5750" s="1">
        <v>79.394000000000005</v>
      </c>
    </row>
    <row r="5751" spans="1:8" x14ac:dyDescent="0.3">
      <c r="A5751" s="2">
        <v>822</v>
      </c>
      <c r="B5751" t="s">
        <v>768</v>
      </c>
      <c r="C5751" t="s">
        <v>3225</v>
      </c>
      <c r="D5751" s="2">
        <v>1</v>
      </c>
      <c r="E5751" s="11" t="s">
        <v>176</v>
      </c>
      <c r="F5751" t="s">
        <v>39</v>
      </c>
      <c r="G5751" s="2" t="s">
        <v>4</v>
      </c>
      <c r="H5751" s="1">
        <v>153.59400000000002</v>
      </c>
    </row>
    <row r="5752" spans="1:8" x14ac:dyDescent="0.3">
      <c r="A5752" s="2">
        <v>823</v>
      </c>
      <c r="B5752" t="s">
        <v>767</v>
      </c>
      <c r="C5752" t="s">
        <v>3225</v>
      </c>
      <c r="D5752" s="2">
        <v>1</v>
      </c>
      <c r="E5752" s="11" t="s">
        <v>491</v>
      </c>
      <c r="F5752" t="s">
        <v>62</v>
      </c>
      <c r="G5752" s="2" t="s">
        <v>23</v>
      </c>
      <c r="H5752" s="1">
        <v>164.19400000000002</v>
      </c>
    </row>
    <row r="5753" spans="1:8" x14ac:dyDescent="0.3">
      <c r="A5753" s="2">
        <v>823</v>
      </c>
      <c r="B5753" t="s">
        <v>766</v>
      </c>
      <c r="C5753" t="s">
        <v>3</v>
      </c>
      <c r="D5753" s="2">
        <v>1</v>
      </c>
      <c r="E5753" s="11" t="s">
        <v>434</v>
      </c>
      <c r="F5753" t="s">
        <v>55</v>
      </c>
      <c r="G5753" s="2" t="s">
        <v>31</v>
      </c>
      <c r="H5753" s="1">
        <v>105.89400000000001</v>
      </c>
    </row>
    <row r="5754" spans="1:8" x14ac:dyDescent="0.3">
      <c r="A5754" s="2">
        <v>823</v>
      </c>
      <c r="B5754" t="s">
        <v>765</v>
      </c>
      <c r="C5754" t="s">
        <v>0</v>
      </c>
      <c r="D5754" s="2">
        <v>1</v>
      </c>
      <c r="E5754" s="11" t="s">
        <v>531</v>
      </c>
      <c r="F5754" t="s">
        <v>39</v>
      </c>
      <c r="G5754" s="2" t="s">
        <v>4</v>
      </c>
      <c r="H5754" s="1">
        <v>217.19400000000002</v>
      </c>
    </row>
    <row r="5755" spans="1:8" x14ac:dyDescent="0.3">
      <c r="A5755" s="2">
        <v>823</v>
      </c>
      <c r="B5755" t="s">
        <v>542</v>
      </c>
      <c r="C5755" t="s">
        <v>3225</v>
      </c>
      <c r="D5755" s="2">
        <v>2</v>
      </c>
      <c r="E5755" s="11" t="s">
        <v>176</v>
      </c>
      <c r="F5755" t="s">
        <v>36</v>
      </c>
      <c r="G5755" s="2" t="s">
        <v>23</v>
      </c>
      <c r="H5755" s="1">
        <v>153.59400000000002</v>
      </c>
    </row>
    <row r="5756" spans="1:8" x14ac:dyDescent="0.3">
      <c r="A5756" s="2">
        <v>823</v>
      </c>
      <c r="B5756" t="s">
        <v>764</v>
      </c>
      <c r="C5756" t="s">
        <v>3233</v>
      </c>
      <c r="D5756" s="2">
        <v>1</v>
      </c>
      <c r="E5756" s="11" t="s">
        <v>763</v>
      </c>
      <c r="F5756" t="s">
        <v>28</v>
      </c>
      <c r="G5756" s="2" t="s">
        <v>23</v>
      </c>
      <c r="H5756" s="1">
        <v>89.994000000000014</v>
      </c>
    </row>
    <row r="5757" spans="1:8" x14ac:dyDescent="0.3">
      <c r="A5757" s="2">
        <v>824</v>
      </c>
      <c r="B5757" t="s">
        <v>762</v>
      </c>
      <c r="C5757" t="s">
        <v>1</v>
      </c>
      <c r="D5757" s="2">
        <v>1</v>
      </c>
      <c r="E5757" s="11" t="s">
        <v>53</v>
      </c>
      <c r="F5757" t="s">
        <v>55</v>
      </c>
      <c r="G5757" s="2" t="s">
        <v>203</v>
      </c>
      <c r="H5757" s="1">
        <v>36.994</v>
      </c>
    </row>
    <row r="5758" spans="1:8" x14ac:dyDescent="0.3">
      <c r="A5758" s="2">
        <v>824</v>
      </c>
      <c r="B5758" t="s">
        <v>761</v>
      </c>
      <c r="C5758" t="s">
        <v>1</v>
      </c>
      <c r="D5758" s="2">
        <v>1</v>
      </c>
      <c r="E5758" s="11" t="s">
        <v>53</v>
      </c>
      <c r="F5758" t="s">
        <v>55</v>
      </c>
      <c r="G5758" s="2" t="s">
        <v>23</v>
      </c>
      <c r="H5758" s="1">
        <v>36.994</v>
      </c>
    </row>
    <row r="5759" spans="1:8" x14ac:dyDescent="0.3">
      <c r="A5759" s="2">
        <v>824</v>
      </c>
      <c r="B5759" t="s">
        <v>760</v>
      </c>
      <c r="C5759" t="s">
        <v>1</v>
      </c>
      <c r="D5759" s="2">
        <v>1</v>
      </c>
      <c r="E5759" s="11" t="s">
        <v>189</v>
      </c>
      <c r="F5759" t="s">
        <v>55</v>
      </c>
      <c r="G5759" s="2" t="s">
        <v>4</v>
      </c>
      <c r="H5759" s="1">
        <v>63.494000000000007</v>
      </c>
    </row>
    <row r="5760" spans="1:8" x14ac:dyDescent="0.3">
      <c r="A5760" s="2">
        <v>824</v>
      </c>
      <c r="B5760" t="s">
        <v>759</v>
      </c>
      <c r="C5760" t="s">
        <v>1</v>
      </c>
      <c r="D5760" s="2">
        <v>1</v>
      </c>
      <c r="E5760" s="11" t="s">
        <v>189</v>
      </c>
      <c r="F5760" t="s">
        <v>55</v>
      </c>
      <c r="G5760" s="2" t="s">
        <v>31</v>
      </c>
      <c r="H5760" s="1">
        <v>63.494000000000007</v>
      </c>
    </row>
    <row r="5761" spans="1:8" x14ac:dyDescent="0.3">
      <c r="A5761" s="2">
        <v>824</v>
      </c>
      <c r="B5761" t="s">
        <v>758</v>
      </c>
      <c r="C5761" t="s">
        <v>1</v>
      </c>
      <c r="D5761" s="2">
        <v>2</v>
      </c>
      <c r="E5761" s="11" t="s">
        <v>189</v>
      </c>
      <c r="F5761" t="s">
        <v>55</v>
      </c>
      <c r="G5761" s="2" t="s">
        <v>23</v>
      </c>
      <c r="H5761" s="1">
        <v>63.494000000000007</v>
      </c>
    </row>
    <row r="5762" spans="1:8" x14ac:dyDescent="0.3">
      <c r="A5762" s="2">
        <v>824</v>
      </c>
      <c r="B5762" t="s">
        <v>704</v>
      </c>
      <c r="C5762" t="s">
        <v>3219</v>
      </c>
      <c r="D5762" s="2">
        <v>1</v>
      </c>
      <c r="E5762" s="11" t="s">
        <v>367</v>
      </c>
      <c r="F5762" t="s">
        <v>55</v>
      </c>
      <c r="G5762" s="2" t="s">
        <v>31</v>
      </c>
      <c r="H5762" s="1">
        <v>148.29400000000001</v>
      </c>
    </row>
    <row r="5763" spans="1:8" x14ac:dyDescent="0.3">
      <c r="A5763" s="2">
        <v>824</v>
      </c>
      <c r="B5763" t="s">
        <v>703</v>
      </c>
      <c r="C5763" t="s">
        <v>3219</v>
      </c>
      <c r="D5763" s="2">
        <v>1</v>
      </c>
      <c r="E5763" s="11" t="s">
        <v>367</v>
      </c>
      <c r="F5763" t="s">
        <v>55</v>
      </c>
      <c r="G5763" s="2" t="s">
        <v>23</v>
      </c>
      <c r="H5763" s="1">
        <v>148.29400000000001</v>
      </c>
    </row>
    <row r="5764" spans="1:8" x14ac:dyDescent="0.3">
      <c r="A5764" s="2">
        <v>824</v>
      </c>
      <c r="B5764" t="s">
        <v>757</v>
      </c>
      <c r="C5764" t="s">
        <v>1</v>
      </c>
      <c r="D5764" s="2">
        <v>1</v>
      </c>
      <c r="E5764" s="11" t="s">
        <v>53</v>
      </c>
      <c r="F5764" t="s">
        <v>65</v>
      </c>
      <c r="G5764" s="2" t="s">
        <v>4</v>
      </c>
      <c r="H5764" s="1">
        <v>36.994</v>
      </c>
    </row>
    <row r="5765" spans="1:8" x14ac:dyDescent="0.3">
      <c r="A5765" s="2">
        <v>824</v>
      </c>
      <c r="B5765" t="s">
        <v>756</v>
      </c>
      <c r="C5765" t="s">
        <v>1</v>
      </c>
      <c r="D5765" s="2">
        <v>1</v>
      </c>
      <c r="E5765" s="11" t="s">
        <v>53</v>
      </c>
      <c r="F5765" t="s">
        <v>65</v>
      </c>
      <c r="G5765" s="2" t="s">
        <v>203</v>
      </c>
      <c r="H5765" s="1">
        <v>36.994</v>
      </c>
    </row>
    <row r="5766" spans="1:8" x14ac:dyDescent="0.3">
      <c r="A5766" s="2">
        <v>824</v>
      </c>
      <c r="B5766" t="s">
        <v>755</v>
      </c>
      <c r="C5766" t="s">
        <v>1</v>
      </c>
      <c r="D5766" s="2">
        <v>2</v>
      </c>
      <c r="E5766" s="11" t="s">
        <v>53</v>
      </c>
      <c r="F5766" t="s">
        <v>65</v>
      </c>
      <c r="G5766" s="2" t="s">
        <v>31</v>
      </c>
      <c r="H5766" s="1">
        <v>36.994</v>
      </c>
    </row>
    <row r="5767" spans="1:8" x14ac:dyDescent="0.3">
      <c r="A5767" s="2">
        <v>824</v>
      </c>
      <c r="B5767" t="s">
        <v>754</v>
      </c>
      <c r="C5767" t="s">
        <v>1</v>
      </c>
      <c r="D5767" s="2">
        <v>1</v>
      </c>
      <c r="E5767" s="11" t="s">
        <v>53</v>
      </c>
      <c r="F5767" t="s">
        <v>65</v>
      </c>
      <c r="G5767" s="2" t="s">
        <v>23</v>
      </c>
      <c r="H5767" s="1">
        <v>36.994</v>
      </c>
    </row>
    <row r="5768" spans="1:8" x14ac:dyDescent="0.3">
      <c r="A5768" s="2">
        <v>824</v>
      </c>
      <c r="B5768" t="s">
        <v>753</v>
      </c>
      <c r="C5768" t="s">
        <v>1</v>
      </c>
      <c r="D5768" s="2">
        <v>1</v>
      </c>
      <c r="E5768" s="11" t="s">
        <v>737</v>
      </c>
      <c r="F5768" t="s">
        <v>65</v>
      </c>
      <c r="G5768" s="2" t="s">
        <v>4</v>
      </c>
      <c r="H5768" s="1">
        <v>74.094000000000008</v>
      </c>
    </row>
    <row r="5769" spans="1:8" x14ac:dyDescent="0.3">
      <c r="A5769" s="2">
        <v>824</v>
      </c>
      <c r="B5769" t="s">
        <v>752</v>
      </c>
      <c r="C5769" t="s">
        <v>1</v>
      </c>
      <c r="D5769" s="2">
        <v>1</v>
      </c>
      <c r="E5769" s="11" t="s">
        <v>737</v>
      </c>
      <c r="F5769" t="s">
        <v>65</v>
      </c>
      <c r="G5769" s="2" t="s">
        <v>31</v>
      </c>
      <c r="H5769" s="1">
        <v>74.094000000000008</v>
      </c>
    </row>
    <row r="5770" spans="1:8" x14ac:dyDescent="0.3">
      <c r="A5770" s="2">
        <v>824</v>
      </c>
      <c r="B5770" t="s">
        <v>751</v>
      </c>
      <c r="C5770" t="s">
        <v>1</v>
      </c>
      <c r="D5770" s="2">
        <v>2</v>
      </c>
      <c r="E5770" s="11" t="s">
        <v>737</v>
      </c>
      <c r="F5770" t="s">
        <v>65</v>
      </c>
      <c r="G5770" s="2" t="s">
        <v>23</v>
      </c>
      <c r="H5770" s="1">
        <v>74.094000000000008</v>
      </c>
    </row>
    <row r="5771" spans="1:8" x14ac:dyDescent="0.3">
      <c r="A5771" s="2">
        <v>824</v>
      </c>
      <c r="B5771" t="s">
        <v>750</v>
      </c>
      <c r="C5771" t="s">
        <v>1</v>
      </c>
      <c r="D5771" s="2">
        <v>1</v>
      </c>
      <c r="E5771" s="11" t="s">
        <v>740</v>
      </c>
      <c r="F5771" t="s">
        <v>65</v>
      </c>
      <c r="G5771" s="2" t="s">
        <v>4</v>
      </c>
      <c r="H5771" s="1">
        <v>52.893999999999998</v>
      </c>
    </row>
    <row r="5772" spans="1:8" x14ac:dyDescent="0.3">
      <c r="A5772" s="2">
        <v>824</v>
      </c>
      <c r="B5772" t="s">
        <v>749</v>
      </c>
      <c r="C5772" t="s">
        <v>1</v>
      </c>
      <c r="D5772" s="2">
        <v>1</v>
      </c>
      <c r="E5772" s="11" t="s">
        <v>740</v>
      </c>
      <c r="F5772" t="s">
        <v>65</v>
      </c>
      <c r="G5772" s="2" t="s">
        <v>31</v>
      </c>
      <c r="H5772" s="1">
        <v>52.893999999999998</v>
      </c>
    </row>
    <row r="5773" spans="1:8" x14ac:dyDescent="0.3">
      <c r="A5773" s="2">
        <v>824</v>
      </c>
      <c r="B5773" t="s">
        <v>748</v>
      </c>
      <c r="C5773" t="s">
        <v>1</v>
      </c>
      <c r="D5773" s="2">
        <v>2</v>
      </c>
      <c r="E5773" s="11" t="s">
        <v>740</v>
      </c>
      <c r="F5773" t="s">
        <v>65</v>
      </c>
      <c r="G5773" s="2" t="s">
        <v>23</v>
      </c>
      <c r="H5773" s="1">
        <v>52.893999999999998</v>
      </c>
    </row>
    <row r="5774" spans="1:8" x14ac:dyDescent="0.3">
      <c r="A5774" s="2">
        <v>824</v>
      </c>
      <c r="B5774" t="s">
        <v>747</v>
      </c>
      <c r="C5774" t="s">
        <v>1</v>
      </c>
      <c r="D5774" s="2">
        <v>1</v>
      </c>
      <c r="E5774" s="11" t="s">
        <v>53</v>
      </c>
      <c r="F5774" t="s">
        <v>126</v>
      </c>
      <c r="G5774" s="2" t="s">
        <v>4</v>
      </c>
      <c r="H5774" s="1">
        <v>36.994</v>
      </c>
    </row>
    <row r="5775" spans="1:8" x14ac:dyDescent="0.3">
      <c r="A5775" s="2">
        <v>824</v>
      </c>
      <c r="B5775" t="s">
        <v>746</v>
      </c>
      <c r="C5775" t="s">
        <v>2</v>
      </c>
      <c r="D5775" s="2">
        <v>2</v>
      </c>
      <c r="E5775" s="11" t="s">
        <v>51</v>
      </c>
      <c r="F5775" t="s">
        <v>81</v>
      </c>
      <c r="G5775" s="2" t="s">
        <v>4</v>
      </c>
      <c r="H5775" s="1">
        <v>111.19400000000002</v>
      </c>
    </row>
    <row r="5776" spans="1:8" x14ac:dyDescent="0.3">
      <c r="A5776" s="2">
        <v>824</v>
      </c>
      <c r="B5776" t="s">
        <v>745</v>
      </c>
      <c r="C5776" t="s">
        <v>2</v>
      </c>
      <c r="D5776" s="2">
        <v>2</v>
      </c>
      <c r="E5776" s="11" t="s">
        <v>51</v>
      </c>
      <c r="F5776" t="s">
        <v>81</v>
      </c>
      <c r="G5776" s="2" t="s">
        <v>31</v>
      </c>
      <c r="H5776" s="1">
        <v>111.19400000000002</v>
      </c>
    </row>
    <row r="5777" spans="1:8" x14ac:dyDescent="0.3">
      <c r="A5777" s="2">
        <v>824</v>
      </c>
      <c r="B5777" t="s">
        <v>744</v>
      </c>
      <c r="C5777" t="s">
        <v>2</v>
      </c>
      <c r="D5777" s="2">
        <v>2</v>
      </c>
      <c r="E5777" s="11" t="s">
        <v>51</v>
      </c>
      <c r="F5777" t="s">
        <v>81</v>
      </c>
      <c r="G5777" s="2" t="s">
        <v>23</v>
      </c>
      <c r="H5777" s="1">
        <v>111.19400000000002</v>
      </c>
    </row>
    <row r="5778" spans="1:8" x14ac:dyDescent="0.3">
      <c r="A5778" s="2">
        <v>824</v>
      </c>
      <c r="B5778" t="s">
        <v>743</v>
      </c>
      <c r="C5778" t="s">
        <v>1</v>
      </c>
      <c r="D5778" s="2">
        <v>1</v>
      </c>
      <c r="E5778" s="11" t="s">
        <v>53</v>
      </c>
      <c r="F5778" t="s">
        <v>28</v>
      </c>
      <c r="G5778" s="2" t="s">
        <v>4</v>
      </c>
      <c r="H5778" s="1">
        <v>36.994</v>
      </c>
    </row>
    <row r="5779" spans="1:8" x14ac:dyDescent="0.3">
      <c r="A5779" s="2">
        <v>824</v>
      </c>
      <c r="B5779" t="s">
        <v>742</v>
      </c>
      <c r="C5779" t="s">
        <v>1</v>
      </c>
      <c r="D5779" s="2">
        <v>2</v>
      </c>
      <c r="E5779" s="11" t="s">
        <v>53</v>
      </c>
      <c r="F5779" t="s">
        <v>28</v>
      </c>
      <c r="G5779" s="2" t="s">
        <v>23</v>
      </c>
      <c r="H5779" s="1">
        <v>36.994</v>
      </c>
    </row>
    <row r="5780" spans="1:8" x14ac:dyDescent="0.3">
      <c r="A5780" s="2">
        <v>824</v>
      </c>
      <c r="B5780" t="s">
        <v>741</v>
      </c>
      <c r="C5780" t="s">
        <v>1</v>
      </c>
      <c r="D5780" s="2">
        <v>1</v>
      </c>
      <c r="E5780" s="11" t="s">
        <v>740</v>
      </c>
      <c r="F5780" t="s">
        <v>62</v>
      </c>
      <c r="G5780" s="2" t="s">
        <v>31</v>
      </c>
      <c r="H5780" s="1">
        <v>52.893999999999998</v>
      </c>
    </row>
    <row r="5781" spans="1:8" x14ac:dyDescent="0.3">
      <c r="A5781" s="2">
        <v>824</v>
      </c>
      <c r="B5781" t="s">
        <v>739</v>
      </c>
      <c r="C5781" t="s">
        <v>1</v>
      </c>
      <c r="D5781" s="2">
        <v>1</v>
      </c>
      <c r="E5781" s="11" t="s">
        <v>737</v>
      </c>
      <c r="F5781" t="s">
        <v>55</v>
      </c>
      <c r="G5781" s="2" t="s">
        <v>31</v>
      </c>
      <c r="H5781" s="1">
        <v>74.094000000000008</v>
      </c>
    </row>
    <row r="5782" spans="1:8" x14ac:dyDescent="0.3">
      <c r="A5782" s="2">
        <v>824</v>
      </c>
      <c r="B5782" t="s">
        <v>738</v>
      </c>
      <c r="C5782" t="s">
        <v>1</v>
      </c>
      <c r="D5782" s="2">
        <v>2</v>
      </c>
      <c r="E5782" s="11" t="s">
        <v>737</v>
      </c>
      <c r="F5782" t="s">
        <v>55</v>
      </c>
      <c r="G5782" s="2" t="s">
        <v>23</v>
      </c>
      <c r="H5782" s="1">
        <v>74.094000000000008</v>
      </c>
    </row>
    <row r="5783" spans="1:8" x14ac:dyDescent="0.3">
      <c r="A5783" s="2">
        <v>824</v>
      </c>
      <c r="B5783" t="s">
        <v>736</v>
      </c>
      <c r="C5783" t="s">
        <v>1</v>
      </c>
      <c r="D5783" s="2">
        <v>1</v>
      </c>
      <c r="E5783" s="11" t="s">
        <v>53</v>
      </c>
      <c r="F5783" t="s">
        <v>47</v>
      </c>
      <c r="G5783" s="2" t="s">
        <v>203</v>
      </c>
      <c r="H5783" s="1">
        <v>36.994</v>
      </c>
    </row>
    <row r="5784" spans="1:8" x14ac:dyDescent="0.3">
      <c r="A5784" s="2">
        <v>824</v>
      </c>
      <c r="B5784" t="s">
        <v>288</v>
      </c>
      <c r="C5784" t="s">
        <v>1</v>
      </c>
      <c r="D5784" s="2">
        <v>1</v>
      </c>
      <c r="E5784" s="11" t="s">
        <v>53</v>
      </c>
      <c r="F5784" t="s">
        <v>47</v>
      </c>
      <c r="G5784" s="2" t="s">
        <v>23</v>
      </c>
      <c r="H5784" s="1">
        <v>36.994</v>
      </c>
    </row>
    <row r="5785" spans="1:8" x14ac:dyDescent="0.3">
      <c r="A5785" s="2">
        <v>824</v>
      </c>
      <c r="B5785" t="s">
        <v>735</v>
      </c>
      <c r="C5785" t="s">
        <v>2</v>
      </c>
      <c r="D5785" s="2">
        <v>1</v>
      </c>
      <c r="E5785" s="11" t="s">
        <v>733</v>
      </c>
      <c r="F5785" t="s">
        <v>47</v>
      </c>
      <c r="G5785" s="2" t="s">
        <v>31</v>
      </c>
      <c r="H5785" s="1">
        <v>132.39400000000001</v>
      </c>
    </row>
    <row r="5786" spans="1:8" x14ac:dyDescent="0.3">
      <c r="A5786" s="2">
        <v>824</v>
      </c>
      <c r="B5786" t="s">
        <v>734</v>
      </c>
      <c r="C5786" t="s">
        <v>2</v>
      </c>
      <c r="D5786" s="2">
        <v>1</v>
      </c>
      <c r="E5786" s="11" t="s">
        <v>733</v>
      </c>
      <c r="F5786" t="s">
        <v>47</v>
      </c>
      <c r="G5786" s="2" t="s">
        <v>23</v>
      </c>
      <c r="H5786" s="1">
        <v>132.39400000000001</v>
      </c>
    </row>
    <row r="5787" spans="1:8" x14ac:dyDescent="0.3">
      <c r="A5787" s="2">
        <v>824</v>
      </c>
      <c r="B5787" t="s">
        <v>732</v>
      </c>
      <c r="C5787" t="s">
        <v>1</v>
      </c>
      <c r="D5787" s="2">
        <v>1</v>
      </c>
      <c r="E5787" s="11" t="s">
        <v>189</v>
      </c>
      <c r="F5787" t="s">
        <v>39</v>
      </c>
      <c r="G5787" s="2" t="s">
        <v>4</v>
      </c>
      <c r="H5787" s="1">
        <v>63.494000000000007</v>
      </c>
    </row>
    <row r="5788" spans="1:8" x14ac:dyDescent="0.3">
      <c r="A5788" s="2">
        <v>824</v>
      </c>
      <c r="B5788" t="s">
        <v>190</v>
      </c>
      <c r="C5788" t="s">
        <v>1</v>
      </c>
      <c r="D5788" s="2">
        <v>1</v>
      </c>
      <c r="E5788" s="11" t="s">
        <v>189</v>
      </c>
      <c r="F5788" t="s">
        <v>36</v>
      </c>
      <c r="G5788" s="2" t="s">
        <v>4</v>
      </c>
      <c r="H5788" s="1">
        <v>63.494000000000007</v>
      </c>
    </row>
    <row r="5789" spans="1:8" x14ac:dyDescent="0.3">
      <c r="A5789" s="2">
        <v>824</v>
      </c>
      <c r="B5789" t="s">
        <v>731</v>
      </c>
      <c r="C5789" t="s">
        <v>1</v>
      </c>
      <c r="D5789" s="2">
        <v>1</v>
      </c>
      <c r="E5789" s="11" t="s">
        <v>189</v>
      </c>
      <c r="F5789" t="s">
        <v>36</v>
      </c>
      <c r="G5789" s="2" t="s">
        <v>31</v>
      </c>
      <c r="H5789" s="1">
        <v>63.494000000000007</v>
      </c>
    </row>
    <row r="5790" spans="1:8" x14ac:dyDescent="0.3">
      <c r="A5790" s="2">
        <v>825</v>
      </c>
      <c r="B5790" t="s">
        <v>728</v>
      </c>
      <c r="C5790" t="s">
        <v>3220</v>
      </c>
      <c r="D5790" s="2">
        <v>1</v>
      </c>
      <c r="E5790" s="11" t="s">
        <v>204</v>
      </c>
      <c r="F5790" t="s">
        <v>65</v>
      </c>
      <c r="G5790" s="2" t="s">
        <v>31</v>
      </c>
      <c r="H5790" s="1">
        <v>42.294000000000004</v>
      </c>
    </row>
    <row r="5791" spans="1:8" x14ac:dyDescent="0.3">
      <c r="A5791" s="2">
        <v>825</v>
      </c>
      <c r="B5791" t="s">
        <v>727</v>
      </c>
      <c r="C5791" t="s">
        <v>3220</v>
      </c>
      <c r="D5791" s="2">
        <v>1</v>
      </c>
      <c r="E5791" s="11" t="s">
        <v>204</v>
      </c>
      <c r="F5791" t="s">
        <v>65</v>
      </c>
      <c r="G5791" s="2" t="s">
        <v>23</v>
      </c>
      <c r="H5791" s="1">
        <v>42.294000000000004</v>
      </c>
    </row>
    <row r="5792" spans="1:8" x14ac:dyDescent="0.3">
      <c r="A5792" s="2">
        <v>825</v>
      </c>
      <c r="B5792" t="s">
        <v>726</v>
      </c>
      <c r="C5792" t="s">
        <v>1</v>
      </c>
      <c r="D5792" s="2">
        <v>1</v>
      </c>
      <c r="E5792" s="11" t="s">
        <v>281</v>
      </c>
      <c r="F5792" t="s">
        <v>65</v>
      </c>
      <c r="G5792" s="2" t="s">
        <v>4</v>
      </c>
      <c r="H5792" s="1">
        <v>58.194000000000003</v>
      </c>
    </row>
    <row r="5793" spans="1:8" x14ac:dyDescent="0.3">
      <c r="A5793" s="2">
        <v>825</v>
      </c>
      <c r="B5793" t="s">
        <v>730</v>
      </c>
      <c r="C5793" t="s">
        <v>1</v>
      </c>
      <c r="D5793" s="2">
        <v>3</v>
      </c>
      <c r="E5793" s="11" t="s">
        <v>222</v>
      </c>
      <c r="F5793" t="s">
        <v>65</v>
      </c>
      <c r="G5793" s="2" t="s">
        <v>4</v>
      </c>
      <c r="H5793" s="1">
        <v>52.893999999999998</v>
      </c>
    </row>
    <row r="5794" spans="1:8" x14ac:dyDescent="0.3">
      <c r="A5794" s="2">
        <v>825</v>
      </c>
      <c r="B5794" t="s">
        <v>729</v>
      </c>
      <c r="C5794" t="s">
        <v>1</v>
      </c>
      <c r="D5794" s="2">
        <v>1</v>
      </c>
      <c r="E5794" s="11" t="s">
        <v>281</v>
      </c>
      <c r="F5794" t="s">
        <v>65</v>
      </c>
      <c r="G5794" s="2" t="s">
        <v>31</v>
      </c>
      <c r="H5794" s="1">
        <v>58.194000000000003</v>
      </c>
    </row>
    <row r="5795" spans="1:8" x14ac:dyDescent="0.3">
      <c r="A5795" s="2">
        <v>825</v>
      </c>
      <c r="B5795" t="s">
        <v>728</v>
      </c>
      <c r="C5795" t="s">
        <v>3220</v>
      </c>
      <c r="D5795" s="2">
        <v>1</v>
      </c>
      <c r="E5795" s="11" t="s">
        <v>204</v>
      </c>
      <c r="F5795" t="s">
        <v>65</v>
      </c>
      <c r="G5795" s="2" t="s">
        <v>31</v>
      </c>
      <c r="H5795" s="1">
        <v>42.294000000000004</v>
      </c>
    </row>
    <row r="5796" spans="1:8" x14ac:dyDescent="0.3">
      <c r="A5796" s="2">
        <v>825</v>
      </c>
      <c r="B5796" t="s">
        <v>727</v>
      </c>
      <c r="C5796" t="s">
        <v>3220</v>
      </c>
      <c r="D5796" s="2">
        <v>1</v>
      </c>
      <c r="E5796" s="11" t="s">
        <v>204</v>
      </c>
      <c r="F5796" t="s">
        <v>65</v>
      </c>
      <c r="G5796" s="2" t="s">
        <v>23</v>
      </c>
      <c r="H5796" s="1">
        <v>42.294000000000004</v>
      </c>
    </row>
    <row r="5797" spans="1:8" x14ac:dyDescent="0.3">
      <c r="A5797" s="2">
        <v>825</v>
      </c>
      <c r="B5797" t="s">
        <v>726</v>
      </c>
      <c r="C5797" t="s">
        <v>1</v>
      </c>
      <c r="D5797" s="2">
        <v>1</v>
      </c>
      <c r="E5797" s="11" t="s">
        <v>281</v>
      </c>
      <c r="F5797" t="s">
        <v>65</v>
      </c>
      <c r="G5797" s="2" t="s">
        <v>4</v>
      </c>
      <c r="H5797" s="1">
        <v>58.194000000000003</v>
      </c>
    </row>
    <row r="5798" spans="1:8" x14ac:dyDescent="0.3">
      <c r="A5798" s="2">
        <v>825</v>
      </c>
      <c r="B5798" t="s">
        <v>725</v>
      </c>
      <c r="C5798" t="s">
        <v>3220</v>
      </c>
      <c r="D5798" s="2">
        <v>1</v>
      </c>
      <c r="E5798" s="11" t="s">
        <v>204</v>
      </c>
      <c r="F5798" t="s">
        <v>126</v>
      </c>
      <c r="G5798" s="2" t="s">
        <v>23</v>
      </c>
      <c r="H5798" s="1">
        <v>42.294000000000004</v>
      </c>
    </row>
    <row r="5799" spans="1:8" x14ac:dyDescent="0.3">
      <c r="A5799" s="2">
        <v>825</v>
      </c>
      <c r="B5799" t="s">
        <v>724</v>
      </c>
      <c r="C5799" t="s">
        <v>1</v>
      </c>
      <c r="D5799" s="2">
        <v>1</v>
      </c>
      <c r="E5799" s="11" t="s">
        <v>222</v>
      </c>
      <c r="F5799" t="s">
        <v>28</v>
      </c>
      <c r="G5799" s="2" t="s">
        <v>4</v>
      </c>
      <c r="H5799" s="1">
        <v>52.893999999999998</v>
      </c>
    </row>
    <row r="5800" spans="1:8" x14ac:dyDescent="0.3">
      <c r="A5800" s="2">
        <v>825</v>
      </c>
      <c r="B5800" t="s">
        <v>723</v>
      </c>
      <c r="C5800" t="s">
        <v>1</v>
      </c>
      <c r="D5800" s="2">
        <v>1</v>
      </c>
      <c r="E5800" s="11" t="s">
        <v>222</v>
      </c>
      <c r="F5800" t="s">
        <v>28</v>
      </c>
      <c r="G5800" s="2" t="s">
        <v>31</v>
      </c>
      <c r="H5800" s="1">
        <v>52.893999999999998</v>
      </c>
    </row>
    <row r="5801" spans="1:8" x14ac:dyDescent="0.3">
      <c r="A5801" s="2">
        <v>825</v>
      </c>
      <c r="B5801" t="s">
        <v>722</v>
      </c>
      <c r="C5801" t="s">
        <v>1</v>
      </c>
      <c r="D5801" s="2">
        <v>1</v>
      </c>
      <c r="E5801" s="11" t="s">
        <v>222</v>
      </c>
      <c r="F5801" t="s">
        <v>28</v>
      </c>
      <c r="G5801" s="2" t="s">
        <v>23</v>
      </c>
      <c r="H5801" s="1">
        <v>52.893999999999998</v>
      </c>
    </row>
    <row r="5802" spans="1:8" x14ac:dyDescent="0.3">
      <c r="A5802" s="2">
        <v>825</v>
      </c>
      <c r="B5802" t="s">
        <v>721</v>
      </c>
      <c r="C5802" t="s">
        <v>1</v>
      </c>
      <c r="D5802" s="2">
        <v>1</v>
      </c>
      <c r="E5802" s="11" t="s">
        <v>285</v>
      </c>
      <c r="F5802" t="s">
        <v>62</v>
      </c>
      <c r="G5802" s="2" t="s">
        <v>31</v>
      </c>
      <c r="H5802" s="1">
        <v>68.794000000000011</v>
      </c>
    </row>
    <row r="5803" spans="1:8" x14ac:dyDescent="0.3">
      <c r="A5803" s="2">
        <v>825</v>
      </c>
      <c r="B5803" t="s">
        <v>720</v>
      </c>
      <c r="C5803" t="s">
        <v>1</v>
      </c>
      <c r="D5803" s="2">
        <v>1</v>
      </c>
      <c r="E5803" s="11" t="s">
        <v>285</v>
      </c>
      <c r="F5803" t="s">
        <v>62</v>
      </c>
      <c r="G5803" s="2" t="s">
        <v>23</v>
      </c>
      <c r="H5803" s="1">
        <v>68.794000000000011</v>
      </c>
    </row>
    <row r="5804" spans="1:8" x14ac:dyDescent="0.3">
      <c r="A5804" s="2">
        <v>825</v>
      </c>
      <c r="B5804" t="s">
        <v>290</v>
      </c>
      <c r="C5804" t="s">
        <v>3220</v>
      </c>
      <c r="D5804" s="2">
        <v>1</v>
      </c>
      <c r="E5804" s="11" t="s">
        <v>204</v>
      </c>
      <c r="F5804" t="s">
        <v>62</v>
      </c>
      <c r="G5804" s="2" t="s">
        <v>31</v>
      </c>
      <c r="H5804" s="1">
        <v>42.294000000000004</v>
      </c>
    </row>
    <row r="5805" spans="1:8" x14ac:dyDescent="0.3">
      <c r="A5805" s="2">
        <v>825</v>
      </c>
      <c r="B5805" t="s">
        <v>689</v>
      </c>
      <c r="C5805" t="s">
        <v>3220</v>
      </c>
      <c r="D5805" s="2">
        <v>1</v>
      </c>
      <c r="E5805" s="11" t="s">
        <v>204</v>
      </c>
      <c r="F5805" t="s">
        <v>241</v>
      </c>
      <c r="G5805" s="2" t="s">
        <v>31</v>
      </c>
      <c r="H5805" s="1">
        <v>42.294000000000004</v>
      </c>
    </row>
    <row r="5806" spans="1:8" x14ac:dyDescent="0.3">
      <c r="A5806" s="2">
        <v>825</v>
      </c>
      <c r="B5806" t="s">
        <v>719</v>
      </c>
      <c r="C5806" t="s">
        <v>3220</v>
      </c>
      <c r="D5806" s="2">
        <v>1</v>
      </c>
      <c r="E5806" s="11" t="s">
        <v>204</v>
      </c>
      <c r="F5806" t="s">
        <v>241</v>
      </c>
      <c r="G5806" s="2" t="s">
        <v>23</v>
      </c>
      <c r="H5806" s="1">
        <v>42.294000000000004</v>
      </c>
    </row>
    <row r="5807" spans="1:8" x14ac:dyDescent="0.3">
      <c r="A5807" s="2">
        <v>825</v>
      </c>
      <c r="B5807" t="s">
        <v>718</v>
      </c>
      <c r="C5807" t="s">
        <v>1</v>
      </c>
      <c r="D5807" s="2">
        <v>1</v>
      </c>
      <c r="E5807" s="11" t="s">
        <v>281</v>
      </c>
      <c r="F5807" t="s">
        <v>28</v>
      </c>
      <c r="G5807" s="2" t="s">
        <v>4</v>
      </c>
      <c r="H5807" s="1">
        <v>58.194000000000003</v>
      </c>
    </row>
    <row r="5808" spans="1:8" x14ac:dyDescent="0.3">
      <c r="A5808" s="2">
        <v>825</v>
      </c>
      <c r="B5808" t="s">
        <v>278</v>
      </c>
      <c r="C5808" t="s">
        <v>3220</v>
      </c>
      <c r="D5808" s="2">
        <v>1</v>
      </c>
      <c r="E5808" s="11" t="s">
        <v>204</v>
      </c>
      <c r="F5808" t="s">
        <v>55</v>
      </c>
      <c r="G5808" s="2" t="s">
        <v>31</v>
      </c>
      <c r="H5808" s="1">
        <v>42.294000000000004</v>
      </c>
    </row>
    <row r="5809" spans="1:8" x14ac:dyDescent="0.3">
      <c r="A5809" s="2">
        <v>825</v>
      </c>
      <c r="B5809" t="s">
        <v>688</v>
      </c>
      <c r="C5809" t="s">
        <v>3220</v>
      </c>
      <c r="D5809" s="2">
        <v>1</v>
      </c>
      <c r="E5809" s="11" t="s">
        <v>204</v>
      </c>
      <c r="F5809" t="s">
        <v>28</v>
      </c>
      <c r="G5809" s="2" t="s">
        <v>4</v>
      </c>
      <c r="H5809" s="1">
        <v>42.294000000000004</v>
      </c>
    </row>
    <row r="5810" spans="1:8" x14ac:dyDescent="0.3">
      <c r="A5810" s="2">
        <v>825</v>
      </c>
      <c r="B5810" t="s">
        <v>717</v>
      </c>
      <c r="C5810" t="s">
        <v>3220</v>
      </c>
      <c r="D5810" s="2">
        <v>1</v>
      </c>
      <c r="E5810" s="11" t="s">
        <v>204</v>
      </c>
      <c r="F5810" t="s">
        <v>28</v>
      </c>
      <c r="G5810" s="2" t="s">
        <v>31</v>
      </c>
      <c r="H5810" s="1">
        <v>42.294000000000004</v>
      </c>
    </row>
    <row r="5811" spans="1:8" x14ac:dyDescent="0.3">
      <c r="A5811" s="2">
        <v>825</v>
      </c>
      <c r="B5811" t="s">
        <v>289</v>
      </c>
      <c r="C5811" t="s">
        <v>3220</v>
      </c>
      <c r="D5811" s="2">
        <v>1</v>
      </c>
      <c r="E5811" s="11" t="s">
        <v>204</v>
      </c>
      <c r="F5811" t="s">
        <v>28</v>
      </c>
      <c r="G5811" s="2" t="s">
        <v>23</v>
      </c>
      <c r="H5811" s="1">
        <v>42.294000000000004</v>
      </c>
    </row>
    <row r="5812" spans="1:8" x14ac:dyDescent="0.3">
      <c r="A5812" s="2">
        <v>825</v>
      </c>
      <c r="B5812" t="s">
        <v>716</v>
      </c>
      <c r="C5812" t="s">
        <v>3220</v>
      </c>
      <c r="D5812" s="2">
        <v>1</v>
      </c>
      <c r="E5812" s="11" t="s">
        <v>174</v>
      </c>
      <c r="F5812" t="s">
        <v>114</v>
      </c>
      <c r="G5812" s="2" t="s">
        <v>23</v>
      </c>
      <c r="H5812" s="1">
        <v>74.094000000000008</v>
      </c>
    </row>
    <row r="5813" spans="1:8" x14ac:dyDescent="0.3">
      <c r="A5813" s="2">
        <v>825</v>
      </c>
      <c r="B5813" t="s">
        <v>715</v>
      </c>
      <c r="C5813" t="s">
        <v>1</v>
      </c>
      <c r="D5813" s="2">
        <v>1</v>
      </c>
      <c r="E5813" s="11" t="s">
        <v>281</v>
      </c>
      <c r="F5813" t="s">
        <v>114</v>
      </c>
      <c r="G5813" s="2" t="s">
        <v>23</v>
      </c>
      <c r="H5813" s="1">
        <v>58.194000000000003</v>
      </c>
    </row>
    <row r="5814" spans="1:8" x14ac:dyDescent="0.3">
      <c r="A5814" s="2">
        <v>825</v>
      </c>
      <c r="B5814" t="s">
        <v>714</v>
      </c>
      <c r="C5814" t="s">
        <v>3220</v>
      </c>
      <c r="D5814" s="2">
        <v>1</v>
      </c>
      <c r="E5814" s="11" t="s">
        <v>204</v>
      </c>
      <c r="F5814" t="s">
        <v>276</v>
      </c>
      <c r="G5814" s="2" t="s">
        <v>31</v>
      </c>
      <c r="H5814" s="1">
        <v>42.294000000000004</v>
      </c>
    </row>
    <row r="5815" spans="1:8" x14ac:dyDescent="0.3">
      <c r="A5815" s="2">
        <v>825</v>
      </c>
      <c r="B5815" t="s">
        <v>713</v>
      </c>
      <c r="C5815" t="s">
        <v>1</v>
      </c>
      <c r="D5815" s="2">
        <v>1</v>
      </c>
      <c r="E5815" s="11" t="s">
        <v>222</v>
      </c>
      <c r="F5815" t="s">
        <v>47</v>
      </c>
      <c r="G5815" s="2" t="s">
        <v>4</v>
      </c>
      <c r="H5815" s="1">
        <v>52.893999999999998</v>
      </c>
    </row>
    <row r="5816" spans="1:8" x14ac:dyDescent="0.3">
      <c r="A5816" s="2">
        <v>825</v>
      </c>
      <c r="B5816" t="s">
        <v>712</v>
      </c>
      <c r="C5816" t="s">
        <v>1</v>
      </c>
      <c r="D5816" s="2">
        <v>1</v>
      </c>
      <c r="E5816" s="11" t="s">
        <v>222</v>
      </c>
      <c r="F5816" t="s">
        <v>47</v>
      </c>
      <c r="G5816" s="2" t="s">
        <v>23</v>
      </c>
      <c r="H5816" s="1">
        <v>52.893999999999998</v>
      </c>
    </row>
    <row r="5817" spans="1:8" x14ac:dyDescent="0.3">
      <c r="A5817" s="2">
        <v>825</v>
      </c>
      <c r="B5817" t="s">
        <v>216</v>
      </c>
      <c r="C5817" t="s">
        <v>3</v>
      </c>
      <c r="D5817" s="2">
        <v>1</v>
      </c>
      <c r="E5817" s="11" t="s">
        <v>215</v>
      </c>
      <c r="F5817" t="s">
        <v>47</v>
      </c>
      <c r="G5817" s="2" t="s">
        <v>31</v>
      </c>
      <c r="H5817" s="1">
        <v>111.19400000000002</v>
      </c>
    </row>
    <row r="5818" spans="1:8" x14ac:dyDescent="0.3">
      <c r="A5818" s="2">
        <v>825</v>
      </c>
      <c r="B5818" t="s">
        <v>711</v>
      </c>
      <c r="C5818" t="s">
        <v>1</v>
      </c>
      <c r="D5818" s="2">
        <v>1</v>
      </c>
      <c r="E5818" s="11" t="s">
        <v>281</v>
      </c>
      <c r="F5818" t="s">
        <v>47</v>
      </c>
      <c r="G5818" s="2" t="s">
        <v>23</v>
      </c>
      <c r="H5818" s="1">
        <v>58.194000000000003</v>
      </c>
    </row>
    <row r="5819" spans="1:8" x14ac:dyDescent="0.3">
      <c r="A5819" s="2">
        <v>825</v>
      </c>
      <c r="B5819" t="s">
        <v>206</v>
      </c>
      <c r="C5819" t="s">
        <v>3220</v>
      </c>
      <c r="D5819" s="2">
        <v>1</v>
      </c>
      <c r="E5819" s="11" t="s">
        <v>204</v>
      </c>
      <c r="F5819" t="s">
        <v>47</v>
      </c>
      <c r="G5819" s="2" t="s">
        <v>4</v>
      </c>
      <c r="H5819" s="1">
        <v>42.294000000000004</v>
      </c>
    </row>
    <row r="5820" spans="1:8" x14ac:dyDescent="0.3">
      <c r="A5820" s="2">
        <v>825</v>
      </c>
      <c r="B5820" t="s">
        <v>266</v>
      </c>
      <c r="C5820" t="s">
        <v>3220</v>
      </c>
      <c r="D5820" s="2">
        <v>1</v>
      </c>
      <c r="E5820" s="11" t="s">
        <v>204</v>
      </c>
      <c r="F5820" t="s">
        <v>47</v>
      </c>
      <c r="G5820" s="2" t="s">
        <v>31</v>
      </c>
      <c r="H5820" s="1">
        <v>42.294000000000004</v>
      </c>
    </row>
    <row r="5821" spans="1:8" x14ac:dyDescent="0.3">
      <c r="A5821" s="2">
        <v>825</v>
      </c>
      <c r="B5821" t="s">
        <v>710</v>
      </c>
      <c r="C5821" t="s">
        <v>3220</v>
      </c>
      <c r="D5821" s="2">
        <v>1</v>
      </c>
      <c r="E5821" s="11" t="s">
        <v>204</v>
      </c>
      <c r="F5821" t="s">
        <v>47</v>
      </c>
      <c r="G5821" s="2" t="s">
        <v>23</v>
      </c>
      <c r="H5821" s="1">
        <v>42.294000000000004</v>
      </c>
    </row>
    <row r="5822" spans="1:8" x14ac:dyDescent="0.3">
      <c r="A5822" s="2">
        <v>825</v>
      </c>
      <c r="B5822" t="s">
        <v>709</v>
      </c>
      <c r="C5822" t="s">
        <v>1</v>
      </c>
      <c r="D5822" s="2">
        <v>1</v>
      </c>
      <c r="E5822" s="11" t="s">
        <v>285</v>
      </c>
      <c r="F5822" t="s">
        <v>39</v>
      </c>
      <c r="G5822" s="2" t="s">
        <v>23</v>
      </c>
      <c r="H5822" s="1">
        <v>68.794000000000011</v>
      </c>
    </row>
    <row r="5823" spans="1:8" x14ac:dyDescent="0.3">
      <c r="A5823" s="2">
        <v>825</v>
      </c>
      <c r="B5823" t="s">
        <v>708</v>
      </c>
      <c r="C5823" t="s">
        <v>3220</v>
      </c>
      <c r="D5823" s="2">
        <v>1</v>
      </c>
      <c r="E5823" s="11" t="s">
        <v>204</v>
      </c>
      <c r="F5823" t="s">
        <v>39</v>
      </c>
      <c r="G5823" s="2" t="s">
        <v>23</v>
      </c>
      <c r="H5823" s="1">
        <v>42.294000000000004</v>
      </c>
    </row>
    <row r="5824" spans="1:8" x14ac:dyDescent="0.3">
      <c r="A5824" s="2">
        <v>825</v>
      </c>
      <c r="B5824" t="s">
        <v>707</v>
      </c>
      <c r="C5824" t="s">
        <v>3220</v>
      </c>
      <c r="D5824" s="2">
        <v>1</v>
      </c>
      <c r="E5824" s="11" t="s">
        <v>204</v>
      </c>
      <c r="F5824" t="s">
        <v>36</v>
      </c>
      <c r="G5824" s="2" t="s">
        <v>31</v>
      </c>
      <c r="H5824" s="1">
        <v>42.294000000000004</v>
      </c>
    </row>
    <row r="5825" spans="1:8" x14ac:dyDescent="0.3">
      <c r="A5825" s="2">
        <v>825</v>
      </c>
      <c r="B5825" t="s">
        <v>706</v>
      </c>
      <c r="C5825" t="s">
        <v>3220</v>
      </c>
      <c r="D5825" s="2">
        <v>1</v>
      </c>
      <c r="E5825" s="11" t="s">
        <v>204</v>
      </c>
      <c r="F5825" t="s">
        <v>36</v>
      </c>
      <c r="G5825" s="2" t="s">
        <v>23</v>
      </c>
      <c r="H5825" s="1">
        <v>42.294000000000004</v>
      </c>
    </row>
    <row r="5826" spans="1:8" x14ac:dyDescent="0.3">
      <c r="A5826" s="2">
        <v>825</v>
      </c>
      <c r="B5826" t="s">
        <v>705</v>
      </c>
      <c r="C5826" t="s">
        <v>3220</v>
      </c>
      <c r="D5826" s="2">
        <v>1</v>
      </c>
      <c r="E5826" s="11" t="s">
        <v>174</v>
      </c>
      <c r="F5826" t="s">
        <v>28</v>
      </c>
      <c r="G5826" s="2" t="s">
        <v>31</v>
      </c>
      <c r="H5826" s="1">
        <v>74.094000000000008</v>
      </c>
    </row>
    <row r="5827" spans="1:8" x14ac:dyDescent="0.3">
      <c r="A5827" s="2">
        <v>825</v>
      </c>
      <c r="B5827" t="s">
        <v>289</v>
      </c>
      <c r="C5827" t="s">
        <v>3220</v>
      </c>
      <c r="D5827" s="2">
        <v>1</v>
      </c>
      <c r="E5827" s="11" t="s">
        <v>204</v>
      </c>
      <c r="F5827" t="s">
        <v>28</v>
      </c>
      <c r="G5827" s="2" t="s">
        <v>23</v>
      </c>
      <c r="H5827" s="1">
        <v>42.294000000000004</v>
      </c>
    </row>
    <row r="5828" spans="1:8" x14ac:dyDescent="0.3">
      <c r="A5828" s="2">
        <v>826</v>
      </c>
      <c r="B5828" t="s">
        <v>704</v>
      </c>
      <c r="C5828" t="s">
        <v>3219</v>
      </c>
      <c r="D5828" s="2">
        <v>1</v>
      </c>
      <c r="E5828" s="11" t="s">
        <v>367</v>
      </c>
      <c r="F5828" t="s">
        <v>55</v>
      </c>
      <c r="G5828" s="2" t="s">
        <v>31</v>
      </c>
      <c r="H5828" s="1">
        <v>148.29400000000001</v>
      </c>
    </row>
    <row r="5829" spans="1:8" x14ac:dyDescent="0.3">
      <c r="A5829" s="2">
        <v>826</v>
      </c>
      <c r="B5829" t="s">
        <v>703</v>
      </c>
      <c r="C5829" t="s">
        <v>3219</v>
      </c>
      <c r="D5829" s="2">
        <v>1</v>
      </c>
      <c r="E5829" s="11" t="s">
        <v>367</v>
      </c>
      <c r="F5829" t="s">
        <v>55</v>
      </c>
      <c r="G5829" s="2" t="s">
        <v>23</v>
      </c>
      <c r="H5829" s="1">
        <v>148.29400000000001</v>
      </c>
    </row>
    <row r="5830" spans="1:8" x14ac:dyDescent="0.3">
      <c r="A5830" s="2">
        <v>826</v>
      </c>
      <c r="B5830" t="s">
        <v>573</v>
      </c>
      <c r="C5830" t="s">
        <v>0</v>
      </c>
      <c r="D5830" s="2">
        <v>1</v>
      </c>
      <c r="E5830" s="11" t="s">
        <v>291</v>
      </c>
      <c r="F5830" t="s">
        <v>81</v>
      </c>
      <c r="G5830" s="2" t="s">
        <v>23</v>
      </c>
      <c r="H5830" s="1">
        <v>164.19400000000002</v>
      </c>
    </row>
    <row r="5831" spans="1:8" x14ac:dyDescent="0.3">
      <c r="A5831" s="2">
        <v>826</v>
      </c>
      <c r="B5831" t="s">
        <v>121</v>
      </c>
      <c r="C5831" t="s">
        <v>3219</v>
      </c>
      <c r="D5831" s="2">
        <v>1</v>
      </c>
      <c r="E5831" s="11" t="s">
        <v>119</v>
      </c>
      <c r="F5831" t="s">
        <v>55</v>
      </c>
      <c r="G5831" s="2" t="s">
        <v>31</v>
      </c>
      <c r="H5831" s="1">
        <v>148.29400000000001</v>
      </c>
    </row>
    <row r="5832" spans="1:8" x14ac:dyDescent="0.3">
      <c r="A5832" s="2">
        <v>826</v>
      </c>
      <c r="B5832" t="s">
        <v>702</v>
      </c>
      <c r="C5832" t="s">
        <v>3220</v>
      </c>
      <c r="D5832" s="2">
        <v>1</v>
      </c>
      <c r="E5832" s="11" t="s">
        <v>700</v>
      </c>
      <c r="F5832" t="s">
        <v>47</v>
      </c>
      <c r="G5832" s="2" t="s">
        <v>31</v>
      </c>
      <c r="H5832" s="1">
        <v>15.793999999999999</v>
      </c>
    </row>
    <row r="5833" spans="1:8" x14ac:dyDescent="0.3">
      <c r="A5833" s="2">
        <v>826</v>
      </c>
      <c r="B5833" t="s">
        <v>701</v>
      </c>
      <c r="C5833" t="s">
        <v>3220</v>
      </c>
      <c r="D5833" s="2">
        <v>1</v>
      </c>
      <c r="E5833" s="11" t="s">
        <v>700</v>
      </c>
      <c r="F5833" t="s">
        <v>47</v>
      </c>
      <c r="G5833" s="2" t="s">
        <v>23</v>
      </c>
      <c r="H5833" s="1">
        <v>15.793999999999999</v>
      </c>
    </row>
    <row r="5834" spans="1:8" x14ac:dyDescent="0.3">
      <c r="A5834" s="2">
        <v>826</v>
      </c>
      <c r="B5834" t="s">
        <v>699</v>
      </c>
      <c r="C5834" t="s">
        <v>3</v>
      </c>
      <c r="D5834" s="2">
        <v>1</v>
      </c>
      <c r="E5834" s="11" t="s">
        <v>450</v>
      </c>
      <c r="F5834" t="s">
        <v>47</v>
      </c>
      <c r="G5834" s="2" t="s">
        <v>31</v>
      </c>
      <c r="H5834" s="1">
        <v>68.794000000000011</v>
      </c>
    </row>
    <row r="5835" spans="1:8" x14ac:dyDescent="0.3">
      <c r="A5835" s="2">
        <v>826</v>
      </c>
      <c r="B5835" t="s">
        <v>698</v>
      </c>
      <c r="C5835" t="s">
        <v>3</v>
      </c>
      <c r="D5835" s="2">
        <v>1</v>
      </c>
      <c r="E5835" s="11" t="s">
        <v>450</v>
      </c>
      <c r="F5835" t="s">
        <v>47</v>
      </c>
      <c r="G5835" s="2" t="s">
        <v>23</v>
      </c>
      <c r="H5835" s="1">
        <v>68.794000000000011</v>
      </c>
    </row>
    <row r="5836" spans="1:8" x14ac:dyDescent="0.3">
      <c r="A5836" s="2">
        <v>826</v>
      </c>
      <c r="B5836" t="s">
        <v>697</v>
      </c>
      <c r="C5836" t="s">
        <v>3224</v>
      </c>
      <c r="D5836" s="2">
        <v>1</v>
      </c>
      <c r="E5836" s="11" t="s">
        <v>696</v>
      </c>
      <c r="F5836" t="s">
        <v>47</v>
      </c>
      <c r="G5836" s="2" t="s">
        <v>31</v>
      </c>
      <c r="H5836" s="1">
        <v>47.594000000000001</v>
      </c>
    </row>
    <row r="5837" spans="1:8" x14ac:dyDescent="0.3">
      <c r="A5837" s="2">
        <v>826</v>
      </c>
      <c r="B5837" t="s">
        <v>695</v>
      </c>
      <c r="C5837" t="s">
        <v>3219</v>
      </c>
      <c r="D5837" s="2">
        <v>2</v>
      </c>
      <c r="E5837" s="11" t="s">
        <v>367</v>
      </c>
      <c r="F5837" t="s">
        <v>47</v>
      </c>
      <c r="G5837" s="2" t="s">
        <v>23</v>
      </c>
      <c r="H5837" s="1">
        <v>148.29400000000001</v>
      </c>
    </row>
    <row r="5838" spans="1:8" x14ac:dyDescent="0.3">
      <c r="A5838" s="2">
        <v>826</v>
      </c>
      <c r="B5838" t="s">
        <v>580</v>
      </c>
      <c r="C5838" t="s">
        <v>3219</v>
      </c>
      <c r="D5838" s="2">
        <v>1</v>
      </c>
      <c r="E5838" s="11" t="s">
        <v>209</v>
      </c>
      <c r="F5838" t="s">
        <v>47</v>
      </c>
      <c r="G5838" s="2" t="s">
        <v>23</v>
      </c>
      <c r="H5838" s="1">
        <v>164.19400000000002</v>
      </c>
    </row>
    <row r="5839" spans="1:8" x14ac:dyDescent="0.3">
      <c r="A5839" s="2">
        <v>827</v>
      </c>
      <c r="B5839" t="s">
        <v>694</v>
      </c>
      <c r="C5839" t="s">
        <v>3220</v>
      </c>
      <c r="D5839" s="2">
        <v>1</v>
      </c>
      <c r="E5839" s="11" t="s">
        <v>204</v>
      </c>
      <c r="F5839" t="s">
        <v>55</v>
      </c>
      <c r="G5839" s="2" t="s">
        <v>4</v>
      </c>
      <c r="H5839" s="1">
        <v>42.294000000000004</v>
      </c>
    </row>
    <row r="5840" spans="1:8" x14ac:dyDescent="0.3">
      <c r="A5840" s="2">
        <v>827</v>
      </c>
      <c r="B5840" t="s">
        <v>693</v>
      </c>
      <c r="C5840" t="s">
        <v>3220</v>
      </c>
      <c r="D5840" s="2">
        <v>1</v>
      </c>
      <c r="E5840" s="11" t="s">
        <v>204</v>
      </c>
      <c r="F5840" t="s">
        <v>55</v>
      </c>
      <c r="G5840" s="2" t="s">
        <v>23</v>
      </c>
      <c r="H5840" s="1">
        <v>42.294000000000004</v>
      </c>
    </row>
    <row r="5841" spans="1:8" x14ac:dyDescent="0.3">
      <c r="A5841" s="2">
        <v>827</v>
      </c>
      <c r="B5841" t="s">
        <v>692</v>
      </c>
      <c r="C5841" t="s">
        <v>0</v>
      </c>
      <c r="D5841" s="2">
        <v>1</v>
      </c>
      <c r="E5841" s="11" t="s">
        <v>593</v>
      </c>
      <c r="F5841" t="s">
        <v>65</v>
      </c>
      <c r="G5841" s="2" t="s">
        <v>31</v>
      </c>
      <c r="H5841" s="1">
        <v>180.09400000000002</v>
      </c>
    </row>
    <row r="5842" spans="1:8" x14ac:dyDescent="0.3">
      <c r="A5842" s="2">
        <v>827</v>
      </c>
      <c r="B5842" t="s">
        <v>691</v>
      </c>
      <c r="C5842" t="s">
        <v>0</v>
      </c>
      <c r="D5842" s="2">
        <v>1</v>
      </c>
      <c r="E5842" s="11" t="s">
        <v>690</v>
      </c>
      <c r="F5842" t="s">
        <v>62</v>
      </c>
      <c r="G5842" s="2" t="s">
        <v>31</v>
      </c>
      <c r="H5842" s="1">
        <v>190.69400000000002</v>
      </c>
    </row>
    <row r="5843" spans="1:8" x14ac:dyDescent="0.3">
      <c r="A5843" s="2">
        <v>827</v>
      </c>
      <c r="B5843" t="s">
        <v>80</v>
      </c>
      <c r="C5843" t="s">
        <v>1</v>
      </c>
      <c r="D5843" s="2">
        <v>1</v>
      </c>
      <c r="E5843" s="11" t="s">
        <v>76</v>
      </c>
      <c r="F5843" t="s">
        <v>62</v>
      </c>
      <c r="G5843" s="2" t="s">
        <v>4</v>
      </c>
      <c r="H5843" s="1">
        <v>63.494</v>
      </c>
    </row>
    <row r="5844" spans="1:8" x14ac:dyDescent="0.3">
      <c r="A5844" s="2">
        <v>827</v>
      </c>
      <c r="B5844" t="s">
        <v>57</v>
      </c>
      <c r="C5844" t="s">
        <v>0</v>
      </c>
      <c r="D5844" s="2">
        <v>1</v>
      </c>
      <c r="E5844" s="11" t="s">
        <v>56</v>
      </c>
      <c r="F5844" t="s">
        <v>55</v>
      </c>
      <c r="G5844" s="2" t="s">
        <v>23</v>
      </c>
      <c r="H5844" s="1">
        <v>227.79400000000001</v>
      </c>
    </row>
    <row r="5845" spans="1:8" x14ac:dyDescent="0.3">
      <c r="A5845" s="2">
        <v>827</v>
      </c>
      <c r="B5845" t="s">
        <v>242</v>
      </c>
      <c r="C5845" t="s">
        <v>3220</v>
      </c>
      <c r="D5845" s="2">
        <v>1</v>
      </c>
      <c r="E5845" s="11" t="s">
        <v>204</v>
      </c>
      <c r="F5845" t="s">
        <v>241</v>
      </c>
      <c r="G5845" s="2" t="s">
        <v>4</v>
      </c>
      <c r="H5845" s="1">
        <v>42.294000000000004</v>
      </c>
    </row>
    <row r="5846" spans="1:8" x14ac:dyDescent="0.3">
      <c r="A5846" s="2">
        <v>827</v>
      </c>
      <c r="B5846" t="s">
        <v>689</v>
      </c>
      <c r="C5846" t="s">
        <v>3220</v>
      </c>
      <c r="D5846" s="2">
        <v>1</v>
      </c>
      <c r="E5846" s="11" t="s">
        <v>204</v>
      </c>
      <c r="F5846" t="s">
        <v>241</v>
      </c>
      <c r="G5846" s="2" t="s">
        <v>31</v>
      </c>
      <c r="H5846" s="1">
        <v>42.294000000000004</v>
      </c>
    </row>
    <row r="5847" spans="1:8" x14ac:dyDescent="0.3">
      <c r="A5847" s="2">
        <v>827</v>
      </c>
      <c r="B5847" t="s">
        <v>688</v>
      </c>
      <c r="C5847" t="s">
        <v>3220</v>
      </c>
      <c r="D5847" s="2">
        <v>1</v>
      </c>
      <c r="E5847" s="11" t="s">
        <v>204</v>
      </c>
      <c r="F5847" t="s">
        <v>28</v>
      </c>
      <c r="G5847" s="2" t="s">
        <v>4</v>
      </c>
      <c r="H5847" s="1">
        <v>42.294000000000004</v>
      </c>
    </row>
    <row r="5848" spans="1:8" x14ac:dyDescent="0.3">
      <c r="A5848" s="2">
        <v>827</v>
      </c>
      <c r="B5848" t="s">
        <v>289</v>
      </c>
      <c r="C5848" t="s">
        <v>3220</v>
      </c>
      <c r="D5848" s="2">
        <v>1</v>
      </c>
      <c r="E5848" s="11" t="s">
        <v>204</v>
      </c>
      <c r="F5848" t="s">
        <v>28</v>
      </c>
      <c r="G5848" s="2" t="s">
        <v>23</v>
      </c>
      <c r="H5848" s="1">
        <v>42.294000000000004</v>
      </c>
    </row>
    <row r="5849" spans="1:8" x14ac:dyDescent="0.3">
      <c r="A5849" s="2">
        <v>827</v>
      </c>
      <c r="B5849" t="s">
        <v>687</v>
      </c>
      <c r="C5849" t="s">
        <v>1</v>
      </c>
      <c r="D5849" s="2">
        <v>1</v>
      </c>
      <c r="E5849" s="11" t="s">
        <v>76</v>
      </c>
      <c r="F5849" t="s">
        <v>114</v>
      </c>
      <c r="G5849" s="2" t="s">
        <v>4</v>
      </c>
      <c r="H5849" s="1">
        <v>63.494</v>
      </c>
    </row>
    <row r="5850" spans="1:8" x14ac:dyDescent="0.3">
      <c r="A5850" s="2">
        <v>827</v>
      </c>
      <c r="B5850" t="s">
        <v>686</v>
      </c>
      <c r="C5850" t="s">
        <v>1</v>
      </c>
      <c r="D5850" s="2">
        <v>1</v>
      </c>
      <c r="E5850" s="11" t="s">
        <v>76</v>
      </c>
      <c r="F5850" t="s">
        <v>114</v>
      </c>
      <c r="G5850" s="2" t="s">
        <v>23</v>
      </c>
      <c r="H5850" s="1">
        <v>63.494</v>
      </c>
    </row>
    <row r="5851" spans="1:8" x14ac:dyDescent="0.3">
      <c r="A5851" s="2">
        <v>827</v>
      </c>
      <c r="B5851" t="s">
        <v>270</v>
      </c>
      <c r="C5851" t="s">
        <v>3220</v>
      </c>
      <c r="D5851" s="2">
        <v>1</v>
      </c>
      <c r="E5851" s="11" t="s">
        <v>204</v>
      </c>
      <c r="F5851" t="s">
        <v>114</v>
      </c>
      <c r="G5851" s="2" t="s">
        <v>4</v>
      </c>
      <c r="H5851" s="1">
        <v>42.294000000000004</v>
      </c>
    </row>
    <row r="5852" spans="1:8" x14ac:dyDescent="0.3">
      <c r="A5852" s="2">
        <v>827</v>
      </c>
      <c r="B5852" t="s">
        <v>685</v>
      </c>
      <c r="C5852" t="s">
        <v>3220</v>
      </c>
      <c r="D5852" s="2">
        <v>1</v>
      </c>
      <c r="E5852" s="11" t="s">
        <v>204</v>
      </c>
      <c r="F5852" t="s">
        <v>114</v>
      </c>
      <c r="G5852" s="2" t="s">
        <v>203</v>
      </c>
      <c r="H5852" s="1">
        <v>42.294000000000004</v>
      </c>
    </row>
    <row r="5853" spans="1:8" x14ac:dyDescent="0.3">
      <c r="A5853" s="2">
        <v>827</v>
      </c>
      <c r="B5853" t="s">
        <v>684</v>
      </c>
      <c r="C5853" t="s">
        <v>3220</v>
      </c>
      <c r="D5853" s="2">
        <v>1</v>
      </c>
      <c r="E5853" s="11" t="s">
        <v>204</v>
      </c>
      <c r="F5853" t="s">
        <v>683</v>
      </c>
      <c r="G5853" s="2" t="s">
        <v>4</v>
      </c>
      <c r="H5853" s="1">
        <v>42.294000000000004</v>
      </c>
    </row>
    <row r="5854" spans="1:8" x14ac:dyDescent="0.3">
      <c r="A5854" s="2">
        <v>827</v>
      </c>
      <c r="B5854" t="s">
        <v>79</v>
      </c>
      <c r="C5854" t="s">
        <v>1</v>
      </c>
      <c r="D5854" s="2">
        <v>1</v>
      </c>
      <c r="E5854" s="11" t="s">
        <v>76</v>
      </c>
      <c r="F5854" t="s">
        <v>78</v>
      </c>
      <c r="G5854" s="2" t="s">
        <v>31</v>
      </c>
      <c r="H5854" s="1">
        <v>63.494</v>
      </c>
    </row>
    <row r="5855" spans="1:8" x14ac:dyDescent="0.3">
      <c r="A5855" s="2">
        <v>827</v>
      </c>
      <c r="B5855" t="s">
        <v>206</v>
      </c>
      <c r="C5855" t="s">
        <v>3220</v>
      </c>
      <c r="D5855" s="2">
        <v>1</v>
      </c>
      <c r="E5855" s="11" t="s">
        <v>204</v>
      </c>
      <c r="F5855" t="s">
        <v>47</v>
      </c>
      <c r="G5855" s="2" t="s">
        <v>4</v>
      </c>
      <c r="H5855" s="1">
        <v>42.294000000000004</v>
      </c>
    </row>
    <row r="5856" spans="1:8" x14ac:dyDescent="0.3">
      <c r="A5856" s="2">
        <v>827</v>
      </c>
      <c r="B5856" t="s">
        <v>266</v>
      </c>
      <c r="C5856" t="s">
        <v>3220</v>
      </c>
      <c r="D5856" s="2">
        <v>1</v>
      </c>
      <c r="E5856" s="11" t="s">
        <v>204</v>
      </c>
      <c r="F5856" t="s">
        <v>47</v>
      </c>
      <c r="G5856" s="2" t="s">
        <v>31</v>
      </c>
      <c r="H5856" s="1">
        <v>42.294000000000004</v>
      </c>
    </row>
    <row r="5857" spans="1:8" x14ac:dyDescent="0.3">
      <c r="A5857" s="2">
        <v>827</v>
      </c>
      <c r="B5857" t="s">
        <v>289</v>
      </c>
      <c r="C5857" t="s">
        <v>3220</v>
      </c>
      <c r="D5857" s="2">
        <v>1</v>
      </c>
      <c r="E5857" s="11" t="s">
        <v>204</v>
      </c>
      <c r="F5857" t="s">
        <v>28</v>
      </c>
      <c r="G5857" s="2" t="s">
        <v>23</v>
      </c>
      <c r="H5857" s="1">
        <v>42.294000000000004</v>
      </c>
    </row>
    <row r="5858" spans="1:8" x14ac:dyDescent="0.3">
      <c r="A5858" s="2">
        <v>828</v>
      </c>
      <c r="B5858" t="s">
        <v>682</v>
      </c>
      <c r="C5858" t="s">
        <v>3</v>
      </c>
      <c r="D5858" s="2">
        <v>1</v>
      </c>
      <c r="E5858" s="11" t="s">
        <v>215</v>
      </c>
      <c r="F5858" t="s">
        <v>55</v>
      </c>
      <c r="G5858" s="2" t="s">
        <v>31</v>
      </c>
      <c r="H5858" s="1">
        <v>111.19400000000002</v>
      </c>
    </row>
    <row r="5859" spans="1:8" x14ac:dyDescent="0.3">
      <c r="A5859" s="2">
        <v>828</v>
      </c>
      <c r="B5859" t="s">
        <v>620</v>
      </c>
      <c r="C5859" t="s">
        <v>3219</v>
      </c>
      <c r="D5859" s="2">
        <v>1</v>
      </c>
      <c r="E5859" s="11" t="s">
        <v>536</v>
      </c>
      <c r="F5859" t="s">
        <v>114</v>
      </c>
      <c r="G5859" s="2" t="s">
        <v>31</v>
      </c>
      <c r="H5859" s="1">
        <v>158.89400000000001</v>
      </c>
    </row>
    <row r="5860" spans="1:8" x14ac:dyDescent="0.3">
      <c r="A5860" s="2">
        <v>828</v>
      </c>
      <c r="B5860" t="s">
        <v>681</v>
      </c>
      <c r="C5860" t="s">
        <v>3219</v>
      </c>
      <c r="D5860" s="2">
        <v>1</v>
      </c>
      <c r="E5860" s="11" t="s">
        <v>673</v>
      </c>
      <c r="F5860" t="s">
        <v>126</v>
      </c>
      <c r="G5860" s="2" t="s">
        <v>31</v>
      </c>
      <c r="H5860" s="1">
        <v>89.994000000000014</v>
      </c>
    </row>
    <row r="5861" spans="1:8" x14ac:dyDescent="0.3">
      <c r="A5861" s="2">
        <v>828</v>
      </c>
      <c r="B5861" t="s">
        <v>680</v>
      </c>
      <c r="C5861" t="s">
        <v>3233</v>
      </c>
      <c r="D5861" s="2">
        <v>1</v>
      </c>
      <c r="E5861" s="11" t="s">
        <v>679</v>
      </c>
      <c r="F5861" t="s">
        <v>398</v>
      </c>
      <c r="G5861" s="2" t="s">
        <v>31</v>
      </c>
      <c r="H5861" s="1">
        <v>105.89400000000001</v>
      </c>
    </row>
    <row r="5862" spans="1:8" x14ac:dyDescent="0.3">
      <c r="A5862" s="2">
        <v>828</v>
      </c>
      <c r="B5862" t="s">
        <v>678</v>
      </c>
      <c r="C5862" t="s">
        <v>3219</v>
      </c>
      <c r="D5862" s="2">
        <v>1</v>
      </c>
      <c r="E5862" s="11" t="s">
        <v>534</v>
      </c>
      <c r="F5862" t="s">
        <v>28</v>
      </c>
      <c r="G5862" s="2" t="s">
        <v>31</v>
      </c>
      <c r="H5862" s="1">
        <v>89.994000000000014</v>
      </c>
    </row>
    <row r="5863" spans="1:8" x14ac:dyDescent="0.3">
      <c r="A5863" s="2">
        <v>828</v>
      </c>
      <c r="B5863" t="s">
        <v>368</v>
      </c>
      <c r="C5863" t="s">
        <v>3219</v>
      </c>
      <c r="D5863" s="2">
        <v>1</v>
      </c>
      <c r="E5863" s="11" t="s">
        <v>367</v>
      </c>
      <c r="F5863" t="s">
        <v>114</v>
      </c>
      <c r="G5863" s="2" t="s">
        <v>31</v>
      </c>
      <c r="H5863" s="1">
        <v>148.29400000000001</v>
      </c>
    </row>
    <row r="5864" spans="1:8" x14ac:dyDescent="0.3">
      <c r="A5864" s="2">
        <v>828</v>
      </c>
      <c r="B5864" t="s">
        <v>200</v>
      </c>
      <c r="C5864" t="s">
        <v>3221</v>
      </c>
      <c r="D5864" s="2">
        <v>1</v>
      </c>
      <c r="E5864" s="11" t="s">
        <v>199</v>
      </c>
      <c r="F5864" t="s">
        <v>39</v>
      </c>
      <c r="G5864" s="2" t="s">
        <v>31</v>
      </c>
      <c r="H5864" s="1">
        <v>137.69400000000002</v>
      </c>
    </row>
    <row r="5865" spans="1:8" x14ac:dyDescent="0.3">
      <c r="A5865" s="2">
        <v>828</v>
      </c>
      <c r="B5865" t="s">
        <v>677</v>
      </c>
      <c r="C5865" t="s">
        <v>3365</v>
      </c>
      <c r="D5865" s="2">
        <v>1</v>
      </c>
      <c r="E5865" s="11" t="s">
        <v>373</v>
      </c>
      <c r="F5865" t="s">
        <v>39</v>
      </c>
      <c r="G5865" s="2" t="s">
        <v>31</v>
      </c>
      <c r="H5865" s="1">
        <v>164.19400000000002</v>
      </c>
    </row>
    <row r="5866" spans="1:8" x14ac:dyDescent="0.3">
      <c r="A5866" s="2">
        <v>828</v>
      </c>
      <c r="B5866" t="s">
        <v>676</v>
      </c>
      <c r="C5866" t="s">
        <v>3</v>
      </c>
      <c r="D5866" s="2">
        <v>1</v>
      </c>
      <c r="E5866" s="11" t="s">
        <v>675</v>
      </c>
      <c r="F5866" t="s">
        <v>39</v>
      </c>
      <c r="G5866" s="2" t="s">
        <v>31</v>
      </c>
      <c r="H5866" s="1">
        <v>89.994000000000014</v>
      </c>
    </row>
    <row r="5867" spans="1:8" x14ac:dyDescent="0.3">
      <c r="A5867" s="2">
        <v>828</v>
      </c>
      <c r="B5867" t="s">
        <v>674</v>
      </c>
      <c r="C5867" t="s">
        <v>3219</v>
      </c>
      <c r="D5867" s="2">
        <v>1</v>
      </c>
      <c r="E5867" s="11" t="s">
        <v>673</v>
      </c>
      <c r="F5867" t="s">
        <v>39</v>
      </c>
      <c r="G5867" s="2" t="s">
        <v>31</v>
      </c>
      <c r="H5867" s="1">
        <v>89.994000000000014</v>
      </c>
    </row>
    <row r="5868" spans="1:8" x14ac:dyDescent="0.3">
      <c r="A5868" s="2">
        <v>828</v>
      </c>
      <c r="B5868" t="s">
        <v>597</v>
      </c>
      <c r="C5868" t="s">
        <v>3220</v>
      </c>
      <c r="D5868" s="2">
        <v>1</v>
      </c>
      <c r="E5868" s="11" t="s">
        <v>595</v>
      </c>
      <c r="F5868" t="s">
        <v>36</v>
      </c>
      <c r="G5868" s="2" t="s">
        <v>31</v>
      </c>
      <c r="H5868" s="1">
        <v>58.19400000000001</v>
      </c>
    </row>
    <row r="5869" spans="1:8" x14ac:dyDescent="0.3">
      <c r="A5869" s="2">
        <v>828</v>
      </c>
      <c r="B5869" t="s">
        <v>672</v>
      </c>
      <c r="C5869" t="s">
        <v>3365</v>
      </c>
      <c r="D5869" s="2">
        <v>1</v>
      </c>
      <c r="E5869" s="11" t="s">
        <v>373</v>
      </c>
      <c r="F5869" t="s">
        <v>28</v>
      </c>
      <c r="G5869" s="2" t="s">
        <v>31</v>
      </c>
      <c r="H5869" s="1">
        <v>164.19400000000002</v>
      </c>
    </row>
    <row r="5870" spans="1:8" x14ac:dyDescent="0.3">
      <c r="A5870" s="2">
        <v>829</v>
      </c>
      <c r="B5870" t="s">
        <v>671</v>
      </c>
      <c r="C5870" t="s">
        <v>3220</v>
      </c>
      <c r="D5870" s="2">
        <v>1</v>
      </c>
      <c r="E5870" s="11" t="s">
        <v>170</v>
      </c>
      <c r="F5870" t="s">
        <v>55</v>
      </c>
      <c r="G5870" s="2" t="s">
        <v>4</v>
      </c>
      <c r="H5870" s="1">
        <v>36.994</v>
      </c>
    </row>
    <row r="5871" spans="1:8" x14ac:dyDescent="0.3">
      <c r="A5871" s="2">
        <v>829</v>
      </c>
      <c r="B5871" t="s">
        <v>670</v>
      </c>
      <c r="C5871" t="s">
        <v>3220</v>
      </c>
      <c r="D5871" s="2">
        <v>1</v>
      </c>
      <c r="E5871" s="11" t="s">
        <v>170</v>
      </c>
      <c r="F5871" t="s">
        <v>55</v>
      </c>
      <c r="G5871" s="2" t="s">
        <v>23</v>
      </c>
      <c r="H5871" s="1">
        <v>36.994</v>
      </c>
    </row>
    <row r="5872" spans="1:8" x14ac:dyDescent="0.3">
      <c r="A5872" s="2">
        <v>829</v>
      </c>
      <c r="B5872" t="s">
        <v>669</v>
      </c>
      <c r="C5872" t="s">
        <v>3233</v>
      </c>
      <c r="D5872" s="2">
        <v>1</v>
      </c>
      <c r="E5872" s="11" t="s">
        <v>661</v>
      </c>
      <c r="F5872" t="s">
        <v>254</v>
      </c>
      <c r="G5872" s="2" t="s">
        <v>23</v>
      </c>
      <c r="H5872" s="1">
        <v>100.59400000000001</v>
      </c>
    </row>
    <row r="5873" spans="1:8" x14ac:dyDescent="0.3">
      <c r="A5873" s="2">
        <v>829</v>
      </c>
      <c r="B5873" t="s">
        <v>668</v>
      </c>
      <c r="C5873" t="s">
        <v>3224</v>
      </c>
      <c r="D5873" s="2">
        <v>1</v>
      </c>
      <c r="E5873" s="11" t="s">
        <v>538</v>
      </c>
      <c r="F5873" t="s">
        <v>55</v>
      </c>
      <c r="G5873" s="2" t="s">
        <v>23</v>
      </c>
      <c r="H5873" s="1">
        <v>89.994000000000014</v>
      </c>
    </row>
    <row r="5874" spans="1:8" x14ac:dyDescent="0.3">
      <c r="A5874" s="2">
        <v>829</v>
      </c>
      <c r="B5874" t="s">
        <v>667</v>
      </c>
      <c r="C5874" t="s">
        <v>3219</v>
      </c>
      <c r="D5874" s="2">
        <v>1</v>
      </c>
      <c r="E5874" s="11" t="s">
        <v>536</v>
      </c>
      <c r="F5874" t="s">
        <v>55</v>
      </c>
      <c r="G5874" s="2" t="s">
        <v>23</v>
      </c>
      <c r="H5874" s="1">
        <v>158.89400000000001</v>
      </c>
    </row>
    <row r="5875" spans="1:8" x14ac:dyDescent="0.3">
      <c r="A5875" s="2">
        <v>829</v>
      </c>
      <c r="B5875" t="s">
        <v>666</v>
      </c>
      <c r="C5875" t="s">
        <v>0</v>
      </c>
      <c r="D5875" s="2">
        <v>1</v>
      </c>
      <c r="E5875" s="11" t="s">
        <v>665</v>
      </c>
      <c r="F5875" t="s">
        <v>28</v>
      </c>
      <c r="G5875" s="2" t="s">
        <v>23</v>
      </c>
      <c r="H5875" s="1">
        <v>164.19400000000002</v>
      </c>
    </row>
    <row r="5876" spans="1:8" x14ac:dyDescent="0.3">
      <c r="A5876" s="2">
        <v>829</v>
      </c>
      <c r="B5876" t="s">
        <v>664</v>
      </c>
      <c r="C5876" t="s">
        <v>3224</v>
      </c>
      <c r="D5876" s="2">
        <v>1</v>
      </c>
      <c r="E5876" s="11" t="s">
        <v>663</v>
      </c>
      <c r="F5876" t="s">
        <v>114</v>
      </c>
      <c r="G5876" s="2" t="s">
        <v>23</v>
      </c>
      <c r="H5876" s="1">
        <v>111.19400000000002</v>
      </c>
    </row>
    <row r="5877" spans="1:8" x14ac:dyDescent="0.3">
      <c r="A5877" s="2">
        <v>829</v>
      </c>
      <c r="B5877" t="s">
        <v>662</v>
      </c>
      <c r="C5877" t="s">
        <v>3233</v>
      </c>
      <c r="D5877" s="2">
        <v>1</v>
      </c>
      <c r="E5877" s="11" t="s">
        <v>661</v>
      </c>
      <c r="F5877" t="s">
        <v>114</v>
      </c>
      <c r="G5877" s="2" t="s">
        <v>23</v>
      </c>
      <c r="H5877" s="1">
        <v>100.59400000000001</v>
      </c>
    </row>
    <row r="5878" spans="1:8" x14ac:dyDescent="0.3">
      <c r="A5878" s="2">
        <v>829</v>
      </c>
      <c r="B5878" t="s">
        <v>660</v>
      </c>
      <c r="C5878" t="s">
        <v>0</v>
      </c>
      <c r="D5878" s="2">
        <v>1</v>
      </c>
      <c r="E5878" s="11" t="s">
        <v>56</v>
      </c>
      <c r="F5878" t="s">
        <v>114</v>
      </c>
      <c r="G5878" s="2" t="s">
        <v>23</v>
      </c>
      <c r="H5878" s="1">
        <v>227.79400000000001</v>
      </c>
    </row>
    <row r="5879" spans="1:8" x14ac:dyDescent="0.3">
      <c r="A5879" s="2">
        <v>829</v>
      </c>
      <c r="B5879" t="s">
        <v>659</v>
      </c>
      <c r="C5879" t="s">
        <v>3224</v>
      </c>
      <c r="D5879" s="2">
        <v>1</v>
      </c>
      <c r="E5879" s="11" t="s">
        <v>656</v>
      </c>
      <c r="F5879" t="s">
        <v>114</v>
      </c>
      <c r="G5879" s="2" t="s">
        <v>4</v>
      </c>
      <c r="H5879" s="1">
        <v>74.094000000000008</v>
      </c>
    </row>
    <row r="5880" spans="1:8" x14ac:dyDescent="0.3">
      <c r="A5880" s="2">
        <v>829</v>
      </c>
      <c r="B5880" t="s">
        <v>658</v>
      </c>
      <c r="C5880" t="s">
        <v>3224</v>
      </c>
      <c r="D5880" s="2">
        <v>1</v>
      </c>
      <c r="E5880" s="11" t="s">
        <v>656</v>
      </c>
      <c r="F5880" t="s">
        <v>114</v>
      </c>
      <c r="G5880" s="2" t="s">
        <v>31</v>
      </c>
      <c r="H5880" s="1">
        <v>74.094000000000008</v>
      </c>
    </row>
    <row r="5881" spans="1:8" x14ac:dyDescent="0.3">
      <c r="A5881" s="2">
        <v>829</v>
      </c>
      <c r="B5881" t="s">
        <v>657</v>
      </c>
      <c r="C5881" t="s">
        <v>3224</v>
      </c>
      <c r="D5881" s="2">
        <v>1</v>
      </c>
      <c r="E5881" s="11" t="s">
        <v>656</v>
      </c>
      <c r="F5881" t="s">
        <v>114</v>
      </c>
      <c r="G5881" s="2" t="s">
        <v>23</v>
      </c>
      <c r="H5881" s="1">
        <v>74.094000000000008</v>
      </c>
    </row>
    <row r="5882" spans="1:8" x14ac:dyDescent="0.3">
      <c r="A5882" s="2">
        <v>829</v>
      </c>
      <c r="B5882" t="s">
        <v>655</v>
      </c>
      <c r="C5882" t="s">
        <v>3219</v>
      </c>
      <c r="D5882" s="2">
        <v>1</v>
      </c>
      <c r="E5882" s="11" t="s">
        <v>119</v>
      </c>
      <c r="F5882" t="s">
        <v>47</v>
      </c>
      <c r="G5882" s="2" t="s">
        <v>23</v>
      </c>
      <c r="H5882" s="1">
        <v>148.29400000000001</v>
      </c>
    </row>
    <row r="5883" spans="1:8" x14ac:dyDescent="0.3">
      <c r="A5883" s="2">
        <v>829</v>
      </c>
      <c r="B5883" t="s">
        <v>511</v>
      </c>
      <c r="C5883" t="s">
        <v>3225</v>
      </c>
      <c r="D5883" s="2">
        <v>1</v>
      </c>
      <c r="E5883" s="11" t="s">
        <v>510</v>
      </c>
      <c r="F5883" t="s">
        <v>47</v>
      </c>
      <c r="G5883" s="2" t="s">
        <v>23</v>
      </c>
      <c r="H5883" s="1">
        <v>195.99400000000003</v>
      </c>
    </row>
    <row r="5884" spans="1:8" x14ac:dyDescent="0.3">
      <c r="A5884" s="2">
        <v>829</v>
      </c>
      <c r="B5884" t="s">
        <v>654</v>
      </c>
      <c r="C5884" t="s">
        <v>3219</v>
      </c>
      <c r="D5884" s="2">
        <v>1</v>
      </c>
      <c r="E5884" s="11" t="s">
        <v>119</v>
      </c>
      <c r="F5884" t="s">
        <v>36</v>
      </c>
      <c r="G5884" s="2" t="s">
        <v>23</v>
      </c>
      <c r="H5884" s="1">
        <v>148.29400000000001</v>
      </c>
    </row>
    <row r="5885" spans="1:8" x14ac:dyDescent="0.3">
      <c r="A5885" s="2">
        <v>829</v>
      </c>
      <c r="B5885" t="s">
        <v>653</v>
      </c>
      <c r="C5885" t="s">
        <v>3220</v>
      </c>
      <c r="D5885" s="2">
        <v>1</v>
      </c>
      <c r="E5885" s="11" t="s">
        <v>170</v>
      </c>
      <c r="F5885" t="s">
        <v>28</v>
      </c>
      <c r="G5885" s="2" t="s">
        <v>31</v>
      </c>
      <c r="H5885" s="1">
        <v>36.994</v>
      </c>
    </row>
    <row r="5886" spans="1:8" x14ac:dyDescent="0.3">
      <c r="A5886" s="2">
        <v>830</v>
      </c>
      <c r="B5886" t="s">
        <v>652</v>
      </c>
      <c r="C5886" t="s">
        <v>3220</v>
      </c>
      <c r="D5886" s="2">
        <v>1</v>
      </c>
      <c r="E5886" s="11" t="s">
        <v>640</v>
      </c>
      <c r="F5886" t="s">
        <v>55</v>
      </c>
      <c r="G5886" s="2" t="s">
        <v>23</v>
      </c>
      <c r="H5886" s="1">
        <v>21.094000000000001</v>
      </c>
    </row>
    <row r="5887" spans="1:8" x14ac:dyDescent="0.3">
      <c r="A5887" s="2">
        <v>830</v>
      </c>
      <c r="B5887" t="s">
        <v>651</v>
      </c>
      <c r="C5887" t="s">
        <v>3221</v>
      </c>
      <c r="D5887" s="2">
        <v>1</v>
      </c>
      <c r="E5887" s="11" t="s">
        <v>642</v>
      </c>
      <c r="F5887" t="s">
        <v>55</v>
      </c>
      <c r="G5887" s="2" t="s">
        <v>31</v>
      </c>
      <c r="H5887" s="1">
        <v>95.294000000000011</v>
      </c>
    </row>
    <row r="5888" spans="1:8" x14ac:dyDescent="0.3">
      <c r="A5888" s="2">
        <v>830</v>
      </c>
      <c r="B5888" t="s">
        <v>650</v>
      </c>
      <c r="C5888" t="s">
        <v>3220</v>
      </c>
      <c r="D5888" s="2">
        <v>1</v>
      </c>
      <c r="E5888" s="11" t="s">
        <v>647</v>
      </c>
      <c r="F5888" t="s">
        <v>254</v>
      </c>
      <c r="G5888" s="2" t="s">
        <v>4</v>
      </c>
      <c r="H5888" s="1">
        <v>15.793999999999999</v>
      </c>
    </row>
    <row r="5889" spans="1:8" x14ac:dyDescent="0.3">
      <c r="A5889" s="2">
        <v>830</v>
      </c>
      <c r="B5889" t="s">
        <v>649</v>
      </c>
      <c r="C5889" t="s">
        <v>3220</v>
      </c>
      <c r="D5889" s="2">
        <v>1</v>
      </c>
      <c r="E5889" s="11" t="s">
        <v>647</v>
      </c>
      <c r="F5889" t="s">
        <v>254</v>
      </c>
      <c r="G5889" s="2" t="s">
        <v>31</v>
      </c>
      <c r="H5889" s="1">
        <v>15.793999999999999</v>
      </c>
    </row>
    <row r="5890" spans="1:8" x14ac:dyDescent="0.3">
      <c r="A5890" s="2">
        <v>830</v>
      </c>
      <c r="B5890" t="s">
        <v>648</v>
      </c>
      <c r="C5890" t="s">
        <v>3220</v>
      </c>
      <c r="D5890" s="2">
        <v>1</v>
      </c>
      <c r="E5890" s="11" t="s">
        <v>647</v>
      </c>
      <c r="F5890" t="s">
        <v>254</v>
      </c>
      <c r="G5890" s="2" t="s">
        <v>23</v>
      </c>
      <c r="H5890" s="1">
        <v>15.793999999999999</v>
      </c>
    </row>
    <row r="5891" spans="1:8" x14ac:dyDescent="0.3">
      <c r="A5891" s="2">
        <v>830</v>
      </c>
      <c r="B5891" t="s">
        <v>646</v>
      </c>
      <c r="C5891" t="s">
        <v>3220</v>
      </c>
      <c r="D5891" s="2">
        <v>1</v>
      </c>
      <c r="E5891" s="11" t="s">
        <v>637</v>
      </c>
      <c r="F5891" t="s">
        <v>47</v>
      </c>
      <c r="G5891" s="2" t="s">
        <v>4</v>
      </c>
      <c r="H5891" s="1">
        <v>15.793999999999999</v>
      </c>
    </row>
    <row r="5892" spans="1:8" x14ac:dyDescent="0.3">
      <c r="A5892" s="2">
        <v>830</v>
      </c>
      <c r="B5892" t="s">
        <v>645</v>
      </c>
      <c r="C5892" t="s">
        <v>3220</v>
      </c>
      <c r="D5892" s="2">
        <v>1</v>
      </c>
      <c r="E5892" s="11" t="s">
        <v>637</v>
      </c>
      <c r="F5892" t="s">
        <v>47</v>
      </c>
      <c r="G5892" s="2" t="s">
        <v>31</v>
      </c>
      <c r="H5892" s="1">
        <v>15.793999999999999</v>
      </c>
    </row>
    <row r="5893" spans="1:8" x14ac:dyDescent="0.3">
      <c r="A5893" s="2">
        <v>830</v>
      </c>
      <c r="B5893" t="s">
        <v>644</v>
      </c>
      <c r="C5893" t="s">
        <v>3220</v>
      </c>
      <c r="D5893" s="2">
        <v>1</v>
      </c>
      <c r="E5893" s="11" t="s">
        <v>637</v>
      </c>
      <c r="F5893" t="s">
        <v>47</v>
      </c>
      <c r="G5893" s="2" t="s">
        <v>23</v>
      </c>
      <c r="H5893" s="1">
        <v>15.793999999999999</v>
      </c>
    </row>
    <row r="5894" spans="1:8" x14ac:dyDescent="0.3">
      <c r="A5894" s="2">
        <v>830</v>
      </c>
      <c r="B5894" t="s">
        <v>643</v>
      </c>
      <c r="C5894" t="s">
        <v>3221</v>
      </c>
      <c r="D5894" s="2">
        <v>1</v>
      </c>
      <c r="E5894" s="11" t="s">
        <v>642</v>
      </c>
      <c r="F5894" t="s">
        <v>47</v>
      </c>
      <c r="G5894" s="2" t="s">
        <v>4</v>
      </c>
      <c r="H5894" s="1">
        <v>95.294000000000011</v>
      </c>
    </row>
    <row r="5895" spans="1:8" x14ac:dyDescent="0.3">
      <c r="A5895" s="2">
        <v>830</v>
      </c>
      <c r="B5895" t="s">
        <v>641</v>
      </c>
      <c r="C5895" t="s">
        <v>3220</v>
      </c>
      <c r="D5895" s="2">
        <v>1</v>
      </c>
      <c r="E5895" s="11" t="s">
        <v>640</v>
      </c>
      <c r="F5895" t="s">
        <v>39</v>
      </c>
      <c r="G5895" s="2" t="s">
        <v>31</v>
      </c>
      <c r="H5895" s="1">
        <v>21.094000000000001</v>
      </c>
    </row>
    <row r="5896" spans="1:8" x14ac:dyDescent="0.3">
      <c r="A5896" s="2">
        <v>830</v>
      </c>
      <c r="B5896" t="s">
        <v>639</v>
      </c>
      <c r="C5896" t="s">
        <v>3220</v>
      </c>
      <c r="D5896" s="2">
        <v>1</v>
      </c>
      <c r="E5896" s="11" t="s">
        <v>637</v>
      </c>
      <c r="F5896" t="s">
        <v>24</v>
      </c>
      <c r="G5896" s="2" t="s">
        <v>31</v>
      </c>
      <c r="H5896" s="1">
        <v>15.793999999999999</v>
      </c>
    </row>
    <row r="5897" spans="1:8" x14ac:dyDescent="0.3">
      <c r="A5897" s="2">
        <v>830</v>
      </c>
      <c r="B5897" t="s">
        <v>638</v>
      </c>
      <c r="C5897" t="s">
        <v>3220</v>
      </c>
      <c r="D5897" s="2">
        <v>1</v>
      </c>
      <c r="E5897" s="11" t="s">
        <v>637</v>
      </c>
      <c r="F5897" t="s">
        <v>24</v>
      </c>
      <c r="G5897" s="2" t="s">
        <v>23</v>
      </c>
      <c r="H5897" s="1">
        <v>15.793999999999999</v>
      </c>
    </row>
    <row r="5898" spans="1:8" x14ac:dyDescent="0.3">
      <c r="A5898" s="2">
        <v>831</v>
      </c>
      <c r="B5898" t="s">
        <v>636</v>
      </c>
      <c r="C5898" t="s">
        <v>3224</v>
      </c>
      <c r="D5898" s="2">
        <v>1</v>
      </c>
      <c r="E5898" s="11" t="s">
        <v>379</v>
      </c>
      <c r="F5898" t="s">
        <v>114</v>
      </c>
      <c r="G5898" s="2" t="s">
        <v>31</v>
      </c>
      <c r="H5898" s="1">
        <v>89.994000000000014</v>
      </c>
    </row>
    <row r="5899" spans="1:8" x14ac:dyDescent="0.3">
      <c r="A5899" s="2">
        <v>831</v>
      </c>
      <c r="B5899" t="s">
        <v>635</v>
      </c>
      <c r="C5899" t="s">
        <v>3224</v>
      </c>
      <c r="D5899" s="2">
        <v>1</v>
      </c>
      <c r="E5899" s="11" t="s">
        <v>379</v>
      </c>
      <c r="F5899" t="s">
        <v>114</v>
      </c>
      <c r="G5899" s="2" t="s">
        <v>23</v>
      </c>
      <c r="H5899" s="1">
        <v>89.994000000000014</v>
      </c>
    </row>
    <row r="5900" spans="1:8" x14ac:dyDescent="0.3">
      <c r="A5900" s="2">
        <v>831</v>
      </c>
      <c r="B5900" t="s">
        <v>634</v>
      </c>
      <c r="C5900" t="s">
        <v>2</v>
      </c>
      <c r="D5900" s="2">
        <v>1</v>
      </c>
      <c r="E5900" s="11" t="s">
        <v>377</v>
      </c>
      <c r="F5900" t="s">
        <v>114</v>
      </c>
      <c r="G5900" s="2" t="s">
        <v>31</v>
      </c>
      <c r="H5900" s="1">
        <v>89.994000000000014</v>
      </c>
    </row>
    <row r="5901" spans="1:8" x14ac:dyDescent="0.3">
      <c r="A5901" s="2">
        <v>831</v>
      </c>
      <c r="B5901" t="s">
        <v>633</v>
      </c>
      <c r="C5901" t="s">
        <v>2</v>
      </c>
      <c r="D5901" s="2">
        <v>1</v>
      </c>
      <c r="E5901" s="11" t="s">
        <v>377</v>
      </c>
      <c r="F5901" t="s">
        <v>114</v>
      </c>
      <c r="G5901" s="2" t="s">
        <v>23</v>
      </c>
      <c r="H5901" s="1">
        <v>89.994000000000014</v>
      </c>
    </row>
    <row r="5902" spans="1:8" x14ac:dyDescent="0.3">
      <c r="A5902" s="2">
        <v>831</v>
      </c>
      <c r="B5902" t="s">
        <v>502</v>
      </c>
      <c r="C5902" t="s">
        <v>3</v>
      </c>
      <c r="D5902" s="2">
        <v>1</v>
      </c>
      <c r="E5902" s="11" t="s">
        <v>488</v>
      </c>
      <c r="F5902" t="s">
        <v>114</v>
      </c>
      <c r="G5902" s="2" t="s">
        <v>4</v>
      </c>
      <c r="H5902" s="1">
        <v>105.89400000000001</v>
      </c>
    </row>
    <row r="5903" spans="1:8" x14ac:dyDescent="0.3">
      <c r="A5903" s="2">
        <v>831</v>
      </c>
      <c r="B5903" t="s">
        <v>489</v>
      </c>
      <c r="C5903" t="s">
        <v>3</v>
      </c>
      <c r="D5903" s="2">
        <v>1</v>
      </c>
      <c r="E5903" s="11" t="s">
        <v>488</v>
      </c>
      <c r="F5903" t="s">
        <v>114</v>
      </c>
      <c r="G5903" s="2" t="s">
        <v>31</v>
      </c>
      <c r="H5903" s="1">
        <v>105.89400000000001</v>
      </c>
    </row>
    <row r="5904" spans="1:8" x14ac:dyDescent="0.3">
      <c r="A5904" s="2">
        <v>831</v>
      </c>
      <c r="B5904" t="s">
        <v>514</v>
      </c>
      <c r="C5904" t="s">
        <v>3</v>
      </c>
      <c r="D5904" s="2">
        <v>2</v>
      </c>
      <c r="E5904" s="11" t="s">
        <v>488</v>
      </c>
      <c r="F5904" t="s">
        <v>114</v>
      </c>
      <c r="G5904" s="2" t="s">
        <v>23</v>
      </c>
      <c r="H5904" s="1">
        <v>105.89400000000001</v>
      </c>
    </row>
    <row r="5905" spans="1:8" x14ac:dyDescent="0.3">
      <c r="A5905" s="2">
        <v>831</v>
      </c>
      <c r="B5905" t="s">
        <v>632</v>
      </c>
      <c r="C5905" t="s">
        <v>3</v>
      </c>
      <c r="D5905" s="2">
        <v>1</v>
      </c>
      <c r="E5905" s="11" t="s">
        <v>488</v>
      </c>
      <c r="F5905" t="s">
        <v>47</v>
      </c>
      <c r="G5905" s="2" t="s">
        <v>4</v>
      </c>
      <c r="H5905" s="1">
        <v>105.89400000000001</v>
      </c>
    </row>
    <row r="5906" spans="1:8" x14ac:dyDescent="0.3">
      <c r="A5906" s="2">
        <v>831</v>
      </c>
      <c r="B5906" t="s">
        <v>631</v>
      </c>
      <c r="C5906" t="s">
        <v>3</v>
      </c>
      <c r="D5906" s="2">
        <v>1</v>
      </c>
      <c r="E5906" s="11" t="s">
        <v>488</v>
      </c>
      <c r="F5906" t="s">
        <v>47</v>
      </c>
      <c r="G5906" s="2" t="s">
        <v>31</v>
      </c>
      <c r="H5906" s="1">
        <v>105.89400000000001</v>
      </c>
    </row>
    <row r="5907" spans="1:8" x14ac:dyDescent="0.3">
      <c r="A5907" s="2">
        <v>831</v>
      </c>
      <c r="B5907" t="s">
        <v>630</v>
      </c>
      <c r="C5907" t="s">
        <v>3</v>
      </c>
      <c r="D5907" s="2">
        <v>2</v>
      </c>
      <c r="E5907" s="11" t="s">
        <v>488</v>
      </c>
      <c r="F5907" t="s">
        <v>47</v>
      </c>
      <c r="G5907" s="2" t="s">
        <v>23</v>
      </c>
      <c r="H5907" s="1">
        <v>105.89400000000001</v>
      </c>
    </row>
    <row r="5908" spans="1:8" x14ac:dyDescent="0.3">
      <c r="A5908" s="2">
        <v>831</v>
      </c>
      <c r="B5908" t="s">
        <v>406</v>
      </c>
      <c r="C5908" t="s">
        <v>3224</v>
      </c>
      <c r="D5908" s="2">
        <v>1</v>
      </c>
      <c r="E5908" s="11" t="s">
        <v>379</v>
      </c>
      <c r="F5908" t="s">
        <v>39</v>
      </c>
      <c r="G5908" s="2" t="s">
        <v>31</v>
      </c>
      <c r="H5908" s="1">
        <v>89.994000000000014</v>
      </c>
    </row>
    <row r="5909" spans="1:8" x14ac:dyDescent="0.3">
      <c r="A5909" s="2">
        <v>831</v>
      </c>
      <c r="B5909" t="s">
        <v>380</v>
      </c>
      <c r="C5909" t="s">
        <v>3224</v>
      </c>
      <c r="D5909" s="2">
        <v>1</v>
      </c>
      <c r="E5909" s="11" t="s">
        <v>379</v>
      </c>
      <c r="F5909" t="s">
        <v>39</v>
      </c>
      <c r="G5909" s="2" t="s">
        <v>23</v>
      </c>
      <c r="H5909" s="1">
        <v>89.994000000000014</v>
      </c>
    </row>
    <row r="5910" spans="1:8" x14ac:dyDescent="0.3">
      <c r="A5910" s="2">
        <v>831</v>
      </c>
      <c r="B5910" t="s">
        <v>405</v>
      </c>
      <c r="C5910" t="s">
        <v>2</v>
      </c>
      <c r="D5910" s="2">
        <v>1</v>
      </c>
      <c r="E5910" s="11" t="s">
        <v>377</v>
      </c>
      <c r="F5910" t="s">
        <v>39</v>
      </c>
      <c r="G5910" s="2" t="s">
        <v>31</v>
      </c>
      <c r="H5910" s="1">
        <v>89.994000000000014</v>
      </c>
    </row>
    <row r="5911" spans="1:8" x14ac:dyDescent="0.3">
      <c r="A5911" s="2">
        <v>831</v>
      </c>
      <c r="B5911" t="s">
        <v>378</v>
      </c>
      <c r="C5911" t="s">
        <v>2</v>
      </c>
      <c r="D5911" s="2">
        <v>1</v>
      </c>
      <c r="E5911" s="11" t="s">
        <v>377</v>
      </c>
      <c r="F5911" t="s">
        <v>39</v>
      </c>
      <c r="G5911" s="2" t="s">
        <v>23</v>
      </c>
      <c r="H5911" s="1">
        <v>89.994000000000014</v>
      </c>
    </row>
    <row r="5912" spans="1:8" x14ac:dyDescent="0.3">
      <c r="A5912" s="2">
        <v>831</v>
      </c>
      <c r="B5912" t="s">
        <v>543</v>
      </c>
      <c r="C5912" t="s">
        <v>3225</v>
      </c>
      <c r="D5912" s="2">
        <v>1</v>
      </c>
      <c r="E5912" s="11" t="s">
        <v>178</v>
      </c>
      <c r="F5912" t="s">
        <v>39</v>
      </c>
      <c r="G5912" s="2" t="s">
        <v>31</v>
      </c>
      <c r="H5912" s="1">
        <v>158.89400000000001</v>
      </c>
    </row>
    <row r="5913" spans="1:8" x14ac:dyDescent="0.3">
      <c r="A5913" s="2">
        <v>831</v>
      </c>
      <c r="B5913" t="s">
        <v>571</v>
      </c>
      <c r="C5913" t="s">
        <v>3225</v>
      </c>
      <c r="D5913" s="2">
        <v>1</v>
      </c>
      <c r="E5913" s="11" t="s">
        <v>178</v>
      </c>
      <c r="F5913" t="s">
        <v>39</v>
      </c>
      <c r="G5913" s="2" t="s">
        <v>23</v>
      </c>
      <c r="H5913" s="1">
        <v>158.89400000000001</v>
      </c>
    </row>
    <row r="5914" spans="1:8" x14ac:dyDescent="0.3">
      <c r="A5914" s="2">
        <v>831</v>
      </c>
      <c r="B5914" t="s">
        <v>629</v>
      </c>
      <c r="C5914" t="s">
        <v>3</v>
      </c>
      <c r="D5914" s="2">
        <v>1</v>
      </c>
      <c r="E5914" s="11" t="s">
        <v>488</v>
      </c>
      <c r="F5914" t="s">
        <v>39</v>
      </c>
      <c r="G5914" s="2" t="s">
        <v>4</v>
      </c>
      <c r="H5914" s="1">
        <v>105.89400000000001</v>
      </c>
    </row>
    <row r="5915" spans="1:8" x14ac:dyDescent="0.3">
      <c r="A5915" s="2">
        <v>831</v>
      </c>
      <c r="B5915" t="s">
        <v>628</v>
      </c>
      <c r="C5915" t="s">
        <v>3</v>
      </c>
      <c r="D5915" s="2">
        <v>1</v>
      </c>
      <c r="E5915" s="11" t="s">
        <v>488</v>
      </c>
      <c r="F5915" t="s">
        <v>39</v>
      </c>
      <c r="G5915" s="2" t="s">
        <v>31</v>
      </c>
      <c r="H5915" s="1">
        <v>105.89400000000001</v>
      </c>
    </row>
    <row r="5916" spans="1:8" x14ac:dyDescent="0.3">
      <c r="A5916" s="2">
        <v>831</v>
      </c>
      <c r="B5916" t="s">
        <v>627</v>
      </c>
      <c r="C5916" t="s">
        <v>3</v>
      </c>
      <c r="D5916" s="2">
        <v>1</v>
      </c>
      <c r="E5916" s="11" t="s">
        <v>488</v>
      </c>
      <c r="F5916" t="s">
        <v>39</v>
      </c>
      <c r="G5916" s="2" t="s">
        <v>23</v>
      </c>
      <c r="H5916" s="1">
        <v>105.89400000000001</v>
      </c>
    </row>
    <row r="5917" spans="1:8" x14ac:dyDescent="0.3">
      <c r="A5917" s="2">
        <v>831</v>
      </c>
      <c r="B5917" t="s">
        <v>179</v>
      </c>
      <c r="C5917" t="s">
        <v>3225</v>
      </c>
      <c r="D5917" s="2">
        <v>1</v>
      </c>
      <c r="E5917" s="11" t="s">
        <v>178</v>
      </c>
      <c r="F5917" t="s">
        <v>36</v>
      </c>
      <c r="G5917" s="2" t="s">
        <v>23</v>
      </c>
      <c r="H5917" s="1">
        <v>158.89400000000001</v>
      </c>
    </row>
    <row r="5918" spans="1:8" x14ac:dyDescent="0.3">
      <c r="A5918" s="2">
        <v>831</v>
      </c>
      <c r="B5918" t="s">
        <v>626</v>
      </c>
      <c r="C5918" t="s">
        <v>3</v>
      </c>
      <c r="D5918" s="2">
        <v>1</v>
      </c>
      <c r="E5918" s="11" t="s">
        <v>488</v>
      </c>
      <c r="F5918" t="s">
        <v>36</v>
      </c>
      <c r="G5918" s="2" t="s">
        <v>31</v>
      </c>
      <c r="H5918" s="1">
        <v>105.89400000000001</v>
      </c>
    </row>
    <row r="5919" spans="1:8" x14ac:dyDescent="0.3">
      <c r="A5919" s="2">
        <v>831</v>
      </c>
      <c r="B5919" t="s">
        <v>625</v>
      </c>
      <c r="C5919" t="s">
        <v>3</v>
      </c>
      <c r="D5919" s="2">
        <v>1</v>
      </c>
      <c r="E5919" s="11" t="s">
        <v>488</v>
      </c>
      <c r="F5919" t="s">
        <v>36</v>
      </c>
      <c r="G5919" s="2" t="s">
        <v>23</v>
      </c>
      <c r="H5919" s="1">
        <v>105.89400000000001</v>
      </c>
    </row>
    <row r="5920" spans="1:8" x14ac:dyDescent="0.3">
      <c r="A5920" s="2">
        <v>831</v>
      </c>
      <c r="B5920" t="s">
        <v>624</v>
      </c>
      <c r="C5920" t="s">
        <v>3225</v>
      </c>
      <c r="D5920" s="2">
        <v>1</v>
      </c>
      <c r="E5920" s="11" t="s">
        <v>176</v>
      </c>
      <c r="F5920" t="s">
        <v>36</v>
      </c>
      <c r="G5920" s="2" t="s">
        <v>4</v>
      </c>
      <c r="H5920" s="1">
        <v>153.59400000000002</v>
      </c>
    </row>
    <row r="5921" spans="1:8" x14ac:dyDescent="0.3">
      <c r="A5921" s="2">
        <v>831</v>
      </c>
      <c r="B5921" t="s">
        <v>177</v>
      </c>
      <c r="C5921" t="s">
        <v>3225</v>
      </c>
      <c r="D5921" s="2">
        <v>1</v>
      </c>
      <c r="E5921" s="11" t="s">
        <v>176</v>
      </c>
      <c r="F5921" t="s">
        <v>36</v>
      </c>
      <c r="G5921" s="2" t="s">
        <v>31</v>
      </c>
      <c r="H5921" s="1">
        <v>153.59400000000002</v>
      </c>
    </row>
    <row r="5922" spans="1:8" x14ac:dyDescent="0.3">
      <c r="A5922" s="2">
        <v>831</v>
      </c>
      <c r="B5922" t="s">
        <v>542</v>
      </c>
      <c r="C5922" t="s">
        <v>3225</v>
      </c>
      <c r="D5922" s="2">
        <v>1</v>
      </c>
      <c r="E5922" s="11" t="s">
        <v>176</v>
      </c>
      <c r="F5922" t="s">
        <v>36</v>
      </c>
      <c r="G5922" s="2" t="s">
        <v>23</v>
      </c>
      <c r="H5922" s="1">
        <v>153.59400000000002</v>
      </c>
    </row>
    <row r="5923" spans="1:8" x14ac:dyDescent="0.3">
      <c r="A5923" s="2">
        <v>831</v>
      </c>
      <c r="B5923" t="s">
        <v>541</v>
      </c>
      <c r="C5923" t="s">
        <v>3225</v>
      </c>
      <c r="D5923" s="2">
        <v>1</v>
      </c>
      <c r="E5923" s="11" t="s">
        <v>178</v>
      </c>
      <c r="F5923" t="s">
        <v>28</v>
      </c>
      <c r="G5923" s="2" t="s">
        <v>4</v>
      </c>
      <c r="H5923" s="1">
        <v>158.89400000000001</v>
      </c>
    </row>
    <row r="5924" spans="1:8" x14ac:dyDescent="0.3">
      <c r="A5924" s="2">
        <v>831</v>
      </c>
      <c r="B5924" t="s">
        <v>623</v>
      </c>
      <c r="C5924" t="s">
        <v>3225</v>
      </c>
      <c r="D5924" s="2">
        <v>1</v>
      </c>
      <c r="E5924" s="11" t="s">
        <v>178</v>
      </c>
      <c r="F5924" t="s">
        <v>28</v>
      </c>
      <c r="G5924" s="2" t="s">
        <v>31</v>
      </c>
      <c r="H5924" s="1">
        <v>158.89400000000001</v>
      </c>
    </row>
    <row r="5925" spans="1:8" x14ac:dyDescent="0.3">
      <c r="A5925" s="2">
        <v>831</v>
      </c>
      <c r="B5925" t="s">
        <v>568</v>
      </c>
      <c r="C5925" t="s">
        <v>3225</v>
      </c>
      <c r="D5925" s="2">
        <v>1</v>
      </c>
      <c r="E5925" s="11" t="s">
        <v>178</v>
      </c>
      <c r="F5925" t="s">
        <v>28</v>
      </c>
      <c r="G5925" s="2" t="s">
        <v>23</v>
      </c>
      <c r="H5925" s="1">
        <v>158.89400000000001</v>
      </c>
    </row>
    <row r="5926" spans="1:8" x14ac:dyDescent="0.3">
      <c r="A5926" s="2">
        <v>832</v>
      </c>
      <c r="B5926" t="s">
        <v>356</v>
      </c>
      <c r="C5926" t="s">
        <v>0</v>
      </c>
      <c r="D5926" s="2">
        <v>1</v>
      </c>
      <c r="E5926" s="11" t="s">
        <v>217</v>
      </c>
      <c r="F5926" t="s">
        <v>55</v>
      </c>
      <c r="G5926" s="2" t="s">
        <v>31</v>
      </c>
      <c r="H5926" s="1">
        <v>142.994</v>
      </c>
    </row>
    <row r="5927" spans="1:8" x14ac:dyDescent="0.3">
      <c r="A5927" s="2">
        <v>832</v>
      </c>
      <c r="B5927" t="s">
        <v>263</v>
      </c>
      <c r="C5927" t="s">
        <v>1</v>
      </c>
      <c r="D5927" s="2">
        <v>1</v>
      </c>
      <c r="E5927" s="11" t="s">
        <v>172</v>
      </c>
      <c r="F5927" t="s">
        <v>55</v>
      </c>
      <c r="G5927" s="2" t="s">
        <v>31</v>
      </c>
      <c r="H5927" s="1">
        <v>47.594000000000001</v>
      </c>
    </row>
    <row r="5928" spans="1:8" x14ac:dyDescent="0.3">
      <c r="A5928" s="2">
        <v>832</v>
      </c>
      <c r="B5928" t="s">
        <v>622</v>
      </c>
      <c r="C5928" t="s">
        <v>3233</v>
      </c>
      <c r="D5928" s="2">
        <v>1</v>
      </c>
      <c r="E5928" s="11" t="s">
        <v>606</v>
      </c>
      <c r="F5928" t="s">
        <v>65</v>
      </c>
      <c r="G5928" s="2" t="s">
        <v>31</v>
      </c>
      <c r="H5928" s="1">
        <v>74.094000000000008</v>
      </c>
    </row>
    <row r="5929" spans="1:8" x14ac:dyDescent="0.3">
      <c r="A5929" s="2">
        <v>832</v>
      </c>
      <c r="B5929" t="s">
        <v>621</v>
      </c>
      <c r="C5929" t="s">
        <v>3224</v>
      </c>
      <c r="D5929" s="2">
        <v>1</v>
      </c>
      <c r="E5929" s="11" t="s">
        <v>538</v>
      </c>
      <c r="F5929" t="s">
        <v>114</v>
      </c>
      <c r="G5929" s="2" t="s">
        <v>31</v>
      </c>
      <c r="H5929" s="1">
        <v>89.994000000000014</v>
      </c>
    </row>
    <row r="5930" spans="1:8" x14ac:dyDescent="0.3">
      <c r="A5930" s="2">
        <v>832</v>
      </c>
      <c r="B5930" t="s">
        <v>620</v>
      </c>
      <c r="C5930" t="s">
        <v>3219</v>
      </c>
      <c r="D5930" s="2">
        <v>1</v>
      </c>
      <c r="E5930" s="11" t="s">
        <v>536</v>
      </c>
      <c r="F5930" t="s">
        <v>114</v>
      </c>
      <c r="G5930" s="2" t="s">
        <v>31</v>
      </c>
      <c r="H5930" s="1">
        <v>158.89400000000001</v>
      </c>
    </row>
    <row r="5931" spans="1:8" x14ac:dyDescent="0.3">
      <c r="A5931" s="2">
        <v>832</v>
      </c>
      <c r="B5931" t="s">
        <v>619</v>
      </c>
      <c r="C5931" t="s">
        <v>3224</v>
      </c>
      <c r="D5931" s="2">
        <v>1</v>
      </c>
      <c r="E5931" s="11" t="s">
        <v>538</v>
      </c>
      <c r="F5931" t="s">
        <v>55</v>
      </c>
      <c r="G5931" s="2" t="s">
        <v>31</v>
      </c>
      <c r="H5931" s="1">
        <v>89.994000000000014</v>
      </c>
    </row>
    <row r="5932" spans="1:8" x14ac:dyDescent="0.3">
      <c r="A5932" s="2">
        <v>832</v>
      </c>
      <c r="B5932" t="s">
        <v>618</v>
      </c>
      <c r="C5932" t="s">
        <v>3225</v>
      </c>
      <c r="D5932" s="2">
        <v>1</v>
      </c>
      <c r="E5932" s="11" t="s">
        <v>239</v>
      </c>
      <c r="F5932" t="s">
        <v>114</v>
      </c>
      <c r="G5932" s="2" t="s">
        <v>31</v>
      </c>
      <c r="H5932" s="1">
        <v>148.29400000000001</v>
      </c>
    </row>
    <row r="5933" spans="1:8" x14ac:dyDescent="0.3">
      <c r="A5933" s="2">
        <v>832</v>
      </c>
      <c r="B5933" t="s">
        <v>617</v>
      </c>
      <c r="C5933" t="s">
        <v>0</v>
      </c>
      <c r="D5933" s="2">
        <v>1</v>
      </c>
      <c r="E5933" s="11" t="s">
        <v>217</v>
      </c>
      <c r="F5933" t="s">
        <v>114</v>
      </c>
      <c r="G5933" s="2" t="s">
        <v>4</v>
      </c>
      <c r="H5933" s="1">
        <v>142.994</v>
      </c>
    </row>
    <row r="5934" spans="1:8" x14ac:dyDescent="0.3">
      <c r="A5934" s="2">
        <v>832</v>
      </c>
      <c r="B5934" t="s">
        <v>616</v>
      </c>
      <c r="C5934" t="s">
        <v>3220</v>
      </c>
      <c r="D5934" s="2">
        <v>1</v>
      </c>
      <c r="E5934" s="11" t="s">
        <v>595</v>
      </c>
      <c r="F5934" t="s">
        <v>114</v>
      </c>
      <c r="G5934" s="2" t="s">
        <v>31</v>
      </c>
      <c r="H5934" s="1">
        <v>58.19400000000001</v>
      </c>
    </row>
    <row r="5935" spans="1:8" x14ac:dyDescent="0.3">
      <c r="A5935" s="2">
        <v>832</v>
      </c>
      <c r="B5935" t="s">
        <v>615</v>
      </c>
      <c r="C5935" t="s">
        <v>3220</v>
      </c>
      <c r="D5935" s="2">
        <v>1</v>
      </c>
      <c r="E5935" s="11" t="s">
        <v>595</v>
      </c>
      <c r="F5935" t="s">
        <v>114</v>
      </c>
      <c r="G5935" s="2" t="s">
        <v>23</v>
      </c>
      <c r="H5935" s="1">
        <v>58.19400000000001</v>
      </c>
    </row>
    <row r="5936" spans="1:8" x14ac:dyDescent="0.3">
      <c r="A5936" s="2">
        <v>832</v>
      </c>
      <c r="B5936" t="s">
        <v>614</v>
      </c>
      <c r="C5936" t="s">
        <v>2</v>
      </c>
      <c r="D5936" s="2">
        <v>1</v>
      </c>
      <c r="E5936" s="11" t="s">
        <v>43</v>
      </c>
      <c r="F5936" t="s">
        <v>114</v>
      </c>
      <c r="G5936" s="2" t="s">
        <v>4</v>
      </c>
      <c r="H5936" s="1">
        <v>74.094000000000008</v>
      </c>
    </row>
    <row r="5937" spans="1:8" x14ac:dyDescent="0.3">
      <c r="A5937" s="2">
        <v>832</v>
      </c>
      <c r="B5937" t="s">
        <v>117</v>
      </c>
      <c r="C5937" t="s">
        <v>2</v>
      </c>
      <c r="D5937" s="2">
        <v>1</v>
      </c>
      <c r="E5937" s="11" t="s">
        <v>43</v>
      </c>
      <c r="F5937" t="s">
        <v>114</v>
      </c>
      <c r="G5937" s="2" t="s">
        <v>31</v>
      </c>
      <c r="H5937" s="1">
        <v>74.094000000000008</v>
      </c>
    </row>
    <row r="5938" spans="1:8" x14ac:dyDescent="0.3">
      <c r="A5938" s="2">
        <v>832</v>
      </c>
      <c r="B5938" t="s">
        <v>613</v>
      </c>
      <c r="C5938" t="s">
        <v>1</v>
      </c>
      <c r="D5938" s="2">
        <v>1</v>
      </c>
      <c r="E5938" s="11" t="s">
        <v>172</v>
      </c>
      <c r="F5938" t="s">
        <v>114</v>
      </c>
      <c r="G5938" s="2" t="s">
        <v>4</v>
      </c>
      <c r="H5938" s="1">
        <v>47.594000000000001</v>
      </c>
    </row>
    <row r="5939" spans="1:8" x14ac:dyDescent="0.3">
      <c r="A5939" s="2">
        <v>832</v>
      </c>
      <c r="B5939" t="s">
        <v>612</v>
      </c>
      <c r="C5939" t="s">
        <v>1</v>
      </c>
      <c r="D5939" s="2">
        <v>1</v>
      </c>
      <c r="E5939" s="11" t="s">
        <v>172</v>
      </c>
      <c r="F5939" t="s">
        <v>114</v>
      </c>
      <c r="G5939" s="2" t="s">
        <v>31</v>
      </c>
      <c r="H5939" s="1">
        <v>47.594000000000001</v>
      </c>
    </row>
    <row r="5940" spans="1:8" x14ac:dyDescent="0.3">
      <c r="A5940" s="2">
        <v>832</v>
      </c>
      <c r="B5940" t="s">
        <v>611</v>
      </c>
      <c r="C5940" t="s">
        <v>1</v>
      </c>
      <c r="D5940" s="2">
        <v>1</v>
      </c>
      <c r="E5940" s="11" t="s">
        <v>172</v>
      </c>
      <c r="F5940" t="s">
        <v>114</v>
      </c>
      <c r="G5940" s="2" t="s">
        <v>23</v>
      </c>
      <c r="H5940" s="1">
        <v>47.594000000000001</v>
      </c>
    </row>
    <row r="5941" spans="1:8" x14ac:dyDescent="0.3">
      <c r="A5941" s="2">
        <v>832</v>
      </c>
      <c r="B5941" t="s">
        <v>610</v>
      </c>
      <c r="C5941" t="s">
        <v>0</v>
      </c>
      <c r="D5941" s="2">
        <v>1</v>
      </c>
      <c r="E5941" s="11" t="s">
        <v>593</v>
      </c>
      <c r="F5941" t="s">
        <v>114</v>
      </c>
      <c r="G5941" s="2" t="s">
        <v>31</v>
      </c>
      <c r="H5941" s="1">
        <v>180.09400000000002</v>
      </c>
    </row>
    <row r="5942" spans="1:8" x14ac:dyDescent="0.3">
      <c r="A5942" s="2">
        <v>832</v>
      </c>
      <c r="B5942" t="s">
        <v>609</v>
      </c>
      <c r="C5942" t="s">
        <v>1</v>
      </c>
      <c r="D5942" s="2">
        <v>1</v>
      </c>
      <c r="E5942" s="11" t="s">
        <v>599</v>
      </c>
      <c r="F5942" t="s">
        <v>114</v>
      </c>
      <c r="G5942" s="2" t="s">
        <v>4</v>
      </c>
      <c r="H5942" s="1">
        <v>79.394000000000005</v>
      </c>
    </row>
    <row r="5943" spans="1:8" x14ac:dyDescent="0.3">
      <c r="A5943" s="2">
        <v>832</v>
      </c>
      <c r="B5943" t="s">
        <v>608</v>
      </c>
      <c r="C5943" t="s">
        <v>1</v>
      </c>
      <c r="D5943" s="2">
        <v>1</v>
      </c>
      <c r="E5943" s="11" t="s">
        <v>599</v>
      </c>
      <c r="F5943" t="s">
        <v>114</v>
      </c>
      <c r="G5943" s="2" t="s">
        <v>31</v>
      </c>
      <c r="H5943" s="1">
        <v>79.394000000000005</v>
      </c>
    </row>
    <row r="5944" spans="1:8" x14ac:dyDescent="0.3">
      <c r="A5944" s="2">
        <v>832</v>
      </c>
      <c r="B5944" t="s">
        <v>607</v>
      </c>
      <c r="C5944" t="s">
        <v>3233</v>
      </c>
      <c r="D5944" s="2">
        <v>1</v>
      </c>
      <c r="E5944" s="11" t="s">
        <v>606</v>
      </c>
      <c r="F5944" t="s">
        <v>114</v>
      </c>
      <c r="G5944" s="2" t="s">
        <v>31</v>
      </c>
      <c r="H5944" s="1">
        <v>74.094000000000008</v>
      </c>
    </row>
    <row r="5945" spans="1:8" x14ac:dyDescent="0.3">
      <c r="A5945" s="2">
        <v>832</v>
      </c>
      <c r="B5945" t="s">
        <v>503</v>
      </c>
      <c r="C5945" t="s">
        <v>3224</v>
      </c>
      <c r="D5945" s="2">
        <v>1</v>
      </c>
      <c r="E5945" s="11" t="s">
        <v>494</v>
      </c>
      <c r="F5945" t="s">
        <v>114</v>
      </c>
      <c r="G5945" s="2" t="s">
        <v>31</v>
      </c>
      <c r="H5945" s="1">
        <v>47.594000000000001</v>
      </c>
    </row>
    <row r="5946" spans="1:8" x14ac:dyDescent="0.3">
      <c r="A5946" s="2">
        <v>832</v>
      </c>
      <c r="B5946" t="s">
        <v>605</v>
      </c>
      <c r="C5946" t="s">
        <v>3220</v>
      </c>
      <c r="D5946" s="2">
        <v>1</v>
      </c>
      <c r="E5946" s="11" t="s">
        <v>595</v>
      </c>
      <c r="F5946" t="s">
        <v>47</v>
      </c>
      <c r="G5946" s="2" t="s">
        <v>4</v>
      </c>
      <c r="H5946" s="1">
        <v>58.19400000000001</v>
      </c>
    </row>
    <row r="5947" spans="1:8" x14ac:dyDescent="0.3">
      <c r="A5947" s="2">
        <v>832</v>
      </c>
      <c r="B5947" t="s">
        <v>604</v>
      </c>
      <c r="C5947" t="s">
        <v>3220</v>
      </c>
      <c r="D5947" s="2">
        <v>1</v>
      </c>
      <c r="E5947" s="11" t="s">
        <v>595</v>
      </c>
      <c r="F5947" t="s">
        <v>47</v>
      </c>
      <c r="G5947" s="2" t="s">
        <v>31</v>
      </c>
      <c r="H5947" s="1">
        <v>58.19400000000001</v>
      </c>
    </row>
    <row r="5948" spans="1:8" x14ac:dyDescent="0.3">
      <c r="A5948" s="2">
        <v>832</v>
      </c>
      <c r="B5948" t="s">
        <v>603</v>
      </c>
      <c r="C5948" t="s">
        <v>3225</v>
      </c>
      <c r="D5948" s="2">
        <v>1</v>
      </c>
      <c r="E5948" s="11" t="s">
        <v>444</v>
      </c>
      <c r="F5948" t="s">
        <v>47</v>
      </c>
      <c r="G5948" s="2" t="s">
        <v>4</v>
      </c>
      <c r="H5948" s="1">
        <v>180.09400000000002</v>
      </c>
    </row>
    <row r="5949" spans="1:8" x14ac:dyDescent="0.3">
      <c r="A5949" s="2">
        <v>832</v>
      </c>
      <c r="B5949" t="s">
        <v>602</v>
      </c>
      <c r="C5949" t="s">
        <v>1</v>
      </c>
      <c r="D5949" s="2">
        <v>2</v>
      </c>
      <c r="E5949" s="11" t="s">
        <v>599</v>
      </c>
      <c r="F5949" t="s">
        <v>47</v>
      </c>
      <c r="G5949" s="2" t="s">
        <v>4</v>
      </c>
      <c r="H5949" s="1">
        <v>79.394000000000005</v>
      </c>
    </row>
    <row r="5950" spans="1:8" x14ac:dyDescent="0.3">
      <c r="A5950" s="2">
        <v>832</v>
      </c>
      <c r="B5950" t="s">
        <v>212</v>
      </c>
      <c r="C5950" t="s">
        <v>3224</v>
      </c>
      <c r="D5950" s="2">
        <v>1</v>
      </c>
      <c r="E5950" s="11" t="s">
        <v>211</v>
      </c>
      <c r="F5950" t="s">
        <v>47</v>
      </c>
      <c r="G5950" s="2" t="s">
        <v>31</v>
      </c>
      <c r="H5950" s="1">
        <v>63.494000000000007</v>
      </c>
    </row>
    <row r="5951" spans="1:8" x14ac:dyDescent="0.3">
      <c r="A5951" s="2">
        <v>832</v>
      </c>
      <c r="B5951" t="s">
        <v>601</v>
      </c>
      <c r="C5951" t="s">
        <v>3224</v>
      </c>
      <c r="D5951" s="2">
        <v>1</v>
      </c>
      <c r="E5951" s="11" t="s">
        <v>494</v>
      </c>
      <c r="F5951" t="s">
        <v>47</v>
      </c>
      <c r="G5951" s="2" t="s">
        <v>31</v>
      </c>
      <c r="H5951" s="1">
        <v>47.594000000000001</v>
      </c>
    </row>
    <row r="5952" spans="1:8" x14ac:dyDescent="0.3">
      <c r="A5952" s="2">
        <v>832</v>
      </c>
      <c r="B5952" t="s">
        <v>532</v>
      </c>
      <c r="C5952" t="s">
        <v>0</v>
      </c>
      <c r="D5952" s="2">
        <v>1</v>
      </c>
      <c r="E5952" s="11" t="s">
        <v>531</v>
      </c>
      <c r="F5952" t="s">
        <v>39</v>
      </c>
      <c r="G5952" s="2" t="s">
        <v>23</v>
      </c>
      <c r="H5952" s="1">
        <v>217.19400000000002</v>
      </c>
    </row>
    <row r="5953" spans="1:8" x14ac:dyDescent="0.3">
      <c r="A5953" s="2">
        <v>832</v>
      </c>
      <c r="B5953" t="s">
        <v>44</v>
      </c>
      <c r="C5953" t="s">
        <v>2</v>
      </c>
      <c r="D5953" s="2">
        <v>1</v>
      </c>
      <c r="E5953" s="11" t="s">
        <v>43</v>
      </c>
      <c r="F5953" t="s">
        <v>39</v>
      </c>
      <c r="G5953" s="2" t="s">
        <v>4</v>
      </c>
      <c r="H5953" s="1">
        <v>74.094000000000008</v>
      </c>
    </row>
    <row r="5954" spans="1:8" x14ac:dyDescent="0.3">
      <c r="A5954" s="2">
        <v>832</v>
      </c>
      <c r="B5954" t="s">
        <v>600</v>
      </c>
      <c r="C5954" t="s">
        <v>1</v>
      </c>
      <c r="D5954" s="2">
        <v>1</v>
      </c>
      <c r="E5954" s="11" t="s">
        <v>599</v>
      </c>
      <c r="F5954" t="s">
        <v>39</v>
      </c>
      <c r="G5954" s="2" t="s">
        <v>4</v>
      </c>
      <c r="H5954" s="1">
        <v>79.394000000000005</v>
      </c>
    </row>
    <row r="5955" spans="1:8" x14ac:dyDescent="0.3">
      <c r="A5955" s="2">
        <v>832</v>
      </c>
      <c r="B5955" t="s">
        <v>598</v>
      </c>
      <c r="C5955" t="s">
        <v>3224</v>
      </c>
      <c r="D5955" s="2">
        <v>1</v>
      </c>
      <c r="E5955" s="11" t="s">
        <v>211</v>
      </c>
      <c r="F5955" t="s">
        <v>39</v>
      </c>
      <c r="G5955" s="2" t="s">
        <v>31</v>
      </c>
      <c r="H5955" s="1">
        <v>63.494000000000007</v>
      </c>
    </row>
    <row r="5956" spans="1:8" x14ac:dyDescent="0.3">
      <c r="A5956" s="2">
        <v>832</v>
      </c>
      <c r="B5956" t="s">
        <v>597</v>
      </c>
      <c r="C5956" t="s">
        <v>3220</v>
      </c>
      <c r="D5956" s="2">
        <v>1</v>
      </c>
      <c r="E5956" s="11" t="s">
        <v>595</v>
      </c>
      <c r="F5956" t="s">
        <v>36</v>
      </c>
      <c r="G5956" s="2" t="s">
        <v>31</v>
      </c>
      <c r="H5956" s="1">
        <v>58.19400000000001</v>
      </c>
    </row>
    <row r="5957" spans="1:8" x14ac:dyDescent="0.3">
      <c r="A5957" s="2">
        <v>832</v>
      </c>
      <c r="B5957" t="s">
        <v>445</v>
      </c>
      <c r="C5957" t="s">
        <v>3225</v>
      </c>
      <c r="D5957" s="2">
        <v>1</v>
      </c>
      <c r="E5957" s="11" t="s">
        <v>444</v>
      </c>
      <c r="F5957" t="s">
        <v>36</v>
      </c>
      <c r="G5957" s="2" t="s">
        <v>31</v>
      </c>
      <c r="H5957" s="1">
        <v>180.09400000000002</v>
      </c>
    </row>
    <row r="5958" spans="1:8" x14ac:dyDescent="0.3">
      <c r="A5958" s="2">
        <v>832</v>
      </c>
      <c r="B5958" t="s">
        <v>443</v>
      </c>
      <c r="C5958" t="s">
        <v>1</v>
      </c>
      <c r="D5958" s="2">
        <v>1</v>
      </c>
      <c r="E5958" s="11" t="s">
        <v>172</v>
      </c>
      <c r="F5958" t="s">
        <v>36</v>
      </c>
      <c r="G5958" s="2" t="s">
        <v>31</v>
      </c>
      <c r="H5958" s="1">
        <v>47.594000000000001</v>
      </c>
    </row>
    <row r="5959" spans="1:8" x14ac:dyDescent="0.3">
      <c r="A5959" s="2">
        <v>832</v>
      </c>
      <c r="B5959" t="s">
        <v>498</v>
      </c>
      <c r="C5959" t="s">
        <v>3224</v>
      </c>
      <c r="D5959" s="2">
        <v>1</v>
      </c>
      <c r="E5959" s="11" t="s">
        <v>494</v>
      </c>
      <c r="F5959" t="s">
        <v>36</v>
      </c>
      <c r="G5959" s="2" t="s">
        <v>31</v>
      </c>
      <c r="H5959" s="1">
        <v>47.594000000000001</v>
      </c>
    </row>
    <row r="5960" spans="1:8" x14ac:dyDescent="0.3">
      <c r="A5960" s="2">
        <v>832</v>
      </c>
      <c r="B5960" t="s">
        <v>542</v>
      </c>
      <c r="C5960" t="s">
        <v>3225</v>
      </c>
      <c r="D5960" s="2">
        <v>1</v>
      </c>
      <c r="E5960" s="11" t="s">
        <v>176</v>
      </c>
      <c r="F5960" t="s">
        <v>36</v>
      </c>
      <c r="G5960" s="2" t="s">
        <v>23</v>
      </c>
      <c r="H5960" s="1">
        <v>153.59400000000002</v>
      </c>
    </row>
    <row r="5961" spans="1:8" x14ac:dyDescent="0.3">
      <c r="A5961" s="2">
        <v>832</v>
      </c>
      <c r="B5961" t="s">
        <v>596</v>
      </c>
      <c r="C5961" t="s">
        <v>3220</v>
      </c>
      <c r="D5961" s="2">
        <v>1</v>
      </c>
      <c r="E5961" s="11" t="s">
        <v>595</v>
      </c>
      <c r="F5961" t="s">
        <v>28</v>
      </c>
      <c r="G5961" s="2" t="s">
        <v>23</v>
      </c>
      <c r="H5961" s="1">
        <v>58.19400000000001</v>
      </c>
    </row>
    <row r="5962" spans="1:8" x14ac:dyDescent="0.3">
      <c r="A5962" s="2">
        <v>832</v>
      </c>
      <c r="B5962" t="s">
        <v>173</v>
      </c>
      <c r="C5962" t="s">
        <v>1</v>
      </c>
      <c r="D5962" s="2">
        <v>1</v>
      </c>
      <c r="E5962" s="11" t="s">
        <v>172</v>
      </c>
      <c r="F5962" t="s">
        <v>28</v>
      </c>
      <c r="G5962" s="2" t="s">
        <v>4</v>
      </c>
      <c r="H5962" s="1">
        <v>47.594000000000001</v>
      </c>
    </row>
    <row r="5963" spans="1:8" x14ac:dyDescent="0.3">
      <c r="A5963" s="2">
        <v>832</v>
      </c>
      <c r="B5963" t="s">
        <v>594</v>
      </c>
      <c r="C5963" t="s">
        <v>0</v>
      </c>
      <c r="D5963" s="2">
        <v>1</v>
      </c>
      <c r="E5963" s="11" t="s">
        <v>593</v>
      </c>
      <c r="F5963" t="s">
        <v>28</v>
      </c>
      <c r="G5963" s="2" t="s">
        <v>4</v>
      </c>
      <c r="H5963" s="1">
        <v>180.09400000000002</v>
      </c>
    </row>
    <row r="5964" spans="1:8" x14ac:dyDescent="0.3">
      <c r="A5964" s="2">
        <v>832</v>
      </c>
      <c r="B5964" t="s">
        <v>592</v>
      </c>
      <c r="C5964" t="s">
        <v>3224</v>
      </c>
      <c r="D5964" s="2">
        <v>1</v>
      </c>
      <c r="E5964" s="11" t="s">
        <v>494</v>
      </c>
      <c r="F5964" t="s">
        <v>28</v>
      </c>
      <c r="G5964" s="2" t="s">
        <v>31</v>
      </c>
      <c r="H5964" s="1">
        <v>47.594000000000001</v>
      </c>
    </row>
    <row r="5965" spans="1:8" x14ac:dyDescent="0.3">
      <c r="A5965" s="2">
        <v>832</v>
      </c>
      <c r="B5965" t="s">
        <v>495</v>
      </c>
      <c r="C5965" t="s">
        <v>3224</v>
      </c>
      <c r="D5965" s="2">
        <v>1</v>
      </c>
      <c r="E5965" s="11" t="s">
        <v>494</v>
      </c>
      <c r="F5965" t="s">
        <v>28</v>
      </c>
      <c r="G5965" s="2" t="s">
        <v>23</v>
      </c>
      <c r="H5965" s="1">
        <v>47.594000000000001</v>
      </c>
    </row>
    <row r="5966" spans="1:8" x14ac:dyDescent="0.3">
      <c r="A5966" s="2">
        <v>833</v>
      </c>
      <c r="B5966" t="s">
        <v>262</v>
      </c>
      <c r="C5966" t="s">
        <v>0</v>
      </c>
      <c r="D5966" s="2">
        <v>1</v>
      </c>
      <c r="E5966" s="11" t="s">
        <v>261</v>
      </c>
      <c r="F5966" t="s">
        <v>65</v>
      </c>
      <c r="G5966" s="2" t="s">
        <v>4</v>
      </c>
      <c r="H5966" s="1">
        <v>173.79400000000001</v>
      </c>
    </row>
    <row r="5967" spans="1:8" x14ac:dyDescent="0.3">
      <c r="A5967" s="2">
        <v>833</v>
      </c>
      <c r="B5967" t="s">
        <v>591</v>
      </c>
      <c r="C5967" t="s">
        <v>0</v>
      </c>
      <c r="D5967" s="2">
        <v>1</v>
      </c>
      <c r="E5967" s="11" t="s">
        <v>291</v>
      </c>
      <c r="F5967" t="s">
        <v>398</v>
      </c>
      <c r="G5967" s="2" t="s">
        <v>4</v>
      </c>
      <c r="H5967" s="1">
        <v>164.19400000000002</v>
      </c>
    </row>
    <row r="5968" spans="1:8" x14ac:dyDescent="0.3">
      <c r="A5968" s="2">
        <v>833</v>
      </c>
      <c r="B5968" t="s">
        <v>292</v>
      </c>
      <c r="C5968" t="s">
        <v>0</v>
      </c>
      <c r="D5968" s="2">
        <v>2</v>
      </c>
      <c r="E5968" s="11" t="s">
        <v>291</v>
      </c>
      <c r="F5968" t="s">
        <v>81</v>
      </c>
      <c r="G5968" s="2" t="s">
        <v>31</v>
      </c>
      <c r="H5968" s="1">
        <v>164.19400000000002</v>
      </c>
    </row>
    <row r="5969" spans="1:8" x14ac:dyDescent="0.3">
      <c r="A5969" s="2">
        <v>833</v>
      </c>
      <c r="B5969" t="s">
        <v>366</v>
      </c>
      <c r="C5969" t="s">
        <v>0</v>
      </c>
      <c r="D5969" s="2">
        <v>1</v>
      </c>
      <c r="E5969" s="11" t="s">
        <v>364</v>
      </c>
      <c r="F5969" t="s">
        <v>114</v>
      </c>
      <c r="G5969" s="2" t="s">
        <v>31</v>
      </c>
      <c r="H5969" s="1">
        <v>180.09400000000002</v>
      </c>
    </row>
    <row r="5970" spans="1:8" x14ac:dyDescent="0.3">
      <c r="A5970" s="2">
        <v>833</v>
      </c>
      <c r="B5970" t="s">
        <v>221</v>
      </c>
      <c r="C5970" t="s">
        <v>3225</v>
      </c>
      <c r="D5970" s="2">
        <v>1</v>
      </c>
      <c r="E5970" s="11" t="s">
        <v>220</v>
      </c>
      <c r="F5970" t="s">
        <v>47</v>
      </c>
      <c r="G5970" s="2" t="s">
        <v>31</v>
      </c>
      <c r="H5970" s="1">
        <v>195.99400000000003</v>
      </c>
    </row>
    <row r="5971" spans="1:8" x14ac:dyDescent="0.3">
      <c r="A5971" s="2">
        <v>833</v>
      </c>
      <c r="B5971" t="s">
        <v>590</v>
      </c>
      <c r="C5971" t="s">
        <v>0</v>
      </c>
      <c r="D5971" s="2">
        <v>1</v>
      </c>
      <c r="E5971" s="11" t="s">
        <v>464</v>
      </c>
      <c r="F5971" t="s">
        <v>39</v>
      </c>
      <c r="G5971" s="2" t="s">
        <v>31</v>
      </c>
      <c r="H5971" s="1">
        <v>206.59400000000002</v>
      </c>
    </row>
    <row r="5972" spans="1:8" x14ac:dyDescent="0.3">
      <c r="A5972" s="2">
        <v>833</v>
      </c>
      <c r="B5972" t="s">
        <v>153</v>
      </c>
      <c r="C5972" t="s">
        <v>2</v>
      </c>
      <c r="D5972" s="2">
        <v>1</v>
      </c>
      <c r="E5972" s="11" t="s">
        <v>144</v>
      </c>
      <c r="F5972" t="s">
        <v>39</v>
      </c>
      <c r="G5972" s="2" t="s">
        <v>31</v>
      </c>
      <c r="H5972" s="1">
        <v>142.994</v>
      </c>
    </row>
    <row r="5973" spans="1:8" x14ac:dyDescent="0.3">
      <c r="A5973" s="2">
        <v>833</v>
      </c>
      <c r="B5973" t="s">
        <v>463</v>
      </c>
      <c r="C5973" t="s">
        <v>3224</v>
      </c>
      <c r="D5973" s="2">
        <v>1</v>
      </c>
      <c r="E5973" s="11" t="s">
        <v>462</v>
      </c>
      <c r="F5973" t="s">
        <v>39</v>
      </c>
      <c r="G5973" s="2" t="s">
        <v>31</v>
      </c>
      <c r="H5973" s="1">
        <v>79.394000000000005</v>
      </c>
    </row>
    <row r="5974" spans="1:8" x14ac:dyDescent="0.3">
      <c r="A5974" s="2">
        <v>833</v>
      </c>
      <c r="B5974" t="s">
        <v>487</v>
      </c>
      <c r="C5974" t="s">
        <v>0</v>
      </c>
      <c r="D5974" s="2">
        <v>1</v>
      </c>
      <c r="E5974" s="11" t="s">
        <v>329</v>
      </c>
      <c r="F5974" t="s">
        <v>39</v>
      </c>
      <c r="G5974" s="2" t="s">
        <v>31</v>
      </c>
      <c r="H5974" s="1">
        <v>148.29400000000001</v>
      </c>
    </row>
    <row r="5975" spans="1:8" x14ac:dyDescent="0.3">
      <c r="A5975" s="2">
        <v>833</v>
      </c>
      <c r="B5975" t="s">
        <v>445</v>
      </c>
      <c r="C5975" t="s">
        <v>3225</v>
      </c>
      <c r="D5975" s="2">
        <v>1</v>
      </c>
      <c r="E5975" s="11" t="s">
        <v>444</v>
      </c>
      <c r="F5975" t="s">
        <v>36</v>
      </c>
      <c r="G5975" s="2" t="s">
        <v>31</v>
      </c>
      <c r="H5975" s="1">
        <v>180.09400000000002</v>
      </c>
    </row>
    <row r="5976" spans="1:8" x14ac:dyDescent="0.3">
      <c r="A5976" s="2">
        <v>833</v>
      </c>
      <c r="B5976" t="s">
        <v>459</v>
      </c>
      <c r="C5976" t="s">
        <v>0</v>
      </c>
      <c r="D5976" s="2">
        <v>1</v>
      </c>
      <c r="E5976" s="11" t="s">
        <v>261</v>
      </c>
      <c r="F5976" t="s">
        <v>28</v>
      </c>
      <c r="G5976" s="2" t="s">
        <v>31</v>
      </c>
      <c r="H5976" s="1">
        <v>173.79400000000001</v>
      </c>
    </row>
    <row r="5977" spans="1:8" x14ac:dyDescent="0.3">
      <c r="A5977" s="2">
        <v>833</v>
      </c>
      <c r="B5977" t="s">
        <v>589</v>
      </c>
      <c r="C5977" t="s">
        <v>0</v>
      </c>
      <c r="D5977" s="2">
        <v>1</v>
      </c>
      <c r="E5977" s="11" t="s">
        <v>329</v>
      </c>
      <c r="F5977" t="s">
        <v>28</v>
      </c>
      <c r="G5977" s="2" t="s">
        <v>4</v>
      </c>
      <c r="H5977" s="1">
        <v>148.29400000000001</v>
      </c>
    </row>
    <row r="5978" spans="1:8" x14ac:dyDescent="0.3">
      <c r="A5978" s="2">
        <v>833</v>
      </c>
      <c r="B5978" t="s">
        <v>455</v>
      </c>
      <c r="C5978" t="s">
        <v>0</v>
      </c>
      <c r="D5978" s="2">
        <v>1</v>
      </c>
      <c r="E5978" s="11" t="s">
        <v>364</v>
      </c>
      <c r="F5978" t="s">
        <v>28</v>
      </c>
      <c r="G5978" s="2" t="s">
        <v>4</v>
      </c>
      <c r="H5978" s="1">
        <v>180.09400000000002</v>
      </c>
    </row>
    <row r="5979" spans="1:8" x14ac:dyDescent="0.3">
      <c r="A5979" s="2">
        <v>834</v>
      </c>
      <c r="B5979" t="s">
        <v>545</v>
      </c>
      <c r="C5979" t="s">
        <v>3225</v>
      </c>
      <c r="D5979" s="2">
        <v>1</v>
      </c>
      <c r="E5979" s="11" t="s">
        <v>220</v>
      </c>
      <c r="F5979" t="s">
        <v>39</v>
      </c>
      <c r="G5979" s="2" t="s">
        <v>31</v>
      </c>
      <c r="H5979" s="1">
        <v>195.99400000000003</v>
      </c>
    </row>
    <row r="5980" spans="1:8" x14ac:dyDescent="0.3">
      <c r="A5980" s="2">
        <v>834</v>
      </c>
      <c r="B5980" t="s">
        <v>46</v>
      </c>
      <c r="C5980" t="s">
        <v>2</v>
      </c>
      <c r="D5980" s="2">
        <v>1</v>
      </c>
      <c r="E5980" s="11" t="s">
        <v>45</v>
      </c>
      <c r="F5980" t="s">
        <v>39</v>
      </c>
      <c r="G5980" s="2" t="s">
        <v>4</v>
      </c>
      <c r="H5980" s="1">
        <v>111.19400000000002</v>
      </c>
    </row>
    <row r="5981" spans="1:8" x14ac:dyDescent="0.3">
      <c r="A5981" s="2">
        <v>834</v>
      </c>
      <c r="B5981" t="s">
        <v>381</v>
      </c>
      <c r="C5981" t="s">
        <v>3220</v>
      </c>
      <c r="D5981" s="2">
        <v>1</v>
      </c>
      <c r="E5981" s="11" t="s">
        <v>154</v>
      </c>
      <c r="F5981" t="s">
        <v>39</v>
      </c>
      <c r="G5981" s="2" t="s">
        <v>23</v>
      </c>
      <c r="H5981" s="1">
        <v>84.694000000000017</v>
      </c>
    </row>
    <row r="5982" spans="1:8" x14ac:dyDescent="0.3">
      <c r="A5982" s="2">
        <v>834</v>
      </c>
      <c r="B5982" t="s">
        <v>544</v>
      </c>
      <c r="C5982" t="s">
        <v>3224</v>
      </c>
      <c r="D5982" s="2">
        <v>1</v>
      </c>
      <c r="E5982" s="11" t="s">
        <v>96</v>
      </c>
      <c r="F5982" t="s">
        <v>39</v>
      </c>
      <c r="G5982" s="2" t="s">
        <v>4</v>
      </c>
      <c r="H5982" s="1">
        <v>68.794000000000011</v>
      </c>
    </row>
    <row r="5983" spans="1:8" x14ac:dyDescent="0.3">
      <c r="A5983" s="2">
        <v>834</v>
      </c>
      <c r="B5983" t="s">
        <v>543</v>
      </c>
      <c r="C5983" t="s">
        <v>3225</v>
      </c>
      <c r="D5983" s="2">
        <v>1</v>
      </c>
      <c r="E5983" s="11" t="s">
        <v>178</v>
      </c>
      <c r="F5983" t="s">
        <v>39</v>
      </c>
      <c r="G5983" s="2" t="s">
        <v>31</v>
      </c>
      <c r="H5983" s="1">
        <v>158.89400000000001</v>
      </c>
    </row>
    <row r="5984" spans="1:8" x14ac:dyDescent="0.3">
      <c r="A5984" s="2">
        <v>834</v>
      </c>
      <c r="B5984" t="s">
        <v>571</v>
      </c>
      <c r="C5984" t="s">
        <v>3225</v>
      </c>
      <c r="D5984" s="2">
        <v>1</v>
      </c>
      <c r="E5984" s="11" t="s">
        <v>178</v>
      </c>
      <c r="F5984" t="s">
        <v>39</v>
      </c>
      <c r="G5984" s="2" t="s">
        <v>23</v>
      </c>
      <c r="H5984" s="1">
        <v>158.89400000000001</v>
      </c>
    </row>
    <row r="5985" spans="1:8" x14ac:dyDescent="0.3">
      <c r="A5985" s="2">
        <v>834</v>
      </c>
      <c r="B5985" t="s">
        <v>443</v>
      </c>
      <c r="C5985" t="s">
        <v>1</v>
      </c>
      <c r="D5985" s="2">
        <v>1</v>
      </c>
      <c r="E5985" s="11" t="s">
        <v>172</v>
      </c>
      <c r="F5985" t="s">
        <v>36</v>
      </c>
      <c r="G5985" s="2" t="s">
        <v>31</v>
      </c>
      <c r="H5985" s="1">
        <v>47.594000000000001</v>
      </c>
    </row>
    <row r="5986" spans="1:8" x14ac:dyDescent="0.3">
      <c r="A5986" s="2">
        <v>834</v>
      </c>
      <c r="B5986" t="s">
        <v>188</v>
      </c>
      <c r="C5986" t="s">
        <v>1</v>
      </c>
      <c r="D5986" s="2">
        <v>1</v>
      </c>
      <c r="E5986" s="11" t="s">
        <v>172</v>
      </c>
      <c r="F5986" t="s">
        <v>36</v>
      </c>
      <c r="G5986" s="2" t="s">
        <v>23</v>
      </c>
      <c r="H5986" s="1">
        <v>47.594000000000001</v>
      </c>
    </row>
    <row r="5987" spans="1:8" x14ac:dyDescent="0.3">
      <c r="A5987" s="2">
        <v>834</v>
      </c>
      <c r="B5987" t="s">
        <v>542</v>
      </c>
      <c r="C5987" t="s">
        <v>3225</v>
      </c>
      <c r="D5987" s="2">
        <v>1</v>
      </c>
      <c r="E5987" s="11" t="s">
        <v>176</v>
      </c>
      <c r="F5987" t="s">
        <v>36</v>
      </c>
      <c r="G5987" s="2" t="s">
        <v>23</v>
      </c>
      <c r="H5987" s="1">
        <v>153.59400000000002</v>
      </c>
    </row>
    <row r="5988" spans="1:8" x14ac:dyDescent="0.3">
      <c r="A5988" s="2">
        <v>834</v>
      </c>
      <c r="B5988" t="s">
        <v>569</v>
      </c>
      <c r="C5988" t="s">
        <v>1</v>
      </c>
      <c r="D5988" s="2">
        <v>1</v>
      </c>
      <c r="E5988" s="11" t="s">
        <v>172</v>
      </c>
      <c r="F5988" t="s">
        <v>28</v>
      </c>
      <c r="G5988" s="2" t="s">
        <v>31</v>
      </c>
      <c r="H5988" s="1">
        <v>47.594000000000001</v>
      </c>
    </row>
    <row r="5989" spans="1:8" x14ac:dyDescent="0.3">
      <c r="A5989" s="2">
        <v>834</v>
      </c>
      <c r="B5989" t="s">
        <v>506</v>
      </c>
      <c r="C5989" t="s">
        <v>1</v>
      </c>
      <c r="D5989" s="2">
        <v>1</v>
      </c>
      <c r="E5989" s="11" t="s">
        <v>172</v>
      </c>
      <c r="F5989" t="s">
        <v>28</v>
      </c>
      <c r="G5989" s="2" t="s">
        <v>23</v>
      </c>
      <c r="H5989" s="1">
        <v>47.594000000000001</v>
      </c>
    </row>
    <row r="5990" spans="1:8" x14ac:dyDescent="0.3">
      <c r="A5990" s="2">
        <v>834</v>
      </c>
      <c r="B5990" t="s">
        <v>541</v>
      </c>
      <c r="C5990" t="s">
        <v>3225</v>
      </c>
      <c r="D5990" s="2">
        <v>1</v>
      </c>
      <c r="E5990" s="11" t="s">
        <v>178</v>
      </c>
      <c r="F5990" t="s">
        <v>28</v>
      </c>
      <c r="G5990" s="2" t="s">
        <v>4</v>
      </c>
      <c r="H5990" s="1">
        <v>158.89400000000001</v>
      </c>
    </row>
    <row r="5991" spans="1:8" x14ac:dyDescent="0.3">
      <c r="A5991" s="2">
        <v>835</v>
      </c>
      <c r="B5991" t="s">
        <v>588</v>
      </c>
      <c r="C5991" t="s">
        <v>3220</v>
      </c>
      <c r="D5991" s="2">
        <v>1</v>
      </c>
      <c r="E5991" s="11" t="s">
        <v>293</v>
      </c>
      <c r="F5991" t="s">
        <v>65</v>
      </c>
      <c r="G5991" s="2" t="s">
        <v>31</v>
      </c>
      <c r="H5991" s="1">
        <v>21.094000000000001</v>
      </c>
    </row>
    <row r="5992" spans="1:8" x14ac:dyDescent="0.3">
      <c r="A5992" s="2">
        <v>835</v>
      </c>
      <c r="B5992" t="s">
        <v>587</v>
      </c>
      <c r="C5992" t="s">
        <v>3219</v>
      </c>
      <c r="D5992" s="2">
        <v>1</v>
      </c>
      <c r="E5992" s="11" t="s">
        <v>585</v>
      </c>
      <c r="F5992" t="s">
        <v>65</v>
      </c>
      <c r="G5992" s="2" t="s">
        <v>31</v>
      </c>
      <c r="H5992" s="1">
        <v>116.49400000000001</v>
      </c>
    </row>
    <row r="5993" spans="1:8" x14ac:dyDescent="0.3">
      <c r="A5993" s="2">
        <v>835</v>
      </c>
      <c r="B5993" t="s">
        <v>294</v>
      </c>
      <c r="C5993" t="s">
        <v>3220</v>
      </c>
      <c r="D5993" s="2">
        <v>1</v>
      </c>
      <c r="E5993" s="11" t="s">
        <v>293</v>
      </c>
      <c r="F5993" t="s">
        <v>62</v>
      </c>
      <c r="G5993" s="2" t="s">
        <v>23</v>
      </c>
      <c r="H5993" s="1">
        <v>21.094000000000001</v>
      </c>
    </row>
    <row r="5994" spans="1:8" x14ac:dyDescent="0.3">
      <c r="A5994" s="2">
        <v>835</v>
      </c>
      <c r="B5994" t="s">
        <v>586</v>
      </c>
      <c r="C5994" t="s">
        <v>3219</v>
      </c>
      <c r="D5994" s="2">
        <v>1</v>
      </c>
      <c r="E5994" s="11" t="s">
        <v>585</v>
      </c>
      <c r="F5994" t="s">
        <v>62</v>
      </c>
      <c r="G5994" s="2" t="s">
        <v>23</v>
      </c>
      <c r="H5994" s="1">
        <v>116.49400000000001</v>
      </c>
    </row>
    <row r="5995" spans="1:8" x14ac:dyDescent="0.3">
      <c r="A5995" s="2">
        <v>835</v>
      </c>
      <c r="B5995" t="s">
        <v>584</v>
      </c>
      <c r="C5995" t="s">
        <v>3219</v>
      </c>
      <c r="D5995" s="2">
        <v>1</v>
      </c>
      <c r="E5995" s="11" t="s">
        <v>66</v>
      </c>
      <c r="F5995" t="s">
        <v>47</v>
      </c>
      <c r="G5995" s="2" t="s">
        <v>31</v>
      </c>
      <c r="H5995" s="1">
        <v>180.09400000000002</v>
      </c>
    </row>
    <row r="5996" spans="1:8" x14ac:dyDescent="0.3">
      <c r="A5996" s="2">
        <v>835</v>
      </c>
      <c r="B5996" t="s">
        <v>300</v>
      </c>
      <c r="C5996" t="s">
        <v>3219</v>
      </c>
      <c r="D5996" s="2">
        <v>2</v>
      </c>
      <c r="E5996" s="11" t="s">
        <v>66</v>
      </c>
      <c r="F5996" t="s">
        <v>47</v>
      </c>
      <c r="G5996" s="2" t="s">
        <v>23</v>
      </c>
      <c r="H5996" s="1">
        <v>180.09400000000002</v>
      </c>
    </row>
    <row r="5997" spans="1:8" x14ac:dyDescent="0.3">
      <c r="A5997" s="2">
        <v>835</v>
      </c>
      <c r="B5997" t="s">
        <v>583</v>
      </c>
      <c r="C5997" t="s">
        <v>3225</v>
      </c>
      <c r="D5997" s="2">
        <v>1</v>
      </c>
      <c r="E5997" s="11" t="s">
        <v>220</v>
      </c>
      <c r="F5997" t="s">
        <v>47</v>
      </c>
      <c r="G5997" s="2" t="s">
        <v>4</v>
      </c>
      <c r="H5997" s="1">
        <v>195.99400000000003</v>
      </c>
    </row>
    <row r="5998" spans="1:8" x14ac:dyDescent="0.3">
      <c r="A5998" s="2">
        <v>835</v>
      </c>
      <c r="B5998" t="s">
        <v>221</v>
      </c>
      <c r="C5998" t="s">
        <v>3225</v>
      </c>
      <c r="D5998" s="2">
        <v>1</v>
      </c>
      <c r="E5998" s="11" t="s">
        <v>220</v>
      </c>
      <c r="F5998" t="s">
        <v>47</v>
      </c>
      <c r="G5998" s="2" t="s">
        <v>31</v>
      </c>
      <c r="H5998" s="1">
        <v>195.99400000000003</v>
      </c>
    </row>
    <row r="5999" spans="1:8" x14ac:dyDescent="0.3">
      <c r="A5999" s="2">
        <v>835</v>
      </c>
      <c r="B5999" t="s">
        <v>512</v>
      </c>
      <c r="C5999" t="s">
        <v>3225</v>
      </c>
      <c r="D5999" s="2">
        <v>1</v>
      </c>
      <c r="E5999" s="11" t="s">
        <v>220</v>
      </c>
      <c r="F5999" t="s">
        <v>47</v>
      </c>
      <c r="G5999" s="2" t="s">
        <v>23</v>
      </c>
      <c r="H5999" s="1">
        <v>195.99400000000003</v>
      </c>
    </row>
    <row r="6000" spans="1:8" x14ac:dyDescent="0.3">
      <c r="A6000" s="2">
        <v>835</v>
      </c>
      <c r="B6000" t="s">
        <v>582</v>
      </c>
      <c r="C6000" t="s">
        <v>3225</v>
      </c>
      <c r="D6000" s="2">
        <v>2</v>
      </c>
      <c r="E6000" s="11" t="s">
        <v>220</v>
      </c>
      <c r="F6000" t="s">
        <v>39</v>
      </c>
      <c r="G6000" s="2" t="s">
        <v>23</v>
      </c>
      <c r="H6000" s="1">
        <v>195.99400000000003</v>
      </c>
    </row>
    <row r="6001" spans="1:8" x14ac:dyDescent="0.3">
      <c r="A6001" s="2">
        <v>836</v>
      </c>
      <c r="B6001" t="s">
        <v>581</v>
      </c>
      <c r="C6001" t="s">
        <v>1</v>
      </c>
      <c r="D6001" s="2">
        <v>1</v>
      </c>
      <c r="E6001" s="11" t="s">
        <v>29</v>
      </c>
      <c r="F6001" t="s">
        <v>114</v>
      </c>
      <c r="G6001" s="2" t="s">
        <v>4</v>
      </c>
      <c r="H6001" s="1">
        <v>74.094000000000008</v>
      </c>
    </row>
    <row r="6002" spans="1:8" x14ac:dyDescent="0.3">
      <c r="A6002" s="2">
        <v>836</v>
      </c>
      <c r="B6002" t="s">
        <v>388</v>
      </c>
      <c r="C6002" t="s">
        <v>1</v>
      </c>
      <c r="D6002" s="2">
        <v>1</v>
      </c>
      <c r="E6002" s="11" t="s">
        <v>29</v>
      </c>
      <c r="F6002" t="s">
        <v>114</v>
      </c>
      <c r="G6002" s="2" t="s">
        <v>31</v>
      </c>
      <c r="H6002" s="1">
        <v>74.094000000000008</v>
      </c>
    </row>
    <row r="6003" spans="1:8" x14ac:dyDescent="0.3">
      <c r="A6003" s="2">
        <v>836</v>
      </c>
      <c r="B6003" t="s">
        <v>526</v>
      </c>
      <c r="C6003" t="s">
        <v>3219</v>
      </c>
      <c r="D6003" s="2">
        <v>1</v>
      </c>
      <c r="E6003" s="11" t="s">
        <v>209</v>
      </c>
      <c r="F6003" t="s">
        <v>114</v>
      </c>
      <c r="G6003" s="2" t="s">
        <v>4</v>
      </c>
      <c r="H6003" s="1">
        <v>164.19400000000002</v>
      </c>
    </row>
    <row r="6004" spans="1:8" x14ac:dyDescent="0.3">
      <c r="A6004" s="2">
        <v>836</v>
      </c>
      <c r="B6004" t="s">
        <v>210</v>
      </c>
      <c r="C6004" t="s">
        <v>3219</v>
      </c>
      <c r="D6004" s="2">
        <v>1</v>
      </c>
      <c r="E6004" s="11" t="s">
        <v>209</v>
      </c>
      <c r="F6004" t="s">
        <v>47</v>
      </c>
      <c r="G6004" s="2" t="s">
        <v>31</v>
      </c>
      <c r="H6004" s="1">
        <v>164.19400000000002</v>
      </c>
    </row>
    <row r="6005" spans="1:8" x14ac:dyDescent="0.3">
      <c r="A6005" s="2">
        <v>836</v>
      </c>
      <c r="B6005" t="s">
        <v>580</v>
      </c>
      <c r="C6005" t="s">
        <v>3219</v>
      </c>
      <c r="D6005" s="2">
        <v>1</v>
      </c>
      <c r="E6005" s="11" t="s">
        <v>209</v>
      </c>
      <c r="F6005" t="s">
        <v>47</v>
      </c>
      <c r="G6005" s="2" t="s">
        <v>23</v>
      </c>
      <c r="H6005" s="1">
        <v>164.19400000000002</v>
      </c>
    </row>
    <row r="6006" spans="1:8" x14ac:dyDescent="0.3">
      <c r="A6006" s="2">
        <v>836</v>
      </c>
      <c r="B6006" t="s">
        <v>579</v>
      </c>
      <c r="C6006" t="s">
        <v>3224</v>
      </c>
      <c r="D6006" s="2">
        <v>1</v>
      </c>
      <c r="E6006" s="11" t="s">
        <v>462</v>
      </c>
      <c r="F6006" t="s">
        <v>39</v>
      </c>
      <c r="G6006" s="2" t="s">
        <v>23</v>
      </c>
      <c r="H6006" s="1">
        <v>79.394000000000005</v>
      </c>
    </row>
    <row r="6007" spans="1:8" x14ac:dyDescent="0.3">
      <c r="A6007" s="2">
        <v>836</v>
      </c>
      <c r="B6007" t="s">
        <v>524</v>
      </c>
      <c r="C6007" t="s">
        <v>3225</v>
      </c>
      <c r="D6007" s="2">
        <v>1</v>
      </c>
      <c r="E6007" s="11" t="s">
        <v>178</v>
      </c>
      <c r="F6007" t="s">
        <v>39</v>
      </c>
      <c r="G6007" s="2" t="s">
        <v>4</v>
      </c>
      <c r="H6007" s="1">
        <v>158.89400000000001</v>
      </c>
    </row>
    <row r="6008" spans="1:8" x14ac:dyDescent="0.3">
      <c r="A6008" s="2">
        <v>836</v>
      </c>
      <c r="B6008" t="s">
        <v>543</v>
      </c>
      <c r="C6008" t="s">
        <v>3225</v>
      </c>
      <c r="D6008" s="2">
        <v>1</v>
      </c>
      <c r="E6008" s="11" t="s">
        <v>178</v>
      </c>
      <c r="F6008" t="s">
        <v>39</v>
      </c>
      <c r="G6008" s="2" t="s">
        <v>31</v>
      </c>
      <c r="H6008" s="1">
        <v>158.89400000000001</v>
      </c>
    </row>
    <row r="6009" spans="1:8" x14ac:dyDescent="0.3">
      <c r="A6009" s="2">
        <v>836</v>
      </c>
      <c r="B6009" t="s">
        <v>571</v>
      </c>
      <c r="C6009" t="s">
        <v>3225</v>
      </c>
      <c r="D6009" s="2">
        <v>1</v>
      </c>
      <c r="E6009" s="11" t="s">
        <v>178</v>
      </c>
      <c r="F6009" t="s">
        <v>39</v>
      </c>
      <c r="G6009" s="2" t="s">
        <v>23</v>
      </c>
      <c r="H6009" s="1">
        <v>158.89400000000001</v>
      </c>
    </row>
    <row r="6010" spans="1:8" x14ac:dyDescent="0.3">
      <c r="A6010" s="2">
        <v>836</v>
      </c>
      <c r="B6010" t="s">
        <v>578</v>
      </c>
      <c r="C6010" t="s">
        <v>3233</v>
      </c>
      <c r="D6010" s="2">
        <v>1</v>
      </c>
      <c r="E6010" s="11" t="s">
        <v>576</v>
      </c>
      <c r="F6010" t="s">
        <v>575</v>
      </c>
      <c r="G6010" s="2" t="s">
        <v>31</v>
      </c>
      <c r="H6010" s="1">
        <v>127.09400000000001</v>
      </c>
    </row>
    <row r="6011" spans="1:8" x14ac:dyDescent="0.3">
      <c r="A6011" s="2">
        <v>836</v>
      </c>
      <c r="B6011" t="s">
        <v>577</v>
      </c>
      <c r="C6011" t="s">
        <v>3233</v>
      </c>
      <c r="D6011" s="2">
        <v>1</v>
      </c>
      <c r="E6011" s="11" t="s">
        <v>576</v>
      </c>
      <c r="F6011" t="s">
        <v>575</v>
      </c>
      <c r="G6011" s="2" t="s">
        <v>23</v>
      </c>
      <c r="H6011" s="1">
        <v>127.09400000000001</v>
      </c>
    </row>
    <row r="6012" spans="1:8" x14ac:dyDescent="0.3">
      <c r="A6012" s="2">
        <v>836</v>
      </c>
      <c r="B6012" t="s">
        <v>568</v>
      </c>
      <c r="C6012" t="s">
        <v>3225</v>
      </c>
      <c r="D6012" s="2">
        <v>1</v>
      </c>
      <c r="E6012" s="11" t="s">
        <v>178</v>
      </c>
      <c r="F6012" t="s">
        <v>28</v>
      </c>
      <c r="G6012" s="2" t="s">
        <v>23</v>
      </c>
      <c r="H6012" s="1">
        <v>158.89400000000001</v>
      </c>
    </row>
    <row r="6013" spans="1:8" x14ac:dyDescent="0.3">
      <c r="A6013" s="2">
        <v>837</v>
      </c>
      <c r="B6013" t="s">
        <v>574</v>
      </c>
      <c r="C6013" t="s">
        <v>3219</v>
      </c>
      <c r="D6013" s="2">
        <v>1</v>
      </c>
      <c r="E6013" s="11" t="s">
        <v>534</v>
      </c>
      <c r="F6013" t="s">
        <v>126</v>
      </c>
      <c r="G6013" s="2" t="s">
        <v>23</v>
      </c>
      <c r="H6013" s="1">
        <v>89.994000000000014</v>
      </c>
    </row>
    <row r="6014" spans="1:8" x14ac:dyDescent="0.3">
      <c r="A6014" s="2">
        <v>837</v>
      </c>
      <c r="B6014" t="s">
        <v>85</v>
      </c>
      <c r="C6014" t="s">
        <v>0</v>
      </c>
      <c r="D6014" s="2">
        <v>1</v>
      </c>
      <c r="E6014" s="11" t="s">
        <v>82</v>
      </c>
      <c r="F6014" t="s">
        <v>81</v>
      </c>
      <c r="G6014" s="2" t="s">
        <v>4</v>
      </c>
      <c r="H6014" s="1">
        <v>148.29400000000001</v>
      </c>
    </row>
    <row r="6015" spans="1:8" x14ac:dyDescent="0.3">
      <c r="A6015" s="2">
        <v>837</v>
      </c>
      <c r="B6015" t="s">
        <v>573</v>
      </c>
      <c r="C6015" t="s">
        <v>0</v>
      </c>
      <c r="D6015" s="2">
        <v>1</v>
      </c>
      <c r="E6015" s="11" t="s">
        <v>291</v>
      </c>
      <c r="F6015" t="s">
        <v>81</v>
      </c>
      <c r="G6015" s="2" t="s">
        <v>23</v>
      </c>
      <c r="H6015" s="1">
        <v>164.19400000000002</v>
      </c>
    </row>
    <row r="6016" spans="1:8" x14ac:dyDescent="0.3">
      <c r="A6016" s="2">
        <v>837</v>
      </c>
      <c r="B6016" t="s">
        <v>382</v>
      </c>
      <c r="C6016" t="s">
        <v>3224</v>
      </c>
      <c r="D6016" s="2">
        <v>1</v>
      </c>
      <c r="E6016" s="11" t="s">
        <v>34</v>
      </c>
      <c r="F6016" t="s">
        <v>47</v>
      </c>
      <c r="G6016" s="2" t="s">
        <v>31</v>
      </c>
      <c r="H6016" s="1">
        <v>100.59400000000001</v>
      </c>
    </row>
    <row r="6017" spans="1:8" x14ac:dyDescent="0.3">
      <c r="A6017" s="2">
        <v>837</v>
      </c>
      <c r="B6017" t="s">
        <v>572</v>
      </c>
      <c r="C6017" t="s">
        <v>3217</v>
      </c>
      <c r="D6017" s="2">
        <v>1</v>
      </c>
      <c r="E6017" s="11" t="s">
        <v>134</v>
      </c>
      <c r="F6017" t="s">
        <v>47</v>
      </c>
      <c r="G6017" s="2" t="s">
        <v>4</v>
      </c>
      <c r="H6017" s="1">
        <v>47.594000000000001</v>
      </c>
    </row>
    <row r="6018" spans="1:8" x14ac:dyDescent="0.3">
      <c r="A6018" s="2">
        <v>837</v>
      </c>
      <c r="B6018" t="s">
        <v>524</v>
      </c>
      <c r="C6018" t="s">
        <v>3225</v>
      </c>
      <c r="D6018" s="2">
        <v>2</v>
      </c>
      <c r="E6018" s="11" t="s">
        <v>178</v>
      </c>
      <c r="F6018" t="s">
        <v>39</v>
      </c>
      <c r="G6018" s="2" t="s">
        <v>4</v>
      </c>
      <c r="H6018" s="1">
        <v>158.89400000000001</v>
      </c>
    </row>
    <row r="6019" spans="1:8" x14ac:dyDescent="0.3">
      <c r="A6019" s="2">
        <v>837</v>
      </c>
      <c r="B6019" t="s">
        <v>571</v>
      </c>
      <c r="C6019" t="s">
        <v>3225</v>
      </c>
      <c r="D6019" s="2">
        <v>1</v>
      </c>
      <c r="E6019" s="11" t="s">
        <v>178</v>
      </c>
      <c r="F6019" t="s">
        <v>39</v>
      </c>
      <c r="G6019" s="2" t="s">
        <v>23</v>
      </c>
      <c r="H6019" s="1">
        <v>158.89400000000001</v>
      </c>
    </row>
    <row r="6020" spans="1:8" x14ac:dyDescent="0.3">
      <c r="A6020" s="2">
        <v>837</v>
      </c>
      <c r="B6020" t="s">
        <v>497</v>
      </c>
      <c r="C6020" t="s">
        <v>1</v>
      </c>
      <c r="D6020" s="2">
        <v>1</v>
      </c>
      <c r="E6020" s="11" t="s">
        <v>485</v>
      </c>
      <c r="F6020" t="s">
        <v>36</v>
      </c>
      <c r="G6020" s="2" t="s">
        <v>4</v>
      </c>
      <c r="H6020" s="1">
        <v>100.59400000000001</v>
      </c>
    </row>
    <row r="6021" spans="1:8" x14ac:dyDescent="0.3">
      <c r="A6021" s="2">
        <v>837</v>
      </c>
      <c r="B6021" t="s">
        <v>570</v>
      </c>
      <c r="C6021" t="s">
        <v>3224</v>
      </c>
      <c r="D6021" s="2">
        <v>1</v>
      </c>
      <c r="E6021" s="11" t="s">
        <v>34</v>
      </c>
      <c r="F6021" t="s">
        <v>28</v>
      </c>
      <c r="G6021" s="2" t="s">
        <v>31</v>
      </c>
      <c r="H6021" s="1">
        <v>100.59400000000001</v>
      </c>
    </row>
    <row r="6022" spans="1:8" x14ac:dyDescent="0.3">
      <c r="A6022" s="2">
        <v>837</v>
      </c>
      <c r="B6022" t="s">
        <v>569</v>
      </c>
      <c r="C6022" t="s">
        <v>1</v>
      </c>
      <c r="D6022" s="2">
        <v>1</v>
      </c>
      <c r="E6022" s="11" t="s">
        <v>172</v>
      </c>
      <c r="F6022" t="s">
        <v>28</v>
      </c>
      <c r="G6022" s="2" t="s">
        <v>31</v>
      </c>
      <c r="H6022" s="1">
        <v>47.594000000000001</v>
      </c>
    </row>
    <row r="6023" spans="1:8" x14ac:dyDescent="0.3">
      <c r="A6023" s="2">
        <v>837</v>
      </c>
      <c r="B6023" t="s">
        <v>568</v>
      </c>
      <c r="C6023" t="s">
        <v>3225</v>
      </c>
      <c r="D6023" s="2">
        <v>1</v>
      </c>
      <c r="E6023" s="11" t="s">
        <v>178</v>
      </c>
      <c r="F6023" t="s">
        <v>28</v>
      </c>
      <c r="G6023" s="2" t="s">
        <v>23</v>
      </c>
      <c r="H6023" s="1">
        <v>158.89400000000001</v>
      </c>
    </row>
    <row r="6024" spans="1:8" x14ac:dyDescent="0.3">
      <c r="A6024" s="2">
        <v>838</v>
      </c>
      <c r="B6024" t="s">
        <v>567</v>
      </c>
      <c r="C6024" t="s">
        <v>3233</v>
      </c>
      <c r="D6024" s="2">
        <v>1</v>
      </c>
      <c r="E6024" s="11" t="s">
        <v>566</v>
      </c>
      <c r="F6024" t="s">
        <v>126</v>
      </c>
      <c r="G6024" s="2" t="s">
        <v>23</v>
      </c>
      <c r="H6024" s="1">
        <v>132.39400000000001</v>
      </c>
    </row>
    <row r="6025" spans="1:8" x14ac:dyDescent="0.3">
      <c r="A6025" s="2">
        <v>838</v>
      </c>
      <c r="B6025" t="s">
        <v>565</v>
      </c>
      <c r="C6025" t="s">
        <v>0</v>
      </c>
      <c r="D6025" s="2">
        <v>1</v>
      </c>
      <c r="E6025" s="11" t="s">
        <v>564</v>
      </c>
      <c r="F6025" t="s">
        <v>114</v>
      </c>
      <c r="G6025" s="2" t="s">
        <v>31</v>
      </c>
      <c r="H6025" s="1">
        <v>227.79400000000001</v>
      </c>
    </row>
    <row r="6026" spans="1:8" x14ac:dyDescent="0.3">
      <c r="A6026" s="2">
        <v>838</v>
      </c>
      <c r="B6026" t="s">
        <v>563</v>
      </c>
      <c r="C6026" t="s">
        <v>0</v>
      </c>
      <c r="D6026" s="2">
        <v>1</v>
      </c>
      <c r="E6026" s="11" t="s">
        <v>562</v>
      </c>
      <c r="F6026" t="s">
        <v>62</v>
      </c>
      <c r="G6026" s="2" t="s">
        <v>23</v>
      </c>
      <c r="H6026" s="1">
        <v>158.89400000000001</v>
      </c>
    </row>
    <row r="6027" spans="1:8" x14ac:dyDescent="0.3">
      <c r="A6027" s="2">
        <v>838</v>
      </c>
      <c r="B6027" t="s">
        <v>561</v>
      </c>
      <c r="C6027" t="s">
        <v>0</v>
      </c>
      <c r="D6027" s="2">
        <v>1</v>
      </c>
      <c r="E6027" s="11" t="s">
        <v>554</v>
      </c>
      <c r="F6027" t="s">
        <v>81</v>
      </c>
      <c r="G6027" s="2" t="s">
        <v>23</v>
      </c>
      <c r="H6027" s="1">
        <v>105.89400000000001</v>
      </c>
    </row>
    <row r="6028" spans="1:8" x14ac:dyDescent="0.3">
      <c r="A6028" s="2">
        <v>838</v>
      </c>
      <c r="B6028" t="s">
        <v>560</v>
      </c>
      <c r="C6028" t="s">
        <v>3224</v>
      </c>
      <c r="D6028" s="2">
        <v>1</v>
      </c>
      <c r="E6028" s="11" t="s">
        <v>499</v>
      </c>
      <c r="F6028" t="s">
        <v>114</v>
      </c>
      <c r="G6028" s="2" t="s">
        <v>4</v>
      </c>
      <c r="H6028" s="1">
        <v>84.694000000000017</v>
      </c>
    </row>
    <row r="6029" spans="1:8" x14ac:dyDescent="0.3">
      <c r="A6029" s="2">
        <v>838</v>
      </c>
      <c r="B6029" t="s">
        <v>559</v>
      </c>
      <c r="C6029" t="s">
        <v>3334</v>
      </c>
      <c r="D6029" s="2">
        <v>1</v>
      </c>
      <c r="E6029" s="11" t="s">
        <v>448</v>
      </c>
      <c r="F6029" t="s">
        <v>114</v>
      </c>
      <c r="G6029" s="2" t="s">
        <v>23</v>
      </c>
      <c r="H6029" s="1">
        <v>164.19400000000002</v>
      </c>
    </row>
    <row r="6030" spans="1:8" x14ac:dyDescent="0.3">
      <c r="A6030" s="2">
        <v>838</v>
      </c>
      <c r="B6030" t="s">
        <v>558</v>
      </c>
      <c r="C6030" t="s">
        <v>0</v>
      </c>
      <c r="D6030" s="2">
        <v>1</v>
      </c>
      <c r="E6030" s="11" t="s">
        <v>549</v>
      </c>
      <c r="F6030" t="s">
        <v>114</v>
      </c>
      <c r="G6030" s="2" t="s">
        <v>23</v>
      </c>
      <c r="H6030" s="1">
        <v>164.19400000000002</v>
      </c>
    </row>
    <row r="6031" spans="1:8" x14ac:dyDescent="0.3">
      <c r="A6031" s="2">
        <v>838</v>
      </c>
      <c r="B6031" t="s">
        <v>557</v>
      </c>
      <c r="C6031" t="s">
        <v>1</v>
      </c>
      <c r="D6031" s="2">
        <v>1</v>
      </c>
      <c r="E6031" s="11" t="s">
        <v>385</v>
      </c>
      <c r="F6031" t="s">
        <v>78</v>
      </c>
      <c r="G6031" s="2" t="s">
        <v>4</v>
      </c>
      <c r="H6031" s="1">
        <v>79.394000000000005</v>
      </c>
    </row>
    <row r="6032" spans="1:8" x14ac:dyDescent="0.3">
      <c r="A6032" s="2">
        <v>838</v>
      </c>
      <c r="B6032" t="s">
        <v>556</v>
      </c>
      <c r="C6032" t="s">
        <v>0</v>
      </c>
      <c r="D6032" s="2">
        <v>1</v>
      </c>
      <c r="E6032" s="11" t="s">
        <v>554</v>
      </c>
      <c r="F6032" t="s">
        <v>227</v>
      </c>
      <c r="G6032" s="2" t="s">
        <v>31</v>
      </c>
      <c r="H6032" s="1">
        <v>105.89400000000001</v>
      </c>
    </row>
    <row r="6033" spans="1:8" x14ac:dyDescent="0.3">
      <c r="A6033" s="2">
        <v>838</v>
      </c>
      <c r="B6033" t="s">
        <v>555</v>
      </c>
      <c r="C6033" t="s">
        <v>0</v>
      </c>
      <c r="D6033" s="2">
        <v>1</v>
      </c>
      <c r="E6033" s="11" t="s">
        <v>554</v>
      </c>
      <c r="F6033" t="s">
        <v>227</v>
      </c>
      <c r="G6033" s="2" t="s">
        <v>23</v>
      </c>
      <c r="H6033" s="1">
        <v>105.89400000000001</v>
      </c>
    </row>
    <row r="6034" spans="1:8" x14ac:dyDescent="0.3">
      <c r="A6034" s="2">
        <v>838</v>
      </c>
      <c r="B6034" t="s">
        <v>553</v>
      </c>
      <c r="C6034" t="s">
        <v>3224</v>
      </c>
      <c r="D6034" s="2">
        <v>1</v>
      </c>
      <c r="E6034" s="11" t="s">
        <v>499</v>
      </c>
      <c r="F6034" t="s">
        <v>47</v>
      </c>
      <c r="G6034" s="2" t="s">
        <v>31</v>
      </c>
      <c r="H6034" s="1">
        <v>84.694000000000017</v>
      </c>
    </row>
    <row r="6035" spans="1:8" x14ac:dyDescent="0.3">
      <c r="A6035" s="2">
        <v>838</v>
      </c>
      <c r="B6035" t="s">
        <v>552</v>
      </c>
      <c r="C6035" t="s">
        <v>0</v>
      </c>
      <c r="D6035" s="2">
        <v>1</v>
      </c>
      <c r="E6035" s="11" t="s">
        <v>201</v>
      </c>
      <c r="F6035" t="s">
        <v>39</v>
      </c>
      <c r="G6035" s="2" t="s">
        <v>31</v>
      </c>
      <c r="H6035" s="1">
        <v>121.79400000000001</v>
      </c>
    </row>
    <row r="6036" spans="1:8" x14ac:dyDescent="0.3">
      <c r="A6036" s="2">
        <v>838</v>
      </c>
      <c r="B6036" t="s">
        <v>202</v>
      </c>
      <c r="C6036" t="s">
        <v>0</v>
      </c>
      <c r="D6036" s="2">
        <v>1</v>
      </c>
      <c r="E6036" s="11" t="s">
        <v>201</v>
      </c>
      <c r="F6036" t="s">
        <v>39</v>
      </c>
      <c r="G6036" s="2" t="s">
        <v>23</v>
      </c>
      <c r="H6036" s="1">
        <v>121.79400000000001</v>
      </c>
    </row>
    <row r="6037" spans="1:8" x14ac:dyDescent="0.3">
      <c r="A6037" s="2">
        <v>838</v>
      </c>
      <c r="B6037" t="s">
        <v>265</v>
      </c>
      <c r="C6037" t="s">
        <v>0</v>
      </c>
      <c r="D6037" s="2">
        <v>1</v>
      </c>
      <c r="E6037" s="11" t="s">
        <v>264</v>
      </c>
      <c r="F6037" t="s">
        <v>39</v>
      </c>
      <c r="G6037" s="2" t="s">
        <v>31</v>
      </c>
      <c r="H6037" s="1">
        <v>201.29400000000001</v>
      </c>
    </row>
    <row r="6038" spans="1:8" x14ac:dyDescent="0.3">
      <c r="A6038" s="2">
        <v>838</v>
      </c>
      <c r="B6038" t="s">
        <v>362</v>
      </c>
      <c r="C6038" t="s">
        <v>0</v>
      </c>
      <c r="D6038" s="2">
        <v>1</v>
      </c>
      <c r="E6038" s="11" t="s">
        <v>264</v>
      </c>
      <c r="F6038" t="s">
        <v>39</v>
      </c>
      <c r="G6038" s="2" t="s">
        <v>23</v>
      </c>
      <c r="H6038" s="1">
        <v>201.29400000000001</v>
      </c>
    </row>
    <row r="6039" spans="1:8" x14ac:dyDescent="0.3">
      <c r="A6039" s="2">
        <v>838</v>
      </c>
      <c r="B6039" t="s">
        <v>551</v>
      </c>
      <c r="C6039" t="s">
        <v>3334</v>
      </c>
      <c r="D6039" s="2">
        <v>1</v>
      </c>
      <c r="E6039" s="11" t="s">
        <v>448</v>
      </c>
      <c r="F6039" t="s">
        <v>39</v>
      </c>
      <c r="G6039" s="2" t="s">
        <v>23</v>
      </c>
      <c r="H6039" s="1">
        <v>164.19400000000002</v>
      </c>
    </row>
    <row r="6040" spans="1:8" x14ac:dyDescent="0.3">
      <c r="A6040" s="2">
        <v>838</v>
      </c>
      <c r="B6040" t="s">
        <v>155</v>
      </c>
      <c r="C6040" t="s">
        <v>3220</v>
      </c>
      <c r="D6040" s="2">
        <v>1</v>
      </c>
      <c r="E6040" s="11" t="s">
        <v>154</v>
      </c>
      <c r="F6040" t="s">
        <v>39</v>
      </c>
      <c r="G6040" s="2" t="s">
        <v>31</v>
      </c>
      <c r="H6040" s="1">
        <v>84.694000000000017</v>
      </c>
    </row>
    <row r="6041" spans="1:8" x14ac:dyDescent="0.3">
      <c r="A6041" s="2">
        <v>838</v>
      </c>
      <c r="B6041" t="s">
        <v>381</v>
      </c>
      <c r="C6041" t="s">
        <v>3220</v>
      </c>
      <c r="D6041" s="2">
        <v>1</v>
      </c>
      <c r="E6041" s="11" t="s">
        <v>154</v>
      </c>
      <c r="F6041" t="s">
        <v>39</v>
      </c>
      <c r="G6041" s="2" t="s">
        <v>23</v>
      </c>
      <c r="H6041" s="1">
        <v>84.694000000000017</v>
      </c>
    </row>
    <row r="6042" spans="1:8" x14ac:dyDescent="0.3">
      <c r="A6042" s="2">
        <v>838</v>
      </c>
      <c r="B6042" t="s">
        <v>550</v>
      </c>
      <c r="C6042" t="s">
        <v>0</v>
      </c>
      <c r="D6042" s="2">
        <v>1</v>
      </c>
      <c r="E6042" s="11" t="s">
        <v>549</v>
      </c>
      <c r="F6042" t="s">
        <v>39</v>
      </c>
      <c r="G6042" s="2" t="s">
        <v>4</v>
      </c>
      <c r="H6042" s="1">
        <v>164.19400000000002</v>
      </c>
    </row>
    <row r="6043" spans="1:8" x14ac:dyDescent="0.3">
      <c r="A6043" s="2">
        <v>838</v>
      </c>
      <c r="B6043" t="s">
        <v>360</v>
      </c>
      <c r="C6043" t="s">
        <v>1</v>
      </c>
      <c r="D6043" s="2">
        <v>1</v>
      </c>
      <c r="E6043" s="11" t="s">
        <v>357</v>
      </c>
      <c r="F6043" t="s">
        <v>28</v>
      </c>
      <c r="G6043" s="2" t="s">
        <v>4</v>
      </c>
      <c r="H6043" s="1">
        <v>52.893999999999998</v>
      </c>
    </row>
    <row r="6044" spans="1:8" x14ac:dyDescent="0.3">
      <c r="A6044" s="2">
        <v>839</v>
      </c>
      <c r="B6044" t="s">
        <v>548</v>
      </c>
      <c r="C6044" t="s">
        <v>3233</v>
      </c>
      <c r="D6044" s="2">
        <v>1</v>
      </c>
      <c r="E6044" s="11" t="s">
        <v>547</v>
      </c>
      <c r="F6044" t="s">
        <v>81</v>
      </c>
      <c r="G6044" s="2" t="s">
        <v>23</v>
      </c>
      <c r="H6044" s="1">
        <v>63.494000000000007</v>
      </c>
    </row>
    <row r="6045" spans="1:8" x14ac:dyDescent="0.3">
      <c r="A6045" s="2">
        <v>839</v>
      </c>
      <c r="B6045" t="s">
        <v>300</v>
      </c>
      <c r="C6045" t="s">
        <v>3219</v>
      </c>
      <c r="D6045" s="2">
        <v>1</v>
      </c>
      <c r="E6045" s="11" t="s">
        <v>66</v>
      </c>
      <c r="F6045" t="s">
        <v>47</v>
      </c>
      <c r="G6045" s="2" t="s">
        <v>23</v>
      </c>
      <c r="H6045" s="1">
        <v>180.09400000000002</v>
      </c>
    </row>
    <row r="6046" spans="1:8" x14ac:dyDescent="0.3">
      <c r="A6046" s="2">
        <v>839</v>
      </c>
      <c r="B6046" t="s">
        <v>512</v>
      </c>
      <c r="C6046" t="s">
        <v>3225</v>
      </c>
      <c r="D6046" s="2">
        <v>1</v>
      </c>
      <c r="E6046" s="11" t="s">
        <v>220</v>
      </c>
      <c r="F6046" t="s">
        <v>47</v>
      </c>
      <c r="G6046" s="2" t="s">
        <v>23</v>
      </c>
      <c r="H6046" s="1">
        <v>195.99400000000003</v>
      </c>
    </row>
    <row r="6047" spans="1:8" x14ac:dyDescent="0.3">
      <c r="A6047" s="2">
        <v>839</v>
      </c>
      <c r="B6047" t="s">
        <v>546</v>
      </c>
      <c r="C6047" t="s">
        <v>3225</v>
      </c>
      <c r="D6047" s="2">
        <v>1</v>
      </c>
      <c r="E6047" s="11" t="s">
        <v>510</v>
      </c>
      <c r="F6047" t="s">
        <v>47</v>
      </c>
      <c r="G6047" s="2" t="s">
        <v>31</v>
      </c>
      <c r="H6047" s="1">
        <v>195.99400000000003</v>
      </c>
    </row>
    <row r="6048" spans="1:8" x14ac:dyDescent="0.3">
      <c r="A6048" s="2">
        <v>839</v>
      </c>
      <c r="B6048" t="s">
        <v>103</v>
      </c>
      <c r="C6048" t="s">
        <v>3219</v>
      </c>
      <c r="D6048" s="2">
        <v>1</v>
      </c>
      <c r="E6048" s="11" t="s">
        <v>102</v>
      </c>
      <c r="F6048" t="s">
        <v>39</v>
      </c>
      <c r="G6048" s="2" t="s">
        <v>23</v>
      </c>
      <c r="H6048" s="1">
        <v>121.79400000000001</v>
      </c>
    </row>
    <row r="6049" spans="1:8" x14ac:dyDescent="0.3">
      <c r="A6049" s="2">
        <v>839</v>
      </c>
      <c r="B6049" t="s">
        <v>545</v>
      </c>
      <c r="C6049" t="s">
        <v>3225</v>
      </c>
      <c r="D6049" s="2">
        <v>1</v>
      </c>
      <c r="E6049" s="11" t="s">
        <v>220</v>
      </c>
      <c r="F6049" t="s">
        <v>39</v>
      </c>
      <c r="G6049" s="2" t="s">
        <v>31</v>
      </c>
      <c r="H6049" s="1">
        <v>195.99400000000003</v>
      </c>
    </row>
    <row r="6050" spans="1:8" x14ac:dyDescent="0.3">
      <c r="A6050" s="2">
        <v>839</v>
      </c>
      <c r="B6050" t="s">
        <v>46</v>
      </c>
      <c r="C6050" t="s">
        <v>2</v>
      </c>
      <c r="D6050" s="2">
        <v>1</v>
      </c>
      <c r="E6050" s="11" t="s">
        <v>45</v>
      </c>
      <c r="F6050" t="s">
        <v>39</v>
      </c>
      <c r="G6050" s="2" t="s">
        <v>4</v>
      </c>
      <c r="H6050" s="1">
        <v>111.19400000000002</v>
      </c>
    </row>
    <row r="6051" spans="1:8" x14ac:dyDescent="0.3">
      <c r="A6051" s="2">
        <v>839</v>
      </c>
      <c r="B6051" t="s">
        <v>544</v>
      </c>
      <c r="C6051" t="s">
        <v>3224</v>
      </c>
      <c r="D6051" s="2">
        <v>1</v>
      </c>
      <c r="E6051" s="11" t="s">
        <v>96</v>
      </c>
      <c r="F6051" t="s">
        <v>39</v>
      </c>
      <c r="G6051" s="2" t="s">
        <v>4</v>
      </c>
      <c r="H6051" s="1">
        <v>68.794000000000011</v>
      </c>
    </row>
    <row r="6052" spans="1:8" x14ac:dyDescent="0.3">
      <c r="A6052" s="2">
        <v>839</v>
      </c>
      <c r="B6052" t="s">
        <v>543</v>
      </c>
      <c r="C6052" t="s">
        <v>3225</v>
      </c>
      <c r="D6052" s="2">
        <v>1</v>
      </c>
      <c r="E6052" s="11" t="s">
        <v>178</v>
      </c>
      <c r="F6052" t="s">
        <v>39</v>
      </c>
      <c r="G6052" s="2" t="s">
        <v>31</v>
      </c>
      <c r="H6052" s="1">
        <v>158.89400000000001</v>
      </c>
    </row>
    <row r="6053" spans="1:8" x14ac:dyDescent="0.3">
      <c r="A6053" s="2">
        <v>839</v>
      </c>
      <c r="B6053" t="s">
        <v>443</v>
      </c>
      <c r="C6053" t="s">
        <v>1</v>
      </c>
      <c r="D6053" s="2">
        <v>1</v>
      </c>
      <c r="E6053" s="11" t="s">
        <v>172</v>
      </c>
      <c r="F6053" t="s">
        <v>36</v>
      </c>
      <c r="G6053" s="2" t="s">
        <v>31</v>
      </c>
      <c r="H6053" s="1">
        <v>47.594000000000001</v>
      </c>
    </row>
    <row r="6054" spans="1:8" x14ac:dyDescent="0.3">
      <c r="A6054" s="2">
        <v>839</v>
      </c>
      <c r="B6054" t="s">
        <v>542</v>
      </c>
      <c r="C6054" t="s">
        <v>3225</v>
      </c>
      <c r="D6054" s="2">
        <v>1</v>
      </c>
      <c r="E6054" s="11" t="s">
        <v>176</v>
      </c>
      <c r="F6054" t="s">
        <v>36</v>
      </c>
      <c r="G6054" s="2" t="s">
        <v>23</v>
      </c>
      <c r="H6054" s="1">
        <v>153.59400000000002</v>
      </c>
    </row>
    <row r="6055" spans="1:8" x14ac:dyDescent="0.3">
      <c r="A6055" s="2">
        <v>839</v>
      </c>
      <c r="B6055" t="s">
        <v>541</v>
      </c>
      <c r="C6055" t="s">
        <v>3225</v>
      </c>
      <c r="D6055" s="2">
        <v>1</v>
      </c>
      <c r="E6055" s="11" t="s">
        <v>178</v>
      </c>
      <c r="F6055" t="s">
        <v>28</v>
      </c>
      <c r="G6055" s="2" t="s">
        <v>4</v>
      </c>
      <c r="H6055" s="1">
        <v>158.89400000000001</v>
      </c>
    </row>
    <row r="6056" spans="1:8" x14ac:dyDescent="0.3">
      <c r="A6056" s="2">
        <v>839</v>
      </c>
      <c r="B6056" t="s">
        <v>484</v>
      </c>
      <c r="C6056" t="s">
        <v>2</v>
      </c>
      <c r="D6056" s="2">
        <v>1</v>
      </c>
      <c r="E6056" s="11" t="s">
        <v>207</v>
      </c>
      <c r="F6056" t="s">
        <v>28</v>
      </c>
      <c r="G6056" s="2" t="s">
        <v>31</v>
      </c>
      <c r="H6056" s="1">
        <v>84.694000000000017</v>
      </c>
    </row>
    <row r="6057" spans="1:8" x14ac:dyDescent="0.3">
      <c r="A6057" s="2">
        <v>840</v>
      </c>
      <c r="B6057" t="s">
        <v>540</v>
      </c>
      <c r="C6057" t="s">
        <v>3219</v>
      </c>
      <c r="D6057" s="2">
        <v>1</v>
      </c>
      <c r="E6057" s="11" t="s">
        <v>534</v>
      </c>
      <c r="F6057" t="s">
        <v>65</v>
      </c>
      <c r="G6057" s="2" t="s">
        <v>23</v>
      </c>
      <c r="H6057" s="1">
        <v>89.994000000000014</v>
      </c>
    </row>
    <row r="6058" spans="1:8" x14ac:dyDescent="0.3">
      <c r="A6058" s="2">
        <v>840</v>
      </c>
      <c r="B6058" t="s">
        <v>539</v>
      </c>
      <c r="C6058" t="s">
        <v>3224</v>
      </c>
      <c r="D6058" s="2">
        <v>1</v>
      </c>
      <c r="E6058" s="11" t="s">
        <v>538</v>
      </c>
      <c r="F6058" t="s">
        <v>62</v>
      </c>
      <c r="G6058" s="2" t="s">
        <v>23</v>
      </c>
      <c r="H6058" s="1">
        <v>89.994000000000014</v>
      </c>
    </row>
    <row r="6059" spans="1:8" x14ac:dyDescent="0.3">
      <c r="A6059" s="2">
        <v>840</v>
      </c>
      <c r="B6059" t="s">
        <v>537</v>
      </c>
      <c r="C6059" t="s">
        <v>3219</v>
      </c>
      <c r="D6059" s="2">
        <v>1</v>
      </c>
      <c r="E6059" s="11" t="s">
        <v>536</v>
      </c>
      <c r="F6059" t="s">
        <v>62</v>
      </c>
      <c r="G6059" s="2" t="s">
        <v>23</v>
      </c>
      <c r="H6059" s="1">
        <v>158.89400000000001</v>
      </c>
    </row>
    <row r="6060" spans="1:8" x14ac:dyDescent="0.3">
      <c r="A6060" s="2">
        <v>840</v>
      </c>
      <c r="B6060" t="s">
        <v>535</v>
      </c>
      <c r="C6060" t="s">
        <v>3219</v>
      </c>
      <c r="D6060" s="2">
        <v>1</v>
      </c>
      <c r="E6060" s="11" t="s">
        <v>534</v>
      </c>
      <c r="F6060" t="s">
        <v>47</v>
      </c>
      <c r="G6060" s="2" t="s">
        <v>4</v>
      </c>
      <c r="H6060" s="1">
        <v>89.994000000000014</v>
      </c>
    </row>
    <row r="6061" spans="1:8" x14ac:dyDescent="0.3">
      <c r="A6061" s="2">
        <v>840</v>
      </c>
      <c r="B6061" t="s">
        <v>533</v>
      </c>
      <c r="C6061" t="s">
        <v>1</v>
      </c>
      <c r="D6061" s="2">
        <v>1</v>
      </c>
      <c r="E6061" s="11" t="s">
        <v>76</v>
      </c>
      <c r="F6061" t="s">
        <v>47</v>
      </c>
      <c r="G6061" s="2" t="s">
        <v>31</v>
      </c>
      <c r="H6061" s="1">
        <v>63.494</v>
      </c>
    </row>
    <row r="6062" spans="1:8" x14ac:dyDescent="0.3">
      <c r="A6062" s="2">
        <v>840</v>
      </c>
      <c r="B6062" t="s">
        <v>532</v>
      </c>
      <c r="C6062" t="s">
        <v>0</v>
      </c>
      <c r="D6062" s="2">
        <v>1</v>
      </c>
      <c r="E6062" s="11" t="s">
        <v>531</v>
      </c>
      <c r="F6062" t="s">
        <v>39</v>
      </c>
      <c r="G6062" s="2" t="s">
        <v>23</v>
      </c>
      <c r="H6062" s="1">
        <v>217.19400000000002</v>
      </c>
    </row>
    <row r="6063" spans="1:8" x14ac:dyDescent="0.3">
      <c r="A6063" s="2">
        <v>841</v>
      </c>
      <c r="B6063" t="s">
        <v>530</v>
      </c>
      <c r="C6063" t="s">
        <v>3224</v>
      </c>
      <c r="D6063" s="2">
        <v>1</v>
      </c>
      <c r="E6063" s="11" t="s">
        <v>529</v>
      </c>
      <c r="F6063" t="s">
        <v>81</v>
      </c>
      <c r="G6063" s="2" t="s">
        <v>4</v>
      </c>
      <c r="H6063" s="1">
        <v>84.694000000000017</v>
      </c>
    </row>
    <row r="6064" spans="1:8" x14ac:dyDescent="0.3">
      <c r="A6064" s="2">
        <v>841</v>
      </c>
      <c r="B6064" t="s">
        <v>528</v>
      </c>
      <c r="C6064" t="s">
        <v>3225</v>
      </c>
      <c r="D6064" s="2">
        <v>1</v>
      </c>
      <c r="E6064" s="11" t="s">
        <v>527</v>
      </c>
      <c r="F6064" t="s">
        <v>114</v>
      </c>
      <c r="G6064" s="2" t="s">
        <v>4</v>
      </c>
      <c r="H6064" s="1">
        <v>227.79400000000001</v>
      </c>
    </row>
    <row r="6065" spans="1:8" x14ac:dyDescent="0.3">
      <c r="A6065" s="2">
        <v>841</v>
      </c>
      <c r="B6065" t="s">
        <v>526</v>
      </c>
      <c r="C6065" t="s">
        <v>3219</v>
      </c>
      <c r="D6065" s="2">
        <v>1</v>
      </c>
      <c r="E6065" s="11" t="s">
        <v>209</v>
      </c>
      <c r="F6065" t="s">
        <v>114</v>
      </c>
      <c r="G6065" s="2" t="s">
        <v>4</v>
      </c>
      <c r="H6065" s="1">
        <v>164.19400000000002</v>
      </c>
    </row>
    <row r="6066" spans="1:8" x14ac:dyDescent="0.3">
      <c r="A6066" s="2">
        <v>841</v>
      </c>
      <c r="B6066" t="s">
        <v>301</v>
      </c>
      <c r="C6066" t="s">
        <v>3219</v>
      </c>
      <c r="D6066" s="2">
        <v>1</v>
      </c>
      <c r="E6066" s="11" t="s">
        <v>66</v>
      </c>
      <c r="F6066" t="s">
        <v>47</v>
      </c>
      <c r="G6066" s="2" t="s">
        <v>4</v>
      </c>
      <c r="H6066" s="1">
        <v>180.09400000000002</v>
      </c>
    </row>
    <row r="6067" spans="1:8" x14ac:dyDescent="0.3">
      <c r="A6067" s="2">
        <v>841</v>
      </c>
      <c r="B6067" t="s">
        <v>451</v>
      </c>
      <c r="C6067" t="s">
        <v>3</v>
      </c>
      <c r="D6067" s="2">
        <v>1</v>
      </c>
      <c r="E6067" s="11" t="s">
        <v>450</v>
      </c>
      <c r="F6067" t="s">
        <v>47</v>
      </c>
      <c r="G6067" s="2" t="s">
        <v>4</v>
      </c>
      <c r="H6067" s="1">
        <v>68.794000000000011</v>
      </c>
    </row>
    <row r="6068" spans="1:8" x14ac:dyDescent="0.3">
      <c r="A6068" s="2">
        <v>841</v>
      </c>
      <c r="B6068" t="s">
        <v>525</v>
      </c>
      <c r="C6068" t="s">
        <v>3224</v>
      </c>
      <c r="D6068" s="2">
        <v>1</v>
      </c>
      <c r="E6068" s="11" t="s">
        <v>96</v>
      </c>
      <c r="F6068" t="s">
        <v>47</v>
      </c>
      <c r="G6068" s="2" t="s">
        <v>4</v>
      </c>
      <c r="H6068" s="1">
        <v>68.794000000000011</v>
      </c>
    </row>
    <row r="6069" spans="1:8" x14ac:dyDescent="0.3">
      <c r="A6069" s="2">
        <v>841</v>
      </c>
      <c r="B6069" t="s">
        <v>206</v>
      </c>
      <c r="C6069" t="s">
        <v>3220</v>
      </c>
      <c r="D6069" s="2">
        <v>3</v>
      </c>
      <c r="E6069" s="11" t="s">
        <v>204</v>
      </c>
      <c r="F6069" t="s">
        <v>47</v>
      </c>
      <c r="G6069" s="2" t="s">
        <v>4</v>
      </c>
      <c r="H6069" s="1">
        <v>42.294000000000004</v>
      </c>
    </row>
    <row r="6070" spans="1:8" x14ac:dyDescent="0.3">
      <c r="A6070" s="2">
        <v>841</v>
      </c>
      <c r="B6070" t="s">
        <v>524</v>
      </c>
      <c r="C6070" t="s">
        <v>3225</v>
      </c>
      <c r="D6070" s="2">
        <v>1</v>
      </c>
      <c r="E6070" s="11" t="s">
        <v>178</v>
      </c>
      <c r="F6070" t="s">
        <v>39</v>
      </c>
      <c r="G6070" s="2" t="s">
        <v>4</v>
      </c>
      <c r="H6070" s="1">
        <v>158.89400000000001</v>
      </c>
    </row>
    <row r="6071" spans="1:8" x14ac:dyDescent="0.3">
      <c r="A6071" s="2">
        <v>841</v>
      </c>
      <c r="B6071" t="s">
        <v>523</v>
      </c>
      <c r="C6071" t="s">
        <v>3220</v>
      </c>
      <c r="D6071" s="2">
        <v>1</v>
      </c>
      <c r="E6071" s="11" t="s">
        <v>522</v>
      </c>
      <c r="F6071" t="s">
        <v>28</v>
      </c>
      <c r="G6071" s="2" t="s">
        <v>4</v>
      </c>
      <c r="H6071" s="1">
        <v>42.294000000000004</v>
      </c>
    </row>
    <row r="6072" spans="1:8" x14ac:dyDescent="0.3">
      <c r="A6072" s="2">
        <v>841</v>
      </c>
      <c r="B6072" t="s">
        <v>521</v>
      </c>
      <c r="C6072" t="s">
        <v>3224</v>
      </c>
      <c r="D6072" s="2">
        <v>1</v>
      </c>
      <c r="E6072" s="11" t="s">
        <v>520</v>
      </c>
      <c r="F6072" t="s">
        <v>24</v>
      </c>
      <c r="G6072" s="2" t="s">
        <v>4</v>
      </c>
      <c r="H6072" s="1">
        <v>68.794000000000011</v>
      </c>
    </row>
    <row r="6073" spans="1:8" x14ac:dyDescent="0.3">
      <c r="A6073" s="2">
        <v>842</v>
      </c>
      <c r="B6073" t="s">
        <v>519</v>
      </c>
      <c r="C6073" t="s">
        <v>3225</v>
      </c>
      <c r="D6073" s="2">
        <v>1</v>
      </c>
      <c r="E6073" s="11" t="s">
        <v>518</v>
      </c>
      <c r="F6073" t="s">
        <v>55</v>
      </c>
      <c r="G6073" s="2" t="s">
        <v>31</v>
      </c>
      <c r="H6073" s="1">
        <v>201.29400000000001</v>
      </c>
    </row>
    <row r="6074" spans="1:8" x14ac:dyDescent="0.3">
      <c r="A6074" s="2">
        <v>842</v>
      </c>
      <c r="B6074" t="s">
        <v>438</v>
      </c>
      <c r="C6074" t="s">
        <v>3233</v>
      </c>
      <c r="D6074" s="2">
        <v>1</v>
      </c>
      <c r="E6074" s="11" t="s">
        <v>419</v>
      </c>
      <c r="F6074" t="s">
        <v>126</v>
      </c>
      <c r="G6074" s="2" t="s">
        <v>23</v>
      </c>
      <c r="H6074" s="1">
        <v>105.89400000000001</v>
      </c>
    </row>
    <row r="6075" spans="1:8" x14ac:dyDescent="0.3">
      <c r="A6075" s="2">
        <v>842</v>
      </c>
      <c r="B6075" t="s">
        <v>517</v>
      </c>
      <c r="C6075" t="s">
        <v>3</v>
      </c>
      <c r="D6075" s="2">
        <v>1</v>
      </c>
      <c r="E6075" s="11" t="s">
        <v>516</v>
      </c>
      <c r="F6075" t="s">
        <v>126</v>
      </c>
      <c r="G6075" s="2" t="s">
        <v>23</v>
      </c>
      <c r="H6075" s="1">
        <v>79.394000000000005</v>
      </c>
    </row>
    <row r="6076" spans="1:8" x14ac:dyDescent="0.3">
      <c r="A6076" s="2">
        <v>842</v>
      </c>
      <c r="B6076" t="s">
        <v>292</v>
      </c>
      <c r="C6076" t="s">
        <v>0</v>
      </c>
      <c r="D6076" s="2">
        <v>1</v>
      </c>
      <c r="E6076" s="11" t="s">
        <v>291</v>
      </c>
      <c r="F6076" t="s">
        <v>81</v>
      </c>
      <c r="G6076" s="2" t="s">
        <v>31</v>
      </c>
      <c r="H6076" s="1">
        <v>164.19400000000002</v>
      </c>
    </row>
    <row r="6077" spans="1:8" x14ac:dyDescent="0.3">
      <c r="A6077" s="2">
        <v>842</v>
      </c>
      <c r="B6077" t="s">
        <v>515</v>
      </c>
      <c r="C6077" t="s">
        <v>2</v>
      </c>
      <c r="D6077" s="2">
        <v>1</v>
      </c>
      <c r="E6077" s="11" t="s">
        <v>230</v>
      </c>
      <c r="F6077" t="s">
        <v>55</v>
      </c>
      <c r="G6077" s="2" t="s">
        <v>31</v>
      </c>
      <c r="H6077" s="1">
        <v>137.69400000000002</v>
      </c>
    </row>
    <row r="6078" spans="1:8" x14ac:dyDescent="0.3">
      <c r="A6078" s="2">
        <v>842</v>
      </c>
      <c r="B6078" t="s">
        <v>504</v>
      </c>
      <c r="C6078" t="s">
        <v>3</v>
      </c>
      <c r="D6078" s="2">
        <v>1</v>
      </c>
      <c r="E6078" s="11" t="s">
        <v>236</v>
      </c>
      <c r="F6078" t="s">
        <v>114</v>
      </c>
      <c r="G6078" s="2" t="s">
        <v>23</v>
      </c>
      <c r="H6078" s="1">
        <v>79.394000000000005</v>
      </c>
    </row>
    <row r="6079" spans="1:8" x14ac:dyDescent="0.3">
      <c r="A6079" s="2">
        <v>842</v>
      </c>
      <c r="B6079" t="s">
        <v>514</v>
      </c>
      <c r="C6079" t="s">
        <v>3</v>
      </c>
      <c r="D6079" s="2">
        <v>1</v>
      </c>
      <c r="E6079" s="11" t="s">
        <v>488</v>
      </c>
      <c r="F6079" t="s">
        <v>114</v>
      </c>
      <c r="G6079" s="2" t="s">
        <v>23</v>
      </c>
      <c r="H6079" s="1">
        <v>105.89400000000001</v>
      </c>
    </row>
    <row r="6080" spans="1:8" x14ac:dyDescent="0.3">
      <c r="A6080" s="2">
        <v>842</v>
      </c>
      <c r="B6080" t="s">
        <v>513</v>
      </c>
      <c r="C6080" t="s">
        <v>3219</v>
      </c>
      <c r="D6080" s="2">
        <v>1</v>
      </c>
      <c r="E6080" s="11" t="s">
        <v>234</v>
      </c>
      <c r="F6080" t="s">
        <v>114</v>
      </c>
      <c r="G6080" s="2" t="s">
        <v>31</v>
      </c>
      <c r="H6080" s="1">
        <v>142.994</v>
      </c>
    </row>
    <row r="6081" spans="1:8" x14ac:dyDescent="0.3">
      <c r="A6081" s="2">
        <v>842</v>
      </c>
      <c r="B6081" t="s">
        <v>386</v>
      </c>
      <c r="C6081" t="s">
        <v>1</v>
      </c>
      <c r="D6081" s="2">
        <v>1</v>
      </c>
      <c r="E6081" s="11" t="s">
        <v>385</v>
      </c>
      <c r="F6081" t="s">
        <v>78</v>
      </c>
      <c r="G6081" s="2" t="s">
        <v>23</v>
      </c>
      <c r="H6081" s="1">
        <v>79.394000000000005</v>
      </c>
    </row>
    <row r="6082" spans="1:8" x14ac:dyDescent="0.3">
      <c r="A6082" s="2">
        <v>842</v>
      </c>
      <c r="B6082" t="s">
        <v>224</v>
      </c>
      <c r="C6082" t="s">
        <v>3224</v>
      </c>
      <c r="D6082" s="2">
        <v>1</v>
      </c>
      <c r="E6082" s="11" t="s">
        <v>191</v>
      </c>
      <c r="F6082" t="s">
        <v>47</v>
      </c>
      <c r="G6082" s="2" t="s">
        <v>23</v>
      </c>
      <c r="H6082" s="1">
        <v>63.494000000000007</v>
      </c>
    </row>
    <row r="6083" spans="1:8" x14ac:dyDescent="0.3">
      <c r="A6083" s="2">
        <v>842</v>
      </c>
      <c r="B6083" t="s">
        <v>512</v>
      </c>
      <c r="C6083" t="s">
        <v>3225</v>
      </c>
      <c r="D6083" s="2">
        <v>1</v>
      </c>
      <c r="E6083" s="11" t="s">
        <v>220</v>
      </c>
      <c r="F6083" t="s">
        <v>47</v>
      </c>
      <c r="G6083" s="2" t="s">
        <v>23</v>
      </c>
      <c r="H6083" s="1">
        <v>195.99400000000003</v>
      </c>
    </row>
    <row r="6084" spans="1:8" x14ac:dyDescent="0.3">
      <c r="A6084" s="2">
        <v>842</v>
      </c>
      <c r="B6084" t="s">
        <v>511</v>
      </c>
      <c r="C6084" t="s">
        <v>3225</v>
      </c>
      <c r="D6084" s="2">
        <v>1</v>
      </c>
      <c r="E6084" s="11" t="s">
        <v>510</v>
      </c>
      <c r="F6084" t="s">
        <v>47</v>
      </c>
      <c r="G6084" s="2" t="s">
        <v>23</v>
      </c>
      <c r="H6084" s="1">
        <v>195.99400000000003</v>
      </c>
    </row>
    <row r="6085" spans="1:8" x14ac:dyDescent="0.3">
      <c r="A6085" s="2">
        <v>842</v>
      </c>
      <c r="B6085" t="s">
        <v>509</v>
      </c>
      <c r="C6085" t="s">
        <v>2</v>
      </c>
      <c r="D6085" s="2">
        <v>1</v>
      </c>
      <c r="E6085" s="11" t="s">
        <v>45</v>
      </c>
      <c r="F6085" t="s">
        <v>39</v>
      </c>
      <c r="G6085" s="2" t="s">
        <v>23</v>
      </c>
      <c r="H6085" s="1">
        <v>111.19400000000002</v>
      </c>
    </row>
    <row r="6086" spans="1:8" x14ac:dyDescent="0.3">
      <c r="A6086" s="2">
        <v>842</v>
      </c>
      <c r="B6086" t="s">
        <v>97</v>
      </c>
      <c r="C6086" t="s">
        <v>3224</v>
      </c>
      <c r="D6086" s="2">
        <v>1</v>
      </c>
      <c r="E6086" s="11" t="s">
        <v>96</v>
      </c>
      <c r="F6086" t="s">
        <v>39</v>
      </c>
      <c r="G6086" s="2" t="s">
        <v>23</v>
      </c>
      <c r="H6086" s="1">
        <v>68.794000000000011</v>
      </c>
    </row>
    <row r="6087" spans="1:8" x14ac:dyDescent="0.3">
      <c r="A6087" s="2">
        <v>842</v>
      </c>
      <c r="B6087" t="s">
        <v>424</v>
      </c>
      <c r="C6087" t="s">
        <v>3</v>
      </c>
      <c r="D6087" s="2">
        <v>1</v>
      </c>
      <c r="E6087" s="11" t="s">
        <v>236</v>
      </c>
      <c r="F6087" t="s">
        <v>39</v>
      </c>
      <c r="G6087" s="2" t="s">
        <v>23</v>
      </c>
      <c r="H6087" s="1">
        <v>79.394000000000005</v>
      </c>
    </row>
    <row r="6088" spans="1:8" x14ac:dyDescent="0.3">
      <c r="A6088" s="2">
        <v>842</v>
      </c>
      <c r="B6088" t="s">
        <v>508</v>
      </c>
      <c r="C6088" t="s">
        <v>0</v>
      </c>
      <c r="D6088" s="2">
        <v>1</v>
      </c>
      <c r="E6088" s="11" t="s">
        <v>310</v>
      </c>
      <c r="F6088" t="s">
        <v>39</v>
      </c>
      <c r="G6088" s="2" t="s">
        <v>23</v>
      </c>
      <c r="H6088" s="1">
        <v>153.59400000000002</v>
      </c>
    </row>
    <row r="6089" spans="1:8" x14ac:dyDescent="0.3">
      <c r="A6089" s="2">
        <v>842</v>
      </c>
      <c r="B6089" t="s">
        <v>153</v>
      </c>
      <c r="C6089" t="s">
        <v>2</v>
      </c>
      <c r="D6089" s="2">
        <v>1</v>
      </c>
      <c r="E6089" s="11" t="s">
        <v>144</v>
      </c>
      <c r="F6089" t="s">
        <v>39</v>
      </c>
      <c r="G6089" s="2" t="s">
        <v>31</v>
      </c>
      <c r="H6089" s="1">
        <v>142.994</v>
      </c>
    </row>
    <row r="6090" spans="1:8" x14ac:dyDescent="0.3">
      <c r="A6090" s="2">
        <v>842</v>
      </c>
      <c r="B6090" t="s">
        <v>188</v>
      </c>
      <c r="C6090" t="s">
        <v>1</v>
      </c>
      <c r="D6090" s="2">
        <v>1</v>
      </c>
      <c r="E6090" s="11" t="s">
        <v>172</v>
      </c>
      <c r="F6090" t="s">
        <v>36</v>
      </c>
      <c r="G6090" s="2" t="s">
        <v>23</v>
      </c>
      <c r="H6090" s="1">
        <v>47.594000000000001</v>
      </c>
    </row>
    <row r="6091" spans="1:8" x14ac:dyDescent="0.3">
      <c r="A6091" s="2">
        <v>842</v>
      </c>
      <c r="B6091" t="s">
        <v>507</v>
      </c>
      <c r="C6091" t="s">
        <v>3225</v>
      </c>
      <c r="D6091" s="2">
        <v>1</v>
      </c>
      <c r="E6091" s="11" t="s">
        <v>178</v>
      </c>
      <c r="F6091" t="s">
        <v>36</v>
      </c>
      <c r="G6091" s="2" t="s">
        <v>31</v>
      </c>
      <c r="H6091" s="1">
        <v>158.89400000000001</v>
      </c>
    </row>
    <row r="6092" spans="1:8" x14ac:dyDescent="0.3">
      <c r="A6092" s="2">
        <v>842</v>
      </c>
      <c r="B6092" t="s">
        <v>506</v>
      </c>
      <c r="C6092" t="s">
        <v>1</v>
      </c>
      <c r="D6092" s="2">
        <v>1</v>
      </c>
      <c r="E6092" s="11" t="s">
        <v>172</v>
      </c>
      <c r="F6092" t="s">
        <v>28</v>
      </c>
      <c r="G6092" s="2" t="s">
        <v>23</v>
      </c>
      <c r="H6092" s="1">
        <v>47.594000000000001</v>
      </c>
    </row>
    <row r="6093" spans="1:8" x14ac:dyDescent="0.3">
      <c r="A6093" s="2">
        <v>843</v>
      </c>
      <c r="B6093" t="s">
        <v>238</v>
      </c>
      <c r="C6093" t="s">
        <v>3224</v>
      </c>
      <c r="D6093" s="2">
        <v>1</v>
      </c>
      <c r="E6093" s="11" t="s">
        <v>191</v>
      </c>
      <c r="F6093" t="s">
        <v>114</v>
      </c>
      <c r="G6093" s="2" t="s">
        <v>31</v>
      </c>
      <c r="H6093" s="1">
        <v>63.494000000000007</v>
      </c>
    </row>
    <row r="6094" spans="1:8" x14ac:dyDescent="0.3">
      <c r="A6094" s="2">
        <v>843</v>
      </c>
      <c r="B6094" t="s">
        <v>505</v>
      </c>
      <c r="C6094" t="s">
        <v>3224</v>
      </c>
      <c r="D6094" s="2">
        <v>1</v>
      </c>
      <c r="E6094" s="11" t="s">
        <v>191</v>
      </c>
      <c r="F6094" t="s">
        <v>114</v>
      </c>
      <c r="G6094" s="2" t="s">
        <v>23</v>
      </c>
      <c r="H6094" s="1">
        <v>63.494000000000007</v>
      </c>
    </row>
    <row r="6095" spans="1:8" x14ac:dyDescent="0.3">
      <c r="A6095" s="2">
        <v>843</v>
      </c>
      <c r="B6095" t="s">
        <v>237</v>
      </c>
      <c r="C6095" t="s">
        <v>3</v>
      </c>
      <c r="D6095" s="2">
        <v>1</v>
      </c>
      <c r="E6095" s="11" t="s">
        <v>236</v>
      </c>
      <c r="F6095" t="s">
        <v>114</v>
      </c>
      <c r="G6095" s="2" t="s">
        <v>31</v>
      </c>
      <c r="H6095" s="1">
        <v>79.394000000000005</v>
      </c>
    </row>
    <row r="6096" spans="1:8" x14ac:dyDescent="0.3">
      <c r="A6096" s="2">
        <v>843</v>
      </c>
      <c r="B6096" t="s">
        <v>504</v>
      </c>
      <c r="C6096" t="s">
        <v>3</v>
      </c>
      <c r="D6096" s="2">
        <v>1</v>
      </c>
      <c r="E6096" s="11" t="s">
        <v>236</v>
      </c>
      <c r="F6096" t="s">
        <v>114</v>
      </c>
      <c r="G6096" s="2" t="s">
        <v>23</v>
      </c>
      <c r="H6096" s="1">
        <v>79.394000000000005</v>
      </c>
    </row>
    <row r="6097" spans="1:8" x14ac:dyDescent="0.3">
      <c r="A6097" s="2">
        <v>843</v>
      </c>
      <c r="B6097" t="s">
        <v>503</v>
      </c>
      <c r="C6097" t="s">
        <v>3224</v>
      </c>
      <c r="D6097" s="2">
        <v>1</v>
      </c>
      <c r="E6097" s="11" t="s">
        <v>494</v>
      </c>
      <c r="F6097" t="s">
        <v>114</v>
      </c>
      <c r="G6097" s="2" t="s">
        <v>31</v>
      </c>
      <c r="H6097" s="1">
        <v>47.594000000000001</v>
      </c>
    </row>
    <row r="6098" spans="1:8" x14ac:dyDescent="0.3">
      <c r="A6098" s="2">
        <v>843</v>
      </c>
      <c r="B6098" t="s">
        <v>163</v>
      </c>
      <c r="C6098" t="s">
        <v>3220</v>
      </c>
      <c r="D6098" s="2">
        <v>1</v>
      </c>
      <c r="E6098" s="11" t="s">
        <v>138</v>
      </c>
      <c r="F6098" t="s">
        <v>114</v>
      </c>
      <c r="G6098" s="2" t="s">
        <v>31</v>
      </c>
      <c r="H6098" s="1">
        <v>79.394000000000005</v>
      </c>
    </row>
    <row r="6099" spans="1:8" x14ac:dyDescent="0.3">
      <c r="A6099" s="2">
        <v>843</v>
      </c>
      <c r="B6099" t="s">
        <v>502</v>
      </c>
      <c r="C6099" t="s">
        <v>3</v>
      </c>
      <c r="D6099" s="2">
        <v>1</v>
      </c>
      <c r="E6099" s="11" t="s">
        <v>488</v>
      </c>
      <c r="F6099" t="s">
        <v>114</v>
      </c>
      <c r="G6099" s="2" t="s">
        <v>4</v>
      </c>
      <c r="H6099" s="1">
        <v>105.89400000000001</v>
      </c>
    </row>
    <row r="6100" spans="1:8" x14ac:dyDescent="0.3">
      <c r="A6100" s="2">
        <v>843</v>
      </c>
      <c r="B6100" t="s">
        <v>501</v>
      </c>
      <c r="C6100" t="s">
        <v>1</v>
      </c>
      <c r="D6100" s="2">
        <v>1</v>
      </c>
      <c r="E6100" s="11" t="s">
        <v>485</v>
      </c>
      <c r="F6100" t="s">
        <v>114</v>
      </c>
      <c r="G6100" s="2" t="s">
        <v>23</v>
      </c>
      <c r="H6100" s="1">
        <v>100.59400000000001</v>
      </c>
    </row>
    <row r="6101" spans="1:8" x14ac:dyDescent="0.3">
      <c r="A6101" s="2">
        <v>843</v>
      </c>
      <c r="B6101" t="s">
        <v>500</v>
      </c>
      <c r="C6101" t="s">
        <v>3224</v>
      </c>
      <c r="D6101" s="2">
        <v>1</v>
      </c>
      <c r="E6101" s="11" t="s">
        <v>499</v>
      </c>
      <c r="F6101" t="s">
        <v>39</v>
      </c>
      <c r="G6101" s="2" t="s">
        <v>4</v>
      </c>
      <c r="H6101" s="1">
        <v>84.694000000000017</v>
      </c>
    </row>
    <row r="6102" spans="1:8" x14ac:dyDescent="0.3">
      <c r="A6102" s="2">
        <v>843</v>
      </c>
      <c r="B6102" t="s">
        <v>182</v>
      </c>
      <c r="C6102" t="s">
        <v>3</v>
      </c>
      <c r="D6102" s="2">
        <v>1</v>
      </c>
      <c r="E6102" s="11" t="s">
        <v>180</v>
      </c>
      <c r="F6102" t="s">
        <v>36</v>
      </c>
      <c r="G6102" s="2" t="s">
        <v>4</v>
      </c>
      <c r="H6102" s="1">
        <v>105.89400000000001</v>
      </c>
    </row>
    <row r="6103" spans="1:8" x14ac:dyDescent="0.3">
      <c r="A6103" s="2">
        <v>843</v>
      </c>
      <c r="B6103" t="s">
        <v>498</v>
      </c>
      <c r="C6103" t="s">
        <v>3224</v>
      </c>
      <c r="D6103" s="2">
        <v>1</v>
      </c>
      <c r="E6103" s="11" t="s">
        <v>494</v>
      </c>
      <c r="F6103" t="s">
        <v>36</v>
      </c>
      <c r="G6103" s="2" t="s">
        <v>31</v>
      </c>
      <c r="H6103" s="1">
        <v>47.594000000000001</v>
      </c>
    </row>
    <row r="6104" spans="1:8" x14ac:dyDescent="0.3">
      <c r="A6104" s="2">
        <v>843</v>
      </c>
      <c r="B6104" t="s">
        <v>497</v>
      </c>
      <c r="C6104" t="s">
        <v>1</v>
      </c>
      <c r="D6104" s="2">
        <v>1</v>
      </c>
      <c r="E6104" s="11" t="s">
        <v>485</v>
      </c>
      <c r="F6104" t="s">
        <v>36</v>
      </c>
      <c r="G6104" s="2" t="s">
        <v>4</v>
      </c>
      <c r="H6104" s="1">
        <v>100.59400000000001</v>
      </c>
    </row>
    <row r="6105" spans="1:8" x14ac:dyDescent="0.3">
      <c r="A6105" s="2">
        <v>843</v>
      </c>
      <c r="B6105" t="s">
        <v>496</v>
      </c>
      <c r="C6105" t="s">
        <v>3</v>
      </c>
      <c r="D6105" s="2">
        <v>1</v>
      </c>
      <c r="E6105" s="11" t="s">
        <v>180</v>
      </c>
      <c r="F6105" t="s">
        <v>28</v>
      </c>
      <c r="G6105" s="2" t="s">
        <v>31</v>
      </c>
      <c r="H6105" s="1">
        <v>105.89400000000001</v>
      </c>
    </row>
    <row r="6106" spans="1:8" x14ac:dyDescent="0.3">
      <c r="A6106" s="2">
        <v>843</v>
      </c>
      <c r="B6106" t="s">
        <v>495</v>
      </c>
      <c r="C6106" t="s">
        <v>3224</v>
      </c>
      <c r="D6106" s="2">
        <v>1</v>
      </c>
      <c r="E6106" s="11" t="s">
        <v>494</v>
      </c>
      <c r="F6106" t="s">
        <v>28</v>
      </c>
      <c r="G6106" s="2" t="s">
        <v>23</v>
      </c>
      <c r="H6106" s="1">
        <v>47.594000000000001</v>
      </c>
    </row>
    <row r="6107" spans="1:8" x14ac:dyDescent="0.3">
      <c r="A6107" s="2">
        <v>843</v>
      </c>
      <c r="B6107" t="s">
        <v>139</v>
      </c>
      <c r="C6107" t="s">
        <v>3220</v>
      </c>
      <c r="D6107" s="2">
        <v>1</v>
      </c>
      <c r="E6107" s="11" t="s">
        <v>138</v>
      </c>
      <c r="F6107" t="s">
        <v>28</v>
      </c>
      <c r="G6107" s="2" t="s">
        <v>31</v>
      </c>
      <c r="H6107" s="1">
        <v>79.394000000000005</v>
      </c>
    </row>
    <row r="6108" spans="1:8" x14ac:dyDescent="0.3">
      <c r="A6108" s="2">
        <v>843</v>
      </c>
      <c r="B6108" t="s">
        <v>493</v>
      </c>
      <c r="C6108" t="s">
        <v>1</v>
      </c>
      <c r="D6108" s="2">
        <v>1</v>
      </c>
      <c r="E6108" s="11" t="s">
        <v>485</v>
      </c>
      <c r="F6108" t="s">
        <v>28</v>
      </c>
      <c r="G6108" s="2" t="s">
        <v>31</v>
      </c>
      <c r="H6108" s="1">
        <v>100.59400000000001</v>
      </c>
    </row>
    <row r="6109" spans="1:8" x14ac:dyDescent="0.3">
      <c r="A6109" s="2">
        <v>844</v>
      </c>
      <c r="B6109" t="s">
        <v>492</v>
      </c>
      <c r="C6109" t="s">
        <v>3225</v>
      </c>
      <c r="D6109" s="2">
        <v>1</v>
      </c>
      <c r="E6109" s="11" t="s">
        <v>491</v>
      </c>
      <c r="F6109" t="s">
        <v>62</v>
      </c>
      <c r="G6109" s="2" t="s">
        <v>4</v>
      </c>
      <c r="H6109" s="1">
        <v>164.19400000000002</v>
      </c>
    </row>
    <row r="6110" spans="1:8" x14ac:dyDescent="0.3">
      <c r="A6110" s="2">
        <v>844</v>
      </c>
      <c r="B6110" t="s">
        <v>490</v>
      </c>
      <c r="C6110" t="s">
        <v>3225</v>
      </c>
      <c r="D6110" s="2">
        <v>1</v>
      </c>
      <c r="E6110" s="11" t="s">
        <v>220</v>
      </c>
      <c r="F6110" t="s">
        <v>114</v>
      </c>
      <c r="G6110" s="2" t="s">
        <v>23</v>
      </c>
      <c r="H6110" s="1">
        <v>195.99400000000003</v>
      </c>
    </row>
    <row r="6111" spans="1:8" x14ac:dyDescent="0.3">
      <c r="A6111" s="2">
        <v>844</v>
      </c>
      <c r="B6111" t="s">
        <v>489</v>
      </c>
      <c r="C6111" t="s">
        <v>3</v>
      </c>
      <c r="D6111" s="2">
        <v>1</v>
      </c>
      <c r="E6111" s="11" t="s">
        <v>488</v>
      </c>
      <c r="F6111" t="s">
        <v>114</v>
      </c>
      <c r="G6111" s="2" t="s">
        <v>31</v>
      </c>
      <c r="H6111" s="1">
        <v>105.89400000000001</v>
      </c>
    </row>
    <row r="6112" spans="1:8" x14ac:dyDescent="0.3">
      <c r="A6112" s="2">
        <v>844</v>
      </c>
      <c r="B6112" t="s">
        <v>487</v>
      </c>
      <c r="C6112" t="s">
        <v>0</v>
      </c>
      <c r="D6112" s="2">
        <v>1</v>
      </c>
      <c r="E6112" s="11" t="s">
        <v>329</v>
      </c>
      <c r="F6112" t="s">
        <v>39</v>
      </c>
      <c r="G6112" s="2" t="s">
        <v>31</v>
      </c>
      <c r="H6112" s="1">
        <v>148.29400000000001</v>
      </c>
    </row>
    <row r="6113" spans="1:8" x14ac:dyDescent="0.3">
      <c r="A6113" s="2">
        <v>844</v>
      </c>
      <c r="B6113" t="s">
        <v>486</v>
      </c>
      <c r="C6113" t="s">
        <v>1</v>
      </c>
      <c r="D6113" s="2">
        <v>1</v>
      </c>
      <c r="E6113" s="11" t="s">
        <v>485</v>
      </c>
      <c r="F6113" t="s">
        <v>28</v>
      </c>
      <c r="G6113" s="2" t="s">
        <v>23</v>
      </c>
      <c r="H6113" s="1">
        <v>100.59400000000001</v>
      </c>
    </row>
    <row r="6114" spans="1:8" x14ac:dyDescent="0.3">
      <c r="A6114" s="2">
        <v>844</v>
      </c>
      <c r="B6114" t="s">
        <v>484</v>
      </c>
      <c r="C6114" t="s">
        <v>2</v>
      </c>
      <c r="D6114" s="2">
        <v>1</v>
      </c>
      <c r="E6114" s="11" t="s">
        <v>207</v>
      </c>
      <c r="F6114" t="s">
        <v>28</v>
      </c>
      <c r="G6114" s="2" t="s">
        <v>31</v>
      </c>
      <c r="H6114" s="1">
        <v>84.694000000000017</v>
      </c>
    </row>
    <row r="6115" spans="1:8" x14ac:dyDescent="0.3">
      <c r="A6115" s="2">
        <v>845</v>
      </c>
      <c r="B6115" t="s">
        <v>483</v>
      </c>
      <c r="C6115" t="s">
        <v>3219</v>
      </c>
      <c r="D6115" s="2">
        <v>1</v>
      </c>
      <c r="E6115" s="11" t="s">
        <v>350</v>
      </c>
      <c r="F6115" t="s">
        <v>114</v>
      </c>
      <c r="G6115" s="2" t="s">
        <v>31</v>
      </c>
      <c r="H6115" s="1">
        <v>148.29400000000001</v>
      </c>
    </row>
    <row r="6116" spans="1:8" x14ac:dyDescent="0.3">
      <c r="A6116" s="2">
        <v>845</v>
      </c>
      <c r="B6116" t="s">
        <v>482</v>
      </c>
      <c r="C6116" t="s">
        <v>3219</v>
      </c>
      <c r="D6116" s="2">
        <v>1</v>
      </c>
      <c r="E6116" s="11" t="s">
        <v>350</v>
      </c>
      <c r="F6116" t="s">
        <v>114</v>
      </c>
      <c r="G6116" s="2" t="s">
        <v>23</v>
      </c>
      <c r="H6116" s="1">
        <v>148.29400000000001</v>
      </c>
    </row>
    <row r="6117" spans="1:8" x14ac:dyDescent="0.3">
      <c r="A6117" s="2">
        <v>845</v>
      </c>
      <c r="B6117" t="s">
        <v>481</v>
      </c>
      <c r="C6117" t="s">
        <v>1</v>
      </c>
      <c r="D6117" s="2">
        <v>1</v>
      </c>
      <c r="E6117" s="11" t="s">
        <v>327</v>
      </c>
      <c r="F6117" t="s">
        <v>114</v>
      </c>
      <c r="G6117" s="2" t="s">
        <v>4</v>
      </c>
      <c r="H6117" s="1">
        <v>52.893999999999998</v>
      </c>
    </row>
    <row r="6118" spans="1:8" x14ac:dyDescent="0.3">
      <c r="A6118" s="2">
        <v>845</v>
      </c>
      <c r="B6118" t="s">
        <v>480</v>
      </c>
      <c r="C6118" t="s">
        <v>1</v>
      </c>
      <c r="D6118" s="2">
        <v>1</v>
      </c>
      <c r="E6118" s="11" t="s">
        <v>327</v>
      </c>
      <c r="F6118" t="s">
        <v>114</v>
      </c>
      <c r="G6118" s="2" t="s">
        <v>31</v>
      </c>
      <c r="H6118" s="1">
        <v>52.893999999999998</v>
      </c>
    </row>
    <row r="6119" spans="1:8" x14ac:dyDescent="0.3">
      <c r="A6119" s="2">
        <v>845</v>
      </c>
      <c r="B6119" t="s">
        <v>479</v>
      </c>
      <c r="C6119" t="s">
        <v>1</v>
      </c>
      <c r="D6119" s="2">
        <v>2</v>
      </c>
      <c r="E6119" s="11" t="s">
        <v>327</v>
      </c>
      <c r="F6119" t="s">
        <v>114</v>
      </c>
      <c r="G6119" s="2" t="s">
        <v>23</v>
      </c>
      <c r="H6119" s="1">
        <v>52.893999999999998</v>
      </c>
    </row>
    <row r="6120" spans="1:8" x14ac:dyDescent="0.3">
      <c r="A6120" s="2">
        <v>845</v>
      </c>
      <c r="B6120" t="s">
        <v>408</v>
      </c>
      <c r="C6120" t="s">
        <v>3219</v>
      </c>
      <c r="D6120" s="2">
        <v>1</v>
      </c>
      <c r="E6120" s="11" t="s">
        <v>350</v>
      </c>
      <c r="F6120" t="s">
        <v>47</v>
      </c>
      <c r="G6120" s="2" t="s">
        <v>4</v>
      </c>
      <c r="H6120" s="1">
        <v>148.29400000000001</v>
      </c>
    </row>
    <row r="6121" spans="1:8" x14ac:dyDescent="0.3">
      <c r="A6121" s="2">
        <v>845</v>
      </c>
      <c r="B6121" t="s">
        <v>407</v>
      </c>
      <c r="C6121" t="s">
        <v>3219</v>
      </c>
      <c r="D6121" s="2">
        <v>1</v>
      </c>
      <c r="E6121" s="11" t="s">
        <v>350</v>
      </c>
      <c r="F6121" t="s">
        <v>47</v>
      </c>
      <c r="G6121" s="2" t="s">
        <v>31</v>
      </c>
      <c r="H6121" s="1">
        <v>148.29400000000001</v>
      </c>
    </row>
    <row r="6122" spans="1:8" x14ac:dyDescent="0.3">
      <c r="A6122" s="2">
        <v>845</v>
      </c>
      <c r="B6122" t="s">
        <v>478</v>
      </c>
      <c r="C6122" t="s">
        <v>3219</v>
      </c>
      <c r="D6122" s="2">
        <v>1</v>
      </c>
      <c r="E6122" s="11" t="s">
        <v>350</v>
      </c>
      <c r="F6122" t="s">
        <v>47</v>
      </c>
      <c r="G6122" s="2" t="s">
        <v>23</v>
      </c>
      <c r="H6122" s="1">
        <v>148.29400000000001</v>
      </c>
    </row>
    <row r="6123" spans="1:8" x14ac:dyDescent="0.3">
      <c r="A6123" s="2">
        <v>845</v>
      </c>
      <c r="B6123" t="s">
        <v>477</v>
      </c>
      <c r="C6123" t="s">
        <v>1</v>
      </c>
      <c r="D6123" s="2">
        <v>1</v>
      </c>
      <c r="E6123" s="11" t="s">
        <v>327</v>
      </c>
      <c r="F6123" t="s">
        <v>47</v>
      </c>
      <c r="G6123" s="2" t="s">
        <v>4</v>
      </c>
      <c r="H6123" s="1">
        <v>52.893999999999998</v>
      </c>
    </row>
    <row r="6124" spans="1:8" x14ac:dyDescent="0.3">
      <c r="A6124" s="2">
        <v>845</v>
      </c>
      <c r="B6124" t="s">
        <v>476</v>
      </c>
      <c r="C6124" t="s">
        <v>1</v>
      </c>
      <c r="D6124" s="2">
        <v>1</v>
      </c>
      <c r="E6124" s="11" t="s">
        <v>327</v>
      </c>
      <c r="F6124" t="s">
        <v>47</v>
      </c>
      <c r="G6124" s="2" t="s">
        <v>31</v>
      </c>
      <c r="H6124" s="1">
        <v>52.893999999999998</v>
      </c>
    </row>
    <row r="6125" spans="1:8" x14ac:dyDescent="0.3">
      <c r="A6125" s="2">
        <v>845</v>
      </c>
      <c r="B6125" t="s">
        <v>475</v>
      </c>
      <c r="C6125" t="s">
        <v>1</v>
      </c>
      <c r="D6125" s="2">
        <v>2</v>
      </c>
      <c r="E6125" s="11" t="s">
        <v>327</v>
      </c>
      <c r="F6125" t="s">
        <v>47</v>
      </c>
      <c r="G6125" s="2" t="s">
        <v>23</v>
      </c>
      <c r="H6125" s="1">
        <v>52.893999999999998</v>
      </c>
    </row>
    <row r="6126" spans="1:8" x14ac:dyDescent="0.3">
      <c r="A6126" s="2">
        <v>845</v>
      </c>
      <c r="B6126" t="s">
        <v>328</v>
      </c>
      <c r="C6126" t="s">
        <v>1</v>
      </c>
      <c r="D6126" s="2">
        <v>1</v>
      </c>
      <c r="E6126" s="11" t="s">
        <v>327</v>
      </c>
      <c r="F6126" t="s">
        <v>28</v>
      </c>
      <c r="G6126" s="2" t="s">
        <v>4</v>
      </c>
      <c r="H6126" s="1">
        <v>52.893999999999998</v>
      </c>
    </row>
    <row r="6127" spans="1:8" x14ac:dyDescent="0.3">
      <c r="A6127" s="2">
        <v>845</v>
      </c>
      <c r="B6127" t="s">
        <v>474</v>
      </c>
      <c r="C6127" t="s">
        <v>1</v>
      </c>
      <c r="D6127" s="2">
        <v>2</v>
      </c>
      <c r="E6127" s="11" t="s">
        <v>327</v>
      </c>
      <c r="F6127" t="s">
        <v>28</v>
      </c>
      <c r="G6127" s="2" t="s">
        <v>31</v>
      </c>
      <c r="H6127" s="1">
        <v>52.893999999999998</v>
      </c>
    </row>
    <row r="6128" spans="1:8" x14ac:dyDescent="0.3">
      <c r="A6128" s="2">
        <v>845</v>
      </c>
      <c r="B6128" t="s">
        <v>473</v>
      </c>
      <c r="C6128" t="s">
        <v>1</v>
      </c>
      <c r="D6128" s="2">
        <v>2</v>
      </c>
      <c r="E6128" s="11" t="s">
        <v>327</v>
      </c>
      <c r="F6128" t="s">
        <v>28</v>
      </c>
      <c r="G6128" s="2" t="s">
        <v>23</v>
      </c>
      <c r="H6128" s="1">
        <v>52.893999999999998</v>
      </c>
    </row>
    <row r="6129" spans="1:8" x14ac:dyDescent="0.3">
      <c r="A6129" s="2">
        <v>846</v>
      </c>
      <c r="B6129" t="s">
        <v>262</v>
      </c>
      <c r="C6129" t="s">
        <v>0</v>
      </c>
      <c r="D6129" s="2">
        <v>1</v>
      </c>
      <c r="E6129" s="11" t="s">
        <v>261</v>
      </c>
      <c r="F6129" t="s">
        <v>65</v>
      </c>
      <c r="G6129" s="2" t="s">
        <v>4</v>
      </c>
      <c r="H6129" s="1">
        <v>173.79400000000001</v>
      </c>
    </row>
    <row r="6130" spans="1:8" x14ac:dyDescent="0.3">
      <c r="A6130" s="2">
        <v>846</v>
      </c>
      <c r="B6130" t="s">
        <v>399</v>
      </c>
      <c r="C6130" t="s">
        <v>0</v>
      </c>
      <c r="D6130" s="2">
        <v>1</v>
      </c>
      <c r="E6130" s="11" t="s">
        <v>291</v>
      </c>
      <c r="F6130" t="s">
        <v>398</v>
      </c>
      <c r="G6130" s="2" t="s">
        <v>31</v>
      </c>
      <c r="H6130" s="1">
        <v>164.19400000000002</v>
      </c>
    </row>
    <row r="6131" spans="1:8" x14ac:dyDescent="0.3">
      <c r="A6131" s="2">
        <v>846</v>
      </c>
      <c r="B6131" t="s">
        <v>472</v>
      </c>
      <c r="C6131" t="s">
        <v>0</v>
      </c>
      <c r="D6131" s="2">
        <v>1</v>
      </c>
      <c r="E6131" s="11" t="s">
        <v>291</v>
      </c>
      <c r="F6131" t="s">
        <v>81</v>
      </c>
      <c r="G6131" s="2" t="s">
        <v>4</v>
      </c>
      <c r="H6131" s="1">
        <v>164.19400000000002</v>
      </c>
    </row>
    <row r="6132" spans="1:8" x14ac:dyDescent="0.3">
      <c r="A6132" s="2">
        <v>846</v>
      </c>
      <c r="B6132" t="s">
        <v>471</v>
      </c>
      <c r="C6132" t="s">
        <v>0</v>
      </c>
      <c r="D6132" s="2">
        <v>1</v>
      </c>
      <c r="E6132" s="11" t="s">
        <v>457</v>
      </c>
      <c r="F6132" t="s">
        <v>114</v>
      </c>
      <c r="G6132" s="2" t="s">
        <v>4</v>
      </c>
      <c r="H6132" s="1">
        <v>217.19400000000002</v>
      </c>
    </row>
    <row r="6133" spans="1:8" x14ac:dyDescent="0.3">
      <c r="A6133" s="2">
        <v>846</v>
      </c>
      <c r="B6133" t="s">
        <v>470</v>
      </c>
      <c r="C6133" t="s">
        <v>0</v>
      </c>
      <c r="D6133" s="2">
        <v>1</v>
      </c>
      <c r="E6133" s="11" t="s">
        <v>457</v>
      </c>
      <c r="F6133" t="s">
        <v>114</v>
      </c>
      <c r="G6133" s="2" t="s">
        <v>31</v>
      </c>
      <c r="H6133" s="1">
        <v>217.19400000000002</v>
      </c>
    </row>
    <row r="6134" spans="1:8" x14ac:dyDescent="0.3">
      <c r="A6134" s="2">
        <v>846</v>
      </c>
      <c r="B6134" t="s">
        <v>469</v>
      </c>
      <c r="C6134" t="s">
        <v>1</v>
      </c>
      <c r="D6134" s="2">
        <v>1</v>
      </c>
      <c r="E6134" s="11" t="s">
        <v>40</v>
      </c>
      <c r="F6134" t="s">
        <v>114</v>
      </c>
      <c r="G6134" s="2" t="s">
        <v>4</v>
      </c>
      <c r="H6134" s="1">
        <v>79.394000000000005</v>
      </c>
    </row>
    <row r="6135" spans="1:8" x14ac:dyDescent="0.3">
      <c r="A6135" s="2">
        <v>846</v>
      </c>
      <c r="B6135" t="s">
        <v>366</v>
      </c>
      <c r="C6135" t="s">
        <v>0</v>
      </c>
      <c r="D6135" s="2">
        <v>1</v>
      </c>
      <c r="E6135" s="11" t="s">
        <v>364</v>
      </c>
      <c r="F6135" t="s">
        <v>114</v>
      </c>
      <c r="G6135" s="2" t="s">
        <v>31</v>
      </c>
      <c r="H6135" s="1">
        <v>180.09400000000002</v>
      </c>
    </row>
    <row r="6136" spans="1:8" x14ac:dyDescent="0.3">
      <c r="A6136" s="2">
        <v>846</v>
      </c>
      <c r="B6136" t="s">
        <v>319</v>
      </c>
      <c r="C6136" t="s">
        <v>1</v>
      </c>
      <c r="D6136" s="2">
        <v>1</v>
      </c>
      <c r="E6136" s="11" t="s">
        <v>316</v>
      </c>
      <c r="F6136" t="s">
        <v>114</v>
      </c>
      <c r="G6136" s="2" t="s">
        <v>23</v>
      </c>
      <c r="H6136" s="1">
        <v>21.094000000000001</v>
      </c>
    </row>
    <row r="6137" spans="1:8" x14ac:dyDescent="0.3">
      <c r="A6137" s="2">
        <v>846</v>
      </c>
      <c r="B6137" t="s">
        <v>468</v>
      </c>
      <c r="C6137" t="s">
        <v>3225</v>
      </c>
      <c r="D6137" s="2">
        <v>1</v>
      </c>
      <c r="E6137" s="11" t="s">
        <v>178</v>
      </c>
      <c r="F6137" t="s">
        <v>47</v>
      </c>
      <c r="G6137" s="2" t="s">
        <v>31</v>
      </c>
      <c r="H6137" s="1">
        <v>158.89400000000001</v>
      </c>
    </row>
    <row r="6138" spans="1:8" x14ac:dyDescent="0.3">
      <c r="A6138" s="2">
        <v>846</v>
      </c>
      <c r="B6138" t="s">
        <v>317</v>
      </c>
      <c r="C6138" t="s">
        <v>1</v>
      </c>
      <c r="D6138" s="2">
        <v>1</v>
      </c>
      <c r="E6138" s="11" t="s">
        <v>316</v>
      </c>
      <c r="F6138" t="s">
        <v>47</v>
      </c>
      <c r="G6138" s="2" t="s">
        <v>31</v>
      </c>
      <c r="H6138" s="1">
        <v>21.094000000000001</v>
      </c>
    </row>
    <row r="6139" spans="1:8" x14ac:dyDescent="0.3">
      <c r="A6139" s="2">
        <v>846</v>
      </c>
      <c r="B6139" t="s">
        <v>467</v>
      </c>
      <c r="C6139" t="s">
        <v>3225</v>
      </c>
      <c r="D6139" s="2">
        <v>1</v>
      </c>
      <c r="E6139" s="11" t="s">
        <v>314</v>
      </c>
      <c r="F6139" t="s">
        <v>47</v>
      </c>
      <c r="G6139" s="2" t="s">
        <v>4</v>
      </c>
      <c r="H6139" s="1">
        <v>158.89400000000001</v>
      </c>
    </row>
    <row r="6140" spans="1:8" x14ac:dyDescent="0.3">
      <c r="A6140" s="2">
        <v>846</v>
      </c>
      <c r="B6140" t="s">
        <v>466</v>
      </c>
      <c r="C6140" t="s">
        <v>0</v>
      </c>
      <c r="D6140" s="2">
        <v>1</v>
      </c>
      <c r="E6140" s="11" t="s">
        <v>261</v>
      </c>
      <c r="F6140" t="s">
        <v>39</v>
      </c>
      <c r="G6140" s="2" t="s">
        <v>23</v>
      </c>
      <c r="H6140" s="1">
        <v>173.79400000000001</v>
      </c>
    </row>
    <row r="6141" spans="1:8" x14ac:dyDescent="0.3">
      <c r="A6141" s="2">
        <v>846</v>
      </c>
      <c r="B6141" t="s">
        <v>465</v>
      </c>
      <c r="C6141" t="s">
        <v>0</v>
      </c>
      <c r="D6141" s="2">
        <v>1</v>
      </c>
      <c r="E6141" s="11" t="s">
        <v>464</v>
      </c>
      <c r="F6141" t="s">
        <v>39</v>
      </c>
      <c r="G6141" s="2" t="s">
        <v>4</v>
      </c>
      <c r="H6141" s="1">
        <v>206.59400000000002</v>
      </c>
    </row>
    <row r="6142" spans="1:8" x14ac:dyDescent="0.3">
      <c r="A6142" s="2">
        <v>846</v>
      </c>
      <c r="B6142" t="s">
        <v>153</v>
      </c>
      <c r="C6142" t="s">
        <v>2</v>
      </c>
      <c r="D6142" s="2">
        <v>1</v>
      </c>
      <c r="E6142" s="11" t="s">
        <v>144</v>
      </c>
      <c r="F6142" t="s">
        <v>39</v>
      </c>
      <c r="G6142" s="2" t="s">
        <v>31</v>
      </c>
      <c r="H6142" s="1">
        <v>142.994</v>
      </c>
    </row>
    <row r="6143" spans="1:8" x14ac:dyDescent="0.3">
      <c r="A6143" s="2">
        <v>846</v>
      </c>
      <c r="B6143" t="s">
        <v>463</v>
      </c>
      <c r="C6143" t="s">
        <v>3224</v>
      </c>
      <c r="D6143" s="2">
        <v>1</v>
      </c>
      <c r="E6143" s="11" t="s">
        <v>462</v>
      </c>
      <c r="F6143" t="s">
        <v>39</v>
      </c>
      <c r="G6143" s="2" t="s">
        <v>31</v>
      </c>
      <c r="H6143" s="1">
        <v>79.394000000000005</v>
      </c>
    </row>
    <row r="6144" spans="1:8" x14ac:dyDescent="0.3">
      <c r="A6144" s="2">
        <v>846</v>
      </c>
      <c r="B6144" t="s">
        <v>461</v>
      </c>
      <c r="C6144" t="s">
        <v>0</v>
      </c>
      <c r="D6144" s="2">
        <v>1</v>
      </c>
      <c r="E6144" s="11" t="s">
        <v>457</v>
      </c>
      <c r="F6144" t="s">
        <v>39</v>
      </c>
      <c r="G6144" s="2" t="s">
        <v>31</v>
      </c>
      <c r="H6144" s="1">
        <v>217.19400000000002</v>
      </c>
    </row>
    <row r="6145" spans="1:8" x14ac:dyDescent="0.3">
      <c r="A6145" s="2">
        <v>846</v>
      </c>
      <c r="B6145" t="s">
        <v>460</v>
      </c>
      <c r="C6145" t="s">
        <v>3225</v>
      </c>
      <c r="D6145" s="2">
        <v>1</v>
      </c>
      <c r="E6145" s="11" t="s">
        <v>314</v>
      </c>
      <c r="F6145" t="s">
        <v>39</v>
      </c>
      <c r="G6145" s="2" t="s">
        <v>31</v>
      </c>
      <c r="H6145" s="1">
        <v>158.89400000000001</v>
      </c>
    </row>
    <row r="6146" spans="1:8" x14ac:dyDescent="0.3">
      <c r="A6146" s="2">
        <v>846</v>
      </c>
      <c r="B6146" t="s">
        <v>445</v>
      </c>
      <c r="C6146" t="s">
        <v>3225</v>
      </c>
      <c r="D6146" s="2">
        <v>1</v>
      </c>
      <c r="E6146" s="11" t="s">
        <v>444</v>
      </c>
      <c r="F6146" t="s">
        <v>36</v>
      </c>
      <c r="G6146" s="2" t="s">
        <v>31</v>
      </c>
      <c r="H6146" s="1">
        <v>180.09400000000002</v>
      </c>
    </row>
    <row r="6147" spans="1:8" x14ac:dyDescent="0.3">
      <c r="A6147" s="2">
        <v>846</v>
      </c>
      <c r="B6147" t="s">
        <v>459</v>
      </c>
      <c r="C6147" t="s">
        <v>0</v>
      </c>
      <c r="D6147" s="2">
        <v>1</v>
      </c>
      <c r="E6147" s="11" t="s">
        <v>261</v>
      </c>
      <c r="F6147" t="s">
        <v>28</v>
      </c>
      <c r="G6147" s="2" t="s">
        <v>31</v>
      </c>
      <c r="H6147" s="1">
        <v>173.79400000000001</v>
      </c>
    </row>
    <row r="6148" spans="1:8" x14ac:dyDescent="0.3">
      <c r="A6148" s="2">
        <v>846</v>
      </c>
      <c r="B6148" t="s">
        <v>458</v>
      </c>
      <c r="C6148" t="s">
        <v>0</v>
      </c>
      <c r="D6148" s="2">
        <v>1</v>
      </c>
      <c r="E6148" s="11" t="s">
        <v>457</v>
      </c>
      <c r="F6148" t="s">
        <v>28</v>
      </c>
      <c r="G6148" s="2" t="s">
        <v>23</v>
      </c>
      <c r="H6148" s="1">
        <v>217.19400000000002</v>
      </c>
    </row>
    <row r="6149" spans="1:8" x14ac:dyDescent="0.3">
      <c r="A6149" s="2">
        <v>846</v>
      </c>
      <c r="B6149" t="s">
        <v>456</v>
      </c>
      <c r="C6149" t="s">
        <v>0</v>
      </c>
      <c r="D6149" s="2">
        <v>1</v>
      </c>
      <c r="E6149" s="11" t="s">
        <v>136</v>
      </c>
      <c r="F6149" t="s">
        <v>28</v>
      </c>
      <c r="G6149" s="2" t="s">
        <v>31</v>
      </c>
      <c r="H6149" s="1">
        <v>158.89400000000001</v>
      </c>
    </row>
    <row r="6150" spans="1:8" x14ac:dyDescent="0.3">
      <c r="A6150" s="2">
        <v>846</v>
      </c>
      <c r="B6150" t="s">
        <v>455</v>
      </c>
      <c r="C6150" t="s">
        <v>0</v>
      </c>
      <c r="D6150" s="2">
        <v>1</v>
      </c>
      <c r="E6150" s="11" t="s">
        <v>364</v>
      </c>
      <c r="F6150" t="s">
        <v>28</v>
      </c>
      <c r="G6150" s="2" t="s">
        <v>4</v>
      </c>
      <c r="H6150" s="1">
        <v>180.09400000000002</v>
      </c>
    </row>
    <row r="6151" spans="1:8" x14ac:dyDescent="0.3">
      <c r="A6151" s="2">
        <v>847</v>
      </c>
      <c r="B6151" t="s">
        <v>454</v>
      </c>
      <c r="C6151" t="s">
        <v>3219</v>
      </c>
      <c r="D6151" s="2">
        <v>1</v>
      </c>
      <c r="E6151" s="11" t="s">
        <v>350</v>
      </c>
      <c r="F6151" t="s">
        <v>55</v>
      </c>
      <c r="G6151" s="2" t="s">
        <v>31</v>
      </c>
      <c r="H6151" s="1">
        <v>148.29400000000001</v>
      </c>
    </row>
    <row r="6152" spans="1:8" x14ac:dyDescent="0.3">
      <c r="A6152" s="2">
        <v>847</v>
      </c>
      <c r="B6152" t="s">
        <v>453</v>
      </c>
      <c r="C6152" t="s">
        <v>0</v>
      </c>
      <c r="D6152" s="2">
        <v>1</v>
      </c>
      <c r="E6152" s="11" t="s">
        <v>264</v>
      </c>
      <c r="F6152" t="s">
        <v>81</v>
      </c>
      <c r="G6152" s="2" t="s">
        <v>31</v>
      </c>
      <c r="H6152" s="1">
        <v>201.29400000000001</v>
      </c>
    </row>
    <row r="6153" spans="1:8" x14ac:dyDescent="0.3">
      <c r="A6153" s="2">
        <v>847</v>
      </c>
      <c r="B6153" t="s">
        <v>394</v>
      </c>
      <c r="C6153" t="s">
        <v>3219</v>
      </c>
      <c r="D6153" s="2">
        <v>1</v>
      </c>
      <c r="E6153" s="11" t="s">
        <v>345</v>
      </c>
      <c r="F6153" t="s">
        <v>344</v>
      </c>
      <c r="G6153" s="2" t="s">
        <v>4</v>
      </c>
      <c r="H6153" s="1">
        <v>142.994</v>
      </c>
    </row>
    <row r="6154" spans="1:8" x14ac:dyDescent="0.3">
      <c r="A6154" s="2">
        <v>847</v>
      </c>
      <c r="B6154" t="s">
        <v>394</v>
      </c>
      <c r="C6154" t="s">
        <v>3219</v>
      </c>
      <c r="D6154" s="2">
        <v>1</v>
      </c>
      <c r="E6154" s="11" t="s">
        <v>345</v>
      </c>
      <c r="F6154" t="s">
        <v>344</v>
      </c>
      <c r="G6154" s="2" t="s">
        <v>4</v>
      </c>
      <c r="H6154" s="1">
        <v>142.994</v>
      </c>
    </row>
    <row r="6155" spans="1:8" x14ac:dyDescent="0.3">
      <c r="A6155" s="2">
        <v>847</v>
      </c>
      <c r="B6155" t="s">
        <v>452</v>
      </c>
      <c r="C6155" t="s">
        <v>3224</v>
      </c>
      <c r="D6155" s="2">
        <v>1</v>
      </c>
      <c r="E6155" s="11" t="s">
        <v>34</v>
      </c>
      <c r="F6155" t="s">
        <v>62</v>
      </c>
      <c r="G6155" s="2" t="s">
        <v>31</v>
      </c>
      <c r="H6155" s="1">
        <v>100.59400000000001</v>
      </c>
    </row>
    <row r="6156" spans="1:8" x14ac:dyDescent="0.3">
      <c r="A6156" s="2">
        <v>847</v>
      </c>
      <c r="B6156" t="s">
        <v>388</v>
      </c>
      <c r="C6156" t="s">
        <v>1</v>
      </c>
      <c r="D6156" s="2">
        <v>1</v>
      </c>
      <c r="E6156" s="11" t="s">
        <v>29</v>
      </c>
      <c r="F6156" t="s">
        <v>114</v>
      </c>
      <c r="G6156" s="2" t="s">
        <v>31</v>
      </c>
      <c r="H6156" s="1">
        <v>74.094000000000008</v>
      </c>
    </row>
    <row r="6157" spans="1:8" x14ac:dyDescent="0.3">
      <c r="A6157" s="2">
        <v>847</v>
      </c>
      <c r="B6157" t="s">
        <v>451</v>
      </c>
      <c r="C6157" t="s">
        <v>3</v>
      </c>
      <c r="D6157" s="2">
        <v>1</v>
      </c>
      <c r="E6157" s="11" t="s">
        <v>450</v>
      </c>
      <c r="F6157" t="s">
        <v>47</v>
      </c>
      <c r="G6157" s="2" t="s">
        <v>4</v>
      </c>
      <c r="H6157" s="1">
        <v>68.794000000000011</v>
      </c>
    </row>
    <row r="6158" spans="1:8" x14ac:dyDescent="0.3">
      <c r="A6158" s="2">
        <v>847</v>
      </c>
      <c r="B6158" t="s">
        <v>449</v>
      </c>
      <c r="C6158" t="s">
        <v>3334</v>
      </c>
      <c r="D6158" s="2">
        <v>1</v>
      </c>
      <c r="E6158" s="11" t="s">
        <v>448</v>
      </c>
      <c r="F6158" t="s">
        <v>39</v>
      </c>
      <c r="G6158" s="2" t="s">
        <v>4</v>
      </c>
      <c r="H6158" s="1">
        <v>164.19400000000002</v>
      </c>
    </row>
    <row r="6159" spans="1:8" x14ac:dyDescent="0.3">
      <c r="A6159" s="2">
        <v>847</v>
      </c>
      <c r="B6159" t="s">
        <v>447</v>
      </c>
      <c r="C6159" t="s">
        <v>3225</v>
      </c>
      <c r="D6159" s="2">
        <v>1</v>
      </c>
      <c r="E6159" s="11" t="s">
        <v>444</v>
      </c>
      <c r="F6159" t="s">
        <v>39</v>
      </c>
      <c r="G6159" s="2" t="s">
        <v>4</v>
      </c>
      <c r="H6159" s="1">
        <v>180.09400000000002</v>
      </c>
    </row>
    <row r="6160" spans="1:8" x14ac:dyDescent="0.3">
      <c r="A6160" s="2">
        <v>847</v>
      </c>
      <c r="B6160" t="s">
        <v>446</v>
      </c>
      <c r="C6160" t="s">
        <v>3</v>
      </c>
      <c r="D6160" s="2">
        <v>1</v>
      </c>
      <c r="E6160" s="11" t="s">
        <v>236</v>
      </c>
      <c r="F6160" t="s">
        <v>39</v>
      </c>
      <c r="G6160" s="2" t="s">
        <v>31</v>
      </c>
      <c r="H6160" s="1">
        <v>79.394000000000005</v>
      </c>
    </row>
    <row r="6161" spans="1:8" x14ac:dyDescent="0.3">
      <c r="A6161" s="2">
        <v>847</v>
      </c>
      <c r="B6161" t="s">
        <v>404</v>
      </c>
      <c r="C6161" t="s">
        <v>3238</v>
      </c>
      <c r="D6161" s="2">
        <v>1</v>
      </c>
      <c r="E6161" s="11" t="s">
        <v>304</v>
      </c>
      <c r="F6161" t="s">
        <v>39</v>
      </c>
      <c r="G6161" s="2" t="s">
        <v>31</v>
      </c>
      <c r="H6161" s="1">
        <v>21.094000000000001</v>
      </c>
    </row>
    <row r="6162" spans="1:8" x14ac:dyDescent="0.3">
      <c r="A6162" s="2">
        <v>847</v>
      </c>
      <c r="B6162" t="s">
        <v>403</v>
      </c>
      <c r="C6162" t="s">
        <v>3</v>
      </c>
      <c r="D6162" s="2">
        <v>1</v>
      </c>
      <c r="E6162" s="11" t="s">
        <v>341</v>
      </c>
      <c r="F6162" t="s">
        <v>39</v>
      </c>
      <c r="G6162" s="2" t="s">
        <v>31</v>
      </c>
      <c r="H6162" s="1">
        <v>79.394000000000005</v>
      </c>
    </row>
    <row r="6163" spans="1:8" x14ac:dyDescent="0.3">
      <c r="A6163" s="2">
        <v>847</v>
      </c>
      <c r="B6163" t="s">
        <v>445</v>
      </c>
      <c r="C6163" t="s">
        <v>3225</v>
      </c>
      <c r="D6163" s="2">
        <v>1</v>
      </c>
      <c r="E6163" s="11" t="s">
        <v>444</v>
      </c>
      <c r="F6163" t="s">
        <v>36</v>
      </c>
      <c r="G6163" s="2" t="s">
        <v>31</v>
      </c>
      <c r="H6163" s="1">
        <v>180.09400000000002</v>
      </c>
    </row>
    <row r="6164" spans="1:8" x14ac:dyDescent="0.3">
      <c r="A6164" s="2">
        <v>847</v>
      </c>
      <c r="B6164" t="s">
        <v>443</v>
      </c>
      <c r="C6164" t="s">
        <v>1</v>
      </c>
      <c r="D6164" s="2">
        <v>1</v>
      </c>
      <c r="E6164" s="11" t="s">
        <v>172</v>
      </c>
      <c r="F6164" t="s">
        <v>36</v>
      </c>
      <c r="G6164" s="2" t="s">
        <v>31</v>
      </c>
      <c r="H6164" s="1">
        <v>47.594000000000001</v>
      </c>
    </row>
    <row r="6165" spans="1:8" x14ac:dyDescent="0.3">
      <c r="A6165" s="2">
        <v>848</v>
      </c>
      <c r="B6165" t="s">
        <v>442</v>
      </c>
      <c r="C6165" t="s">
        <v>0</v>
      </c>
      <c r="D6165" s="2">
        <v>1</v>
      </c>
      <c r="E6165" s="11" t="s">
        <v>261</v>
      </c>
      <c r="F6165" t="s">
        <v>65</v>
      </c>
      <c r="G6165" s="2" t="s">
        <v>23</v>
      </c>
      <c r="H6165" s="1">
        <v>173.79400000000001</v>
      </c>
    </row>
    <row r="6166" spans="1:8" x14ac:dyDescent="0.3">
      <c r="A6166" s="2">
        <v>848</v>
      </c>
      <c r="B6166" t="s">
        <v>441</v>
      </c>
      <c r="C6166" t="s">
        <v>3</v>
      </c>
      <c r="D6166" s="2">
        <v>1</v>
      </c>
      <c r="E6166" s="11" t="s">
        <v>341</v>
      </c>
      <c r="F6166" t="s">
        <v>65</v>
      </c>
      <c r="G6166" s="2" t="s">
        <v>23</v>
      </c>
      <c r="H6166" s="1">
        <v>79.394000000000005</v>
      </c>
    </row>
    <row r="6167" spans="1:8" x14ac:dyDescent="0.3">
      <c r="A6167" s="2">
        <v>848</v>
      </c>
      <c r="B6167" t="s">
        <v>440</v>
      </c>
      <c r="C6167" t="s">
        <v>1</v>
      </c>
      <c r="D6167" s="2">
        <v>1</v>
      </c>
      <c r="E6167" s="11" t="s">
        <v>439</v>
      </c>
      <c r="F6167" t="s">
        <v>65</v>
      </c>
      <c r="G6167" s="2" t="s">
        <v>23</v>
      </c>
      <c r="H6167" s="1">
        <v>74.094000000000008</v>
      </c>
    </row>
    <row r="6168" spans="1:8" x14ac:dyDescent="0.3">
      <c r="A6168" s="2">
        <v>848</v>
      </c>
      <c r="B6168" t="s">
        <v>438</v>
      </c>
      <c r="C6168" t="s">
        <v>3233</v>
      </c>
      <c r="D6168" s="2">
        <v>1</v>
      </c>
      <c r="E6168" s="11" t="s">
        <v>419</v>
      </c>
      <c r="F6168" t="s">
        <v>126</v>
      </c>
      <c r="G6168" s="2" t="s">
        <v>23</v>
      </c>
      <c r="H6168" s="1">
        <v>105.89400000000001</v>
      </c>
    </row>
    <row r="6169" spans="1:8" x14ac:dyDescent="0.3">
      <c r="A6169" s="2">
        <v>848</v>
      </c>
      <c r="B6169" t="s">
        <v>395</v>
      </c>
      <c r="C6169" t="s">
        <v>3219</v>
      </c>
      <c r="D6169" s="2">
        <v>1</v>
      </c>
      <c r="E6169" s="11" t="s">
        <v>345</v>
      </c>
      <c r="F6169" t="s">
        <v>344</v>
      </c>
      <c r="G6169" s="2" t="s">
        <v>23</v>
      </c>
      <c r="H6169" s="1">
        <v>142.994</v>
      </c>
    </row>
    <row r="6170" spans="1:8" x14ac:dyDescent="0.3">
      <c r="A6170" s="2">
        <v>848</v>
      </c>
      <c r="B6170" t="s">
        <v>395</v>
      </c>
      <c r="C6170" t="s">
        <v>3219</v>
      </c>
      <c r="D6170" s="2">
        <v>1</v>
      </c>
      <c r="E6170" s="11" t="s">
        <v>345</v>
      </c>
      <c r="F6170" t="s">
        <v>344</v>
      </c>
      <c r="G6170" s="2" t="s">
        <v>23</v>
      </c>
      <c r="H6170" s="1">
        <v>142.994</v>
      </c>
    </row>
    <row r="6171" spans="1:8" x14ac:dyDescent="0.3">
      <c r="A6171" s="2">
        <v>848</v>
      </c>
      <c r="B6171" t="s">
        <v>437</v>
      </c>
      <c r="C6171" t="s">
        <v>1</v>
      </c>
      <c r="D6171" s="2">
        <v>1</v>
      </c>
      <c r="E6171" s="11" t="s">
        <v>29</v>
      </c>
      <c r="F6171" t="s">
        <v>114</v>
      </c>
      <c r="G6171" s="2" t="s">
        <v>23</v>
      </c>
      <c r="H6171" s="1">
        <v>74.094000000000008</v>
      </c>
    </row>
    <row r="6172" spans="1:8" x14ac:dyDescent="0.3">
      <c r="A6172" s="2">
        <v>848</v>
      </c>
      <c r="B6172" t="s">
        <v>319</v>
      </c>
      <c r="C6172" t="s">
        <v>1</v>
      </c>
      <c r="D6172" s="2">
        <v>1</v>
      </c>
      <c r="E6172" s="11" t="s">
        <v>316</v>
      </c>
      <c r="F6172" t="s">
        <v>114</v>
      </c>
      <c r="G6172" s="2" t="s">
        <v>23</v>
      </c>
      <c r="H6172" s="1">
        <v>21.094000000000001</v>
      </c>
    </row>
    <row r="6173" spans="1:8" x14ac:dyDescent="0.3">
      <c r="A6173" s="2">
        <v>848</v>
      </c>
      <c r="B6173" t="s">
        <v>436</v>
      </c>
      <c r="C6173" t="s">
        <v>3365</v>
      </c>
      <c r="D6173" s="2">
        <v>1</v>
      </c>
      <c r="E6173" s="11" t="s">
        <v>373</v>
      </c>
      <c r="F6173" t="s">
        <v>47</v>
      </c>
      <c r="G6173" s="2" t="s">
        <v>23</v>
      </c>
      <c r="H6173" s="1">
        <v>164.19400000000002</v>
      </c>
    </row>
    <row r="6174" spans="1:8" x14ac:dyDescent="0.3">
      <c r="A6174" s="2">
        <v>848</v>
      </c>
      <c r="B6174" t="s">
        <v>435</v>
      </c>
      <c r="C6174" t="s">
        <v>3</v>
      </c>
      <c r="D6174" s="2">
        <v>1</v>
      </c>
      <c r="E6174" s="11" t="s">
        <v>434</v>
      </c>
      <c r="F6174" t="s">
        <v>47</v>
      </c>
      <c r="G6174" s="2" t="s">
        <v>23</v>
      </c>
      <c r="H6174" s="1">
        <v>105.89400000000001</v>
      </c>
    </row>
    <row r="6175" spans="1:8" x14ac:dyDescent="0.3">
      <c r="A6175" s="2">
        <v>848</v>
      </c>
      <c r="B6175" t="s">
        <v>433</v>
      </c>
      <c r="C6175" t="s">
        <v>3</v>
      </c>
      <c r="D6175" s="2">
        <v>1</v>
      </c>
      <c r="E6175" s="11" t="s">
        <v>236</v>
      </c>
      <c r="F6175" t="s">
        <v>47</v>
      </c>
      <c r="G6175" s="2" t="s">
        <v>23</v>
      </c>
      <c r="H6175" s="1">
        <v>79.394000000000005</v>
      </c>
    </row>
    <row r="6176" spans="1:8" x14ac:dyDescent="0.3">
      <c r="A6176" s="2">
        <v>848</v>
      </c>
      <c r="B6176" t="s">
        <v>432</v>
      </c>
      <c r="C6176" t="s">
        <v>3233</v>
      </c>
      <c r="D6176" s="2">
        <v>1</v>
      </c>
      <c r="E6176" s="11" t="s">
        <v>332</v>
      </c>
      <c r="F6176" t="s">
        <v>47</v>
      </c>
      <c r="G6176" s="2" t="s">
        <v>23</v>
      </c>
      <c r="H6176" s="1">
        <v>132.39400000000001</v>
      </c>
    </row>
    <row r="6177" spans="1:8" x14ac:dyDescent="0.3">
      <c r="A6177" s="2">
        <v>848</v>
      </c>
      <c r="B6177" t="s">
        <v>431</v>
      </c>
      <c r="C6177" t="s">
        <v>1</v>
      </c>
      <c r="D6177" s="2">
        <v>1</v>
      </c>
      <c r="E6177" s="11" t="s">
        <v>29</v>
      </c>
      <c r="F6177" t="s">
        <v>47</v>
      </c>
      <c r="G6177" s="2" t="s">
        <v>23</v>
      </c>
      <c r="H6177" s="1">
        <v>74.094000000000008</v>
      </c>
    </row>
    <row r="6178" spans="1:8" x14ac:dyDescent="0.3">
      <c r="A6178" s="2">
        <v>848</v>
      </c>
      <c r="B6178" t="s">
        <v>430</v>
      </c>
      <c r="C6178" t="s">
        <v>0</v>
      </c>
      <c r="D6178" s="2">
        <v>1</v>
      </c>
      <c r="E6178" s="11" t="s">
        <v>429</v>
      </c>
      <c r="F6178" t="s">
        <v>47</v>
      </c>
      <c r="G6178" s="2" t="s">
        <v>23</v>
      </c>
      <c r="H6178" s="1">
        <v>148.29400000000001</v>
      </c>
    </row>
    <row r="6179" spans="1:8" x14ac:dyDescent="0.3">
      <c r="A6179" s="2">
        <v>848</v>
      </c>
      <c r="B6179" t="s">
        <v>428</v>
      </c>
      <c r="C6179" t="s">
        <v>0</v>
      </c>
      <c r="D6179" s="2">
        <v>1</v>
      </c>
      <c r="E6179" s="11" t="s">
        <v>364</v>
      </c>
      <c r="F6179" t="s">
        <v>47</v>
      </c>
      <c r="G6179" s="2" t="s">
        <v>23</v>
      </c>
      <c r="H6179" s="1">
        <v>180.09400000000002</v>
      </c>
    </row>
    <row r="6180" spans="1:8" x14ac:dyDescent="0.3">
      <c r="A6180" s="2">
        <v>848</v>
      </c>
      <c r="B6180" t="s">
        <v>427</v>
      </c>
      <c r="C6180" t="s">
        <v>1</v>
      </c>
      <c r="D6180" s="2">
        <v>1</v>
      </c>
      <c r="E6180" s="11" t="s">
        <v>316</v>
      </c>
      <c r="F6180" t="s">
        <v>47</v>
      </c>
      <c r="G6180" s="2" t="s">
        <v>23</v>
      </c>
      <c r="H6180" s="1">
        <v>21.094000000000001</v>
      </c>
    </row>
    <row r="6181" spans="1:8" x14ac:dyDescent="0.3">
      <c r="A6181" s="2">
        <v>848</v>
      </c>
      <c r="B6181" t="s">
        <v>426</v>
      </c>
      <c r="C6181" t="s">
        <v>3217</v>
      </c>
      <c r="D6181" s="2">
        <v>1</v>
      </c>
      <c r="E6181" s="11" t="s">
        <v>425</v>
      </c>
      <c r="F6181" t="s">
        <v>39</v>
      </c>
      <c r="G6181" s="2" t="s">
        <v>23</v>
      </c>
      <c r="H6181" s="1">
        <v>84.694000000000017</v>
      </c>
    </row>
    <row r="6182" spans="1:8" x14ac:dyDescent="0.3">
      <c r="A6182" s="2">
        <v>848</v>
      </c>
      <c r="B6182" t="s">
        <v>424</v>
      </c>
      <c r="C6182" t="s">
        <v>3</v>
      </c>
      <c r="D6182" s="2">
        <v>1</v>
      </c>
      <c r="E6182" s="11" t="s">
        <v>236</v>
      </c>
      <c r="F6182" t="s">
        <v>39</v>
      </c>
      <c r="G6182" s="2" t="s">
        <v>23</v>
      </c>
      <c r="H6182" s="1">
        <v>79.394000000000005</v>
      </c>
    </row>
    <row r="6183" spans="1:8" x14ac:dyDescent="0.3">
      <c r="A6183" s="2">
        <v>848</v>
      </c>
      <c r="B6183" t="s">
        <v>305</v>
      </c>
      <c r="C6183" t="s">
        <v>3238</v>
      </c>
      <c r="D6183" s="2">
        <v>1</v>
      </c>
      <c r="E6183" s="11" t="s">
        <v>304</v>
      </c>
      <c r="F6183" t="s">
        <v>39</v>
      </c>
      <c r="G6183" s="2" t="s">
        <v>23</v>
      </c>
      <c r="H6183" s="1">
        <v>21.094000000000001</v>
      </c>
    </row>
    <row r="6184" spans="1:8" x14ac:dyDescent="0.3">
      <c r="A6184" s="2">
        <v>848</v>
      </c>
      <c r="B6184" t="s">
        <v>423</v>
      </c>
      <c r="C6184" t="s">
        <v>3</v>
      </c>
      <c r="D6184" s="2">
        <v>1</v>
      </c>
      <c r="E6184" s="11" t="s">
        <v>341</v>
      </c>
      <c r="F6184" t="s">
        <v>39</v>
      </c>
      <c r="G6184" s="2" t="s">
        <v>23</v>
      </c>
      <c r="H6184" s="1">
        <v>79.394000000000005</v>
      </c>
    </row>
    <row r="6185" spans="1:8" x14ac:dyDescent="0.3">
      <c r="A6185" s="2">
        <v>849</v>
      </c>
      <c r="B6185" t="s">
        <v>422</v>
      </c>
      <c r="C6185" t="s">
        <v>3</v>
      </c>
      <c r="D6185" s="2">
        <v>1</v>
      </c>
      <c r="E6185" s="11" t="s">
        <v>341</v>
      </c>
      <c r="F6185" t="s">
        <v>65</v>
      </c>
      <c r="G6185" s="2" t="s">
        <v>4</v>
      </c>
      <c r="H6185" s="1">
        <v>79.394000000000005</v>
      </c>
    </row>
    <row r="6186" spans="1:8" x14ac:dyDescent="0.3">
      <c r="A6186" s="2">
        <v>849</v>
      </c>
      <c r="B6186" t="s">
        <v>421</v>
      </c>
      <c r="C6186" t="s">
        <v>3</v>
      </c>
      <c r="D6186" s="2">
        <v>1</v>
      </c>
      <c r="E6186" s="11" t="s">
        <v>341</v>
      </c>
      <c r="F6186" t="s">
        <v>65</v>
      </c>
      <c r="G6186" s="2" t="s">
        <v>31</v>
      </c>
      <c r="H6186" s="1">
        <v>79.394000000000005</v>
      </c>
    </row>
    <row r="6187" spans="1:8" x14ac:dyDescent="0.3">
      <c r="A6187" s="2">
        <v>849</v>
      </c>
      <c r="B6187" t="s">
        <v>420</v>
      </c>
      <c r="C6187" t="s">
        <v>3233</v>
      </c>
      <c r="D6187" s="2">
        <v>1</v>
      </c>
      <c r="E6187" s="11" t="s">
        <v>419</v>
      </c>
      <c r="F6187" t="s">
        <v>126</v>
      </c>
      <c r="G6187" s="2" t="s">
        <v>31</v>
      </c>
      <c r="H6187" s="1">
        <v>105.89400000000001</v>
      </c>
    </row>
    <row r="6188" spans="1:8" x14ac:dyDescent="0.3">
      <c r="A6188" s="2">
        <v>849</v>
      </c>
      <c r="B6188" t="s">
        <v>238</v>
      </c>
      <c r="C6188" t="s">
        <v>3224</v>
      </c>
      <c r="D6188" s="2">
        <v>1</v>
      </c>
      <c r="E6188" s="11" t="s">
        <v>191</v>
      </c>
      <c r="F6188" t="s">
        <v>114</v>
      </c>
      <c r="G6188" s="2" t="s">
        <v>31</v>
      </c>
      <c r="H6188" s="1">
        <v>63.494000000000007</v>
      </c>
    </row>
    <row r="6189" spans="1:8" x14ac:dyDescent="0.3">
      <c r="A6189" s="2">
        <v>849</v>
      </c>
      <c r="B6189" t="s">
        <v>418</v>
      </c>
      <c r="C6189" t="s">
        <v>0</v>
      </c>
      <c r="D6189" s="2">
        <v>1</v>
      </c>
      <c r="E6189" s="11" t="s">
        <v>217</v>
      </c>
      <c r="F6189" t="s">
        <v>114</v>
      </c>
      <c r="G6189" s="2" t="s">
        <v>23</v>
      </c>
      <c r="H6189" s="1">
        <v>142.994</v>
      </c>
    </row>
    <row r="6190" spans="1:8" x14ac:dyDescent="0.3">
      <c r="A6190" s="2">
        <v>849</v>
      </c>
      <c r="B6190" t="s">
        <v>417</v>
      </c>
      <c r="C6190" t="s">
        <v>0</v>
      </c>
      <c r="D6190" s="2">
        <v>1</v>
      </c>
      <c r="E6190" s="11" t="s">
        <v>413</v>
      </c>
      <c r="F6190" t="s">
        <v>114</v>
      </c>
      <c r="G6190" s="2" t="s">
        <v>23</v>
      </c>
      <c r="H6190" s="1">
        <v>132.39400000000001</v>
      </c>
    </row>
    <row r="6191" spans="1:8" x14ac:dyDescent="0.3">
      <c r="A6191" s="2">
        <v>849</v>
      </c>
      <c r="B6191" t="s">
        <v>225</v>
      </c>
      <c r="C6191" t="s">
        <v>3224</v>
      </c>
      <c r="D6191" s="2">
        <v>1</v>
      </c>
      <c r="E6191" s="11" t="s">
        <v>191</v>
      </c>
      <c r="F6191" t="s">
        <v>47</v>
      </c>
      <c r="G6191" s="2" t="s">
        <v>31</v>
      </c>
      <c r="H6191" s="1">
        <v>63.494000000000007</v>
      </c>
    </row>
    <row r="6192" spans="1:8" x14ac:dyDescent="0.3">
      <c r="A6192" s="2">
        <v>849</v>
      </c>
      <c r="B6192" t="s">
        <v>224</v>
      </c>
      <c r="C6192" t="s">
        <v>3224</v>
      </c>
      <c r="D6192" s="2">
        <v>1</v>
      </c>
      <c r="E6192" s="11" t="s">
        <v>191</v>
      </c>
      <c r="F6192" t="s">
        <v>47</v>
      </c>
      <c r="G6192" s="2" t="s">
        <v>23</v>
      </c>
      <c r="H6192" s="1">
        <v>63.494000000000007</v>
      </c>
    </row>
    <row r="6193" spans="1:8" x14ac:dyDescent="0.3">
      <c r="A6193" s="2">
        <v>849</v>
      </c>
      <c r="B6193" t="s">
        <v>52</v>
      </c>
      <c r="C6193" t="s">
        <v>2</v>
      </c>
      <c r="D6193" s="2">
        <v>1</v>
      </c>
      <c r="E6193" s="11" t="s">
        <v>51</v>
      </c>
      <c r="F6193" t="s">
        <v>47</v>
      </c>
      <c r="G6193" s="2" t="s">
        <v>4</v>
      </c>
      <c r="H6193" s="1">
        <v>111.19400000000002</v>
      </c>
    </row>
    <row r="6194" spans="1:8" x14ac:dyDescent="0.3">
      <c r="A6194" s="2">
        <v>849</v>
      </c>
      <c r="B6194" t="s">
        <v>416</v>
      </c>
      <c r="C6194" t="s">
        <v>2</v>
      </c>
      <c r="D6194" s="2">
        <v>1</v>
      </c>
      <c r="E6194" s="11" t="s">
        <v>51</v>
      </c>
      <c r="F6194" t="s">
        <v>47</v>
      </c>
      <c r="G6194" s="2" t="s">
        <v>31</v>
      </c>
      <c r="H6194" s="1">
        <v>111.19400000000002</v>
      </c>
    </row>
    <row r="6195" spans="1:8" x14ac:dyDescent="0.3">
      <c r="A6195" s="2">
        <v>849</v>
      </c>
      <c r="B6195" t="s">
        <v>415</v>
      </c>
      <c r="C6195" t="s">
        <v>2</v>
      </c>
      <c r="D6195" s="2">
        <v>1</v>
      </c>
      <c r="E6195" s="11" t="s">
        <v>51</v>
      </c>
      <c r="F6195" t="s">
        <v>47</v>
      </c>
      <c r="G6195" s="2" t="s">
        <v>23</v>
      </c>
      <c r="H6195" s="1">
        <v>111.19400000000002</v>
      </c>
    </row>
    <row r="6196" spans="1:8" x14ac:dyDescent="0.3">
      <c r="A6196" s="2">
        <v>849</v>
      </c>
      <c r="B6196" t="s">
        <v>218</v>
      </c>
      <c r="C6196" t="s">
        <v>0</v>
      </c>
      <c r="D6196" s="2">
        <v>1</v>
      </c>
      <c r="E6196" s="11" t="s">
        <v>217</v>
      </c>
      <c r="F6196" t="s">
        <v>47</v>
      </c>
      <c r="G6196" s="2" t="s">
        <v>31</v>
      </c>
      <c r="H6196" s="1">
        <v>142.994</v>
      </c>
    </row>
    <row r="6197" spans="1:8" x14ac:dyDescent="0.3">
      <c r="A6197" s="2">
        <v>849</v>
      </c>
      <c r="B6197" t="s">
        <v>414</v>
      </c>
      <c r="C6197" t="s">
        <v>0</v>
      </c>
      <c r="D6197" s="2">
        <v>1</v>
      </c>
      <c r="E6197" s="11" t="s">
        <v>413</v>
      </c>
      <c r="F6197" t="s">
        <v>28</v>
      </c>
      <c r="G6197" s="2" t="s">
        <v>31</v>
      </c>
      <c r="H6197" s="1">
        <v>132.39400000000001</v>
      </c>
    </row>
    <row r="6198" spans="1:8" x14ac:dyDescent="0.3">
      <c r="A6198" s="2">
        <v>850</v>
      </c>
      <c r="B6198" t="s">
        <v>412</v>
      </c>
      <c r="C6198" t="s">
        <v>3219</v>
      </c>
      <c r="D6198" s="2">
        <v>1</v>
      </c>
      <c r="E6198" s="11" t="s">
        <v>350</v>
      </c>
      <c r="F6198" t="s">
        <v>55</v>
      </c>
      <c r="G6198" s="2" t="s">
        <v>4</v>
      </c>
      <c r="H6198" s="1">
        <v>148.29400000000001</v>
      </c>
    </row>
    <row r="6199" spans="1:8" x14ac:dyDescent="0.3">
      <c r="A6199" s="2">
        <v>850</v>
      </c>
      <c r="B6199" t="s">
        <v>411</v>
      </c>
      <c r="C6199" t="s">
        <v>3238</v>
      </c>
      <c r="D6199" s="2">
        <v>1</v>
      </c>
      <c r="E6199" s="11" t="s">
        <v>304</v>
      </c>
      <c r="F6199" t="s">
        <v>126</v>
      </c>
      <c r="G6199" s="2" t="s">
        <v>31</v>
      </c>
      <c r="H6199" s="1">
        <v>21.094000000000001</v>
      </c>
    </row>
    <row r="6200" spans="1:8" x14ac:dyDescent="0.3">
      <c r="A6200" s="2">
        <v>850</v>
      </c>
      <c r="B6200" t="s">
        <v>349</v>
      </c>
      <c r="C6200" t="s">
        <v>3</v>
      </c>
      <c r="D6200" s="2">
        <v>1</v>
      </c>
      <c r="E6200" s="11" t="s">
        <v>341</v>
      </c>
      <c r="F6200" t="s">
        <v>126</v>
      </c>
      <c r="G6200" s="2" t="s">
        <v>31</v>
      </c>
      <c r="H6200" s="1">
        <v>79.394000000000005</v>
      </c>
    </row>
    <row r="6201" spans="1:8" x14ac:dyDescent="0.3">
      <c r="A6201" s="2">
        <v>850</v>
      </c>
      <c r="B6201" t="s">
        <v>394</v>
      </c>
      <c r="C6201" t="s">
        <v>3219</v>
      </c>
      <c r="D6201" s="2">
        <v>1</v>
      </c>
      <c r="E6201" s="11" t="s">
        <v>345</v>
      </c>
      <c r="F6201" t="s">
        <v>344</v>
      </c>
      <c r="G6201" s="2" t="s">
        <v>4</v>
      </c>
      <c r="H6201" s="1">
        <v>142.994</v>
      </c>
    </row>
    <row r="6202" spans="1:8" x14ac:dyDescent="0.3">
      <c r="A6202" s="2">
        <v>850</v>
      </c>
      <c r="B6202" t="s">
        <v>394</v>
      </c>
      <c r="C6202" t="s">
        <v>3219</v>
      </c>
      <c r="D6202" s="2">
        <v>1</v>
      </c>
      <c r="E6202" s="11" t="s">
        <v>345</v>
      </c>
      <c r="F6202" t="s">
        <v>344</v>
      </c>
      <c r="G6202" s="2" t="s">
        <v>4</v>
      </c>
      <c r="H6202" s="1">
        <v>142.994</v>
      </c>
    </row>
    <row r="6203" spans="1:8" x14ac:dyDescent="0.3">
      <c r="A6203" s="2">
        <v>850</v>
      </c>
      <c r="B6203" t="s">
        <v>394</v>
      </c>
      <c r="C6203" t="s">
        <v>3219</v>
      </c>
      <c r="D6203" s="2">
        <v>1</v>
      </c>
      <c r="E6203" s="11" t="s">
        <v>345</v>
      </c>
      <c r="F6203" t="s">
        <v>344</v>
      </c>
      <c r="G6203" s="2" t="s">
        <v>4</v>
      </c>
      <c r="H6203" s="1">
        <v>142.994</v>
      </c>
    </row>
    <row r="6204" spans="1:8" x14ac:dyDescent="0.3">
      <c r="A6204" s="2">
        <v>850</v>
      </c>
      <c r="B6204" t="s">
        <v>163</v>
      </c>
      <c r="C6204" t="s">
        <v>3220</v>
      </c>
      <c r="D6204" s="2">
        <v>1</v>
      </c>
      <c r="E6204" s="11" t="s">
        <v>138</v>
      </c>
      <c r="F6204" t="s">
        <v>114</v>
      </c>
      <c r="G6204" s="2" t="s">
        <v>31</v>
      </c>
      <c r="H6204" s="1">
        <v>79.394000000000005</v>
      </c>
    </row>
    <row r="6205" spans="1:8" x14ac:dyDescent="0.3">
      <c r="A6205" s="2">
        <v>850</v>
      </c>
      <c r="B6205" t="s">
        <v>410</v>
      </c>
      <c r="C6205" t="s">
        <v>3219</v>
      </c>
      <c r="D6205" s="2">
        <v>1</v>
      </c>
      <c r="E6205" s="11" t="s">
        <v>350</v>
      </c>
      <c r="F6205" t="s">
        <v>114</v>
      </c>
      <c r="G6205" s="2" t="s">
        <v>4</v>
      </c>
      <c r="H6205" s="1">
        <v>148.29400000000001</v>
      </c>
    </row>
    <row r="6206" spans="1:8" x14ac:dyDescent="0.3">
      <c r="A6206" s="2">
        <v>850</v>
      </c>
      <c r="B6206" t="s">
        <v>409</v>
      </c>
      <c r="C6206" t="s">
        <v>3220</v>
      </c>
      <c r="D6206" s="2">
        <v>1</v>
      </c>
      <c r="E6206" s="11" t="s">
        <v>138</v>
      </c>
      <c r="F6206" t="s">
        <v>47</v>
      </c>
      <c r="G6206" s="2" t="s">
        <v>31</v>
      </c>
      <c r="H6206" s="1">
        <v>79.394000000000005</v>
      </c>
    </row>
    <row r="6207" spans="1:8" x14ac:dyDescent="0.3">
      <c r="A6207" s="2">
        <v>850</v>
      </c>
      <c r="B6207" t="s">
        <v>408</v>
      </c>
      <c r="C6207" t="s">
        <v>3219</v>
      </c>
      <c r="D6207" s="2">
        <v>1</v>
      </c>
      <c r="E6207" s="11" t="s">
        <v>350</v>
      </c>
      <c r="F6207" t="s">
        <v>47</v>
      </c>
      <c r="G6207" s="2" t="s">
        <v>4</v>
      </c>
      <c r="H6207" s="1">
        <v>148.29400000000001</v>
      </c>
    </row>
    <row r="6208" spans="1:8" x14ac:dyDescent="0.3">
      <c r="A6208" s="2">
        <v>850</v>
      </c>
      <c r="B6208" t="s">
        <v>407</v>
      </c>
      <c r="C6208" t="s">
        <v>3219</v>
      </c>
      <c r="D6208" s="2">
        <v>1</v>
      </c>
      <c r="E6208" s="11" t="s">
        <v>350</v>
      </c>
      <c r="F6208" t="s">
        <v>47</v>
      </c>
      <c r="G6208" s="2" t="s">
        <v>31</v>
      </c>
      <c r="H6208" s="1">
        <v>148.29400000000001</v>
      </c>
    </row>
    <row r="6209" spans="1:8" x14ac:dyDescent="0.3">
      <c r="A6209" s="2">
        <v>850</v>
      </c>
      <c r="B6209" t="s">
        <v>406</v>
      </c>
      <c r="C6209" t="s">
        <v>3224</v>
      </c>
      <c r="D6209" s="2">
        <v>1</v>
      </c>
      <c r="E6209" s="11" t="s">
        <v>379</v>
      </c>
      <c r="F6209" t="s">
        <v>39</v>
      </c>
      <c r="G6209" s="2" t="s">
        <v>31</v>
      </c>
      <c r="H6209" s="1">
        <v>89.994000000000014</v>
      </c>
    </row>
    <row r="6210" spans="1:8" x14ac:dyDescent="0.3">
      <c r="A6210" s="2">
        <v>850</v>
      </c>
      <c r="B6210" t="s">
        <v>405</v>
      </c>
      <c r="C6210" t="s">
        <v>2</v>
      </c>
      <c r="D6210" s="2">
        <v>1</v>
      </c>
      <c r="E6210" s="11" t="s">
        <v>377</v>
      </c>
      <c r="F6210" t="s">
        <v>39</v>
      </c>
      <c r="G6210" s="2" t="s">
        <v>31</v>
      </c>
      <c r="H6210" s="1">
        <v>89.994000000000014</v>
      </c>
    </row>
    <row r="6211" spans="1:8" x14ac:dyDescent="0.3">
      <c r="A6211" s="2">
        <v>850</v>
      </c>
      <c r="B6211" t="s">
        <v>404</v>
      </c>
      <c r="C6211" t="s">
        <v>3238</v>
      </c>
      <c r="D6211" s="2">
        <v>1</v>
      </c>
      <c r="E6211" s="11" t="s">
        <v>304</v>
      </c>
      <c r="F6211" t="s">
        <v>39</v>
      </c>
      <c r="G6211" s="2" t="s">
        <v>31</v>
      </c>
      <c r="H6211" s="1">
        <v>21.094000000000001</v>
      </c>
    </row>
    <row r="6212" spans="1:8" x14ac:dyDescent="0.3">
      <c r="A6212" s="2">
        <v>850</v>
      </c>
      <c r="B6212" t="s">
        <v>403</v>
      </c>
      <c r="C6212" t="s">
        <v>3</v>
      </c>
      <c r="D6212" s="2">
        <v>1</v>
      </c>
      <c r="E6212" s="11" t="s">
        <v>341</v>
      </c>
      <c r="F6212" t="s">
        <v>39</v>
      </c>
      <c r="G6212" s="2" t="s">
        <v>31</v>
      </c>
      <c r="H6212" s="1">
        <v>79.394000000000005</v>
      </c>
    </row>
    <row r="6213" spans="1:8" x14ac:dyDescent="0.3">
      <c r="A6213" s="2">
        <v>850</v>
      </c>
      <c r="B6213" t="s">
        <v>402</v>
      </c>
      <c r="C6213" t="s">
        <v>3220</v>
      </c>
      <c r="D6213" s="2">
        <v>1</v>
      </c>
      <c r="E6213" s="11" t="s">
        <v>138</v>
      </c>
      <c r="F6213" t="s">
        <v>36</v>
      </c>
      <c r="G6213" s="2" t="s">
        <v>31</v>
      </c>
      <c r="H6213" s="1">
        <v>79.394000000000005</v>
      </c>
    </row>
    <row r="6214" spans="1:8" x14ac:dyDescent="0.3">
      <c r="A6214" s="2">
        <v>850</v>
      </c>
      <c r="B6214" t="s">
        <v>139</v>
      </c>
      <c r="C6214" t="s">
        <v>3220</v>
      </c>
      <c r="D6214" s="2">
        <v>1</v>
      </c>
      <c r="E6214" s="11" t="s">
        <v>138</v>
      </c>
      <c r="F6214" t="s">
        <v>28</v>
      </c>
      <c r="G6214" s="2" t="s">
        <v>31</v>
      </c>
      <c r="H6214" s="1">
        <v>79.394000000000005</v>
      </c>
    </row>
    <row r="6215" spans="1:8" x14ac:dyDescent="0.3">
      <c r="A6215" s="2">
        <v>851</v>
      </c>
      <c r="B6215" t="s">
        <v>401</v>
      </c>
      <c r="C6215" t="s">
        <v>1</v>
      </c>
      <c r="D6215" s="2">
        <v>1</v>
      </c>
      <c r="E6215" s="11" t="s">
        <v>385</v>
      </c>
      <c r="F6215" t="s">
        <v>65</v>
      </c>
      <c r="G6215" s="2" t="s">
        <v>31</v>
      </c>
      <c r="H6215" s="1">
        <v>79.394000000000005</v>
      </c>
    </row>
    <row r="6216" spans="1:8" x14ac:dyDescent="0.3">
      <c r="A6216" s="2">
        <v>851</v>
      </c>
      <c r="B6216" t="s">
        <v>400</v>
      </c>
      <c r="C6216" t="s">
        <v>3219</v>
      </c>
      <c r="D6216" s="2">
        <v>1</v>
      </c>
      <c r="E6216" s="11" t="s">
        <v>66</v>
      </c>
      <c r="F6216" t="s">
        <v>126</v>
      </c>
      <c r="G6216" s="2" t="s">
        <v>23</v>
      </c>
      <c r="H6216" s="1">
        <v>180.09400000000002</v>
      </c>
    </row>
    <row r="6217" spans="1:8" x14ac:dyDescent="0.3">
      <c r="A6217" s="2">
        <v>851</v>
      </c>
      <c r="B6217" t="s">
        <v>399</v>
      </c>
      <c r="C6217" t="s">
        <v>0</v>
      </c>
      <c r="D6217" s="2">
        <v>1</v>
      </c>
      <c r="E6217" s="11" t="s">
        <v>291</v>
      </c>
      <c r="F6217" t="s">
        <v>398</v>
      </c>
      <c r="G6217" s="2" t="s">
        <v>31</v>
      </c>
      <c r="H6217" s="1">
        <v>164.19400000000002</v>
      </c>
    </row>
    <row r="6218" spans="1:8" x14ac:dyDescent="0.3">
      <c r="A6218" s="2">
        <v>851</v>
      </c>
      <c r="B6218" t="s">
        <v>397</v>
      </c>
      <c r="C6218" t="s">
        <v>0</v>
      </c>
      <c r="D6218" s="2">
        <v>1</v>
      </c>
      <c r="E6218" s="11" t="s">
        <v>396</v>
      </c>
      <c r="F6218" t="s">
        <v>81</v>
      </c>
      <c r="G6218" s="2" t="s">
        <v>23</v>
      </c>
      <c r="H6218" s="1">
        <v>164.19400000000002</v>
      </c>
    </row>
    <row r="6219" spans="1:8" x14ac:dyDescent="0.3">
      <c r="A6219" s="2">
        <v>851</v>
      </c>
      <c r="B6219" t="s">
        <v>393</v>
      </c>
      <c r="C6219" t="s">
        <v>3219</v>
      </c>
      <c r="D6219" s="2">
        <v>1</v>
      </c>
      <c r="E6219" s="11" t="s">
        <v>345</v>
      </c>
      <c r="F6219" t="s">
        <v>344</v>
      </c>
      <c r="G6219" s="2" t="s">
        <v>203</v>
      </c>
      <c r="H6219" s="1">
        <v>142.994</v>
      </c>
    </row>
    <row r="6220" spans="1:8" x14ac:dyDescent="0.3">
      <c r="A6220" s="2">
        <v>851</v>
      </c>
      <c r="B6220" t="s">
        <v>394</v>
      </c>
      <c r="C6220" t="s">
        <v>3219</v>
      </c>
      <c r="D6220" s="2">
        <v>1</v>
      </c>
      <c r="E6220" s="11" t="s">
        <v>345</v>
      </c>
      <c r="F6220" t="s">
        <v>344</v>
      </c>
      <c r="G6220" s="2" t="s">
        <v>4</v>
      </c>
      <c r="H6220" s="1">
        <v>142.994</v>
      </c>
    </row>
    <row r="6221" spans="1:8" x14ac:dyDescent="0.3">
      <c r="A6221" s="2">
        <v>851</v>
      </c>
      <c r="B6221" t="s">
        <v>393</v>
      </c>
      <c r="C6221" t="s">
        <v>3219</v>
      </c>
      <c r="D6221" s="2">
        <v>1</v>
      </c>
      <c r="E6221" s="11" t="s">
        <v>345</v>
      </c>
      <c r="F6221" t="s">
        <v>344</v>
      </c>
      <c r="G6221" s="2" t="s">
        <v>203</v>
      </c>
      <c r="H6221" s="1">
        <v>142.994</v>
      </c>
    </row>
    <row r="6222" spans="1:8" x14ac:dyDescent="0.3">
      <c r="A6222" s="2">
        <v>851</v>
      </c>
      <c r="B6222" t="s">
        <v>395</v>
      </c>
      <c r="C6222" t="s">
        <v>3219</v>
      </c>
      <c r="D6222" s="2">
        <v>1</v>
      </c>
      <c r="E6222" s="11" t="s">
        <v>345</v>
      </c>
      <c r="F6222" t="s">
        <v>344</v>
      </c>
      <c r="G6222" s="2" t="s">
        <v>23</v>
      </c>
      <c r="H6222" s="1">
        <v>142.994</v>
      </c>
    </row>
    <row r="6223" spans="1:8" x14ac:dyDescent="0.3">
      <c r="A6223" s="2">
        <v>851</v>
      </c>
      <c r="B6223" t="s">
        <v>395</v>
      </c>
      <c r="C6223" t="s">
        <v>3219</v>
      </c>
      <c r="D6223" s="2">
        <v>1</v>
      </c>
      <c r="E6223" s="11" t="s">
        <v>345</v>
      </c>
      <c r="F6223" t="s">
        <v>344</v>
      </c>
      <c r="G6223" s="2" t="s">
        <v>23</v>
      </c>
      <c r="H6223" s="1">
        <v>142.994</v>
      </c>
    </row>
    <row r="6224" spans="1:8" x14ac:dyDescent="0.3">
      <c r="A6224" s="2">
        <v>851</v>
      </c>
      <c r="B6224" t="s">
        <v>394</v>
      </c>
      <c r="C6224" t="s">
        <v>3219</v>
      </c>
      <c r="D6224" s="2">
        <v>1</v>
      </c>
      <c r="E6224" s="11" t="s">
        <v>345</v>
      </c>
      <c r="F6224" t="s">
        <v>344</v>
      </c>
      <c r="G6224" s="2" t="s">
        <v>4</v>
      </c>
      <c r="H6224" s="1">
        <v>142.994</v>
      </c>
    </row>
    <row r="6225" spans="1:8" x14ac:dyDescent="0.3">
      <c r="A6225" s="2">
        <v>851</v>
      </c>
      <c r="B6225" t="s">
        <v>393</v>
      </c>
      <c r="C6225" t="s">
        <v>3219</v>
      </c>
      <c r="D6225" s="2">
        <v>1</v>
      </c>
      <c r="E6225" s="11" t="s">
        <v>345</v>
      </c>
      <c r="F6225" t="s">
        <v>344</v>
      </c>
      <c r="G6225" s="2" t="s">
        <v>203</v>
      </c>
      <c r="H6225" s="1">
        <v>142.994</v>
      </c>
    </row>
    <row r="6226" spans="1:8" x14ac:dyDescent="0.3">
      <c r="A6226" s="2">
        <v>851</v>
      </c>
      <c r="B6226" t="s">
        <v>346</v>
      </c>
      <c r="C6226" t="s">
        <v>3219</v>
      </c>
      <c r="D6226" s="2">
        <v>1</v>
      </c>
      <c r="E6226" s="11" t="s">
        <v>345</v>
      </c>
      <c r="F6226" t="s">
        <v>344</v>
      </c>
      <c r="G6226" s="2" t="s">
        <v>31</v>
      </c>
      <c r="H6226" s="1">
        <v>142.994</v>
      </c>
    </row>
    <row r="6227" spans="1:8" x14ac:dyDescent="0.3">
      <c r="A6227" s="2">
        <v>851</v>
      </c>
      <c r="B6227" t="s">
        <v>392</v>
      </c>
      <c r="C6227" t="s">
        <v>3224</v>
      </c>
      <c r="D6227" s="2">
        <v>1</v>
      </c>
      <c r="E6227" s="11" t="s">
        <v>34</v>
      </c>
      <c r="F6227" t="s">
        <v>62</v>
      </c>
      <c r="G6227" s="2" t="s">
        <v>23</v>
      </c>
      <c r="H6227" s="1">
        <v>100.59400000000001</v>
      </c>
    </row>
    <row r="6228" spans="1:8" x14ac:dyDescent="0.3">
      <c r="A6228" s="2">
        <v>851</v>
      </c>
      <c r="B6228" t="s">
        <v>391</v>
      </c>
      <c r="C6228" t="s">
        <v>3</v>
      </c>
      <c r="D6228" s="2">
        <v>1</v>
      </c>
      <c r="E6228" s="11" t="s">
        <v>197</v>
      </c>
      <c r="F6228" t="s">
        <v>55</v>
      </c>
      <c r="G6228" s="2" t="s">
        <v>23</v>
      </c>
      <c r="H6228" s="1">
        <v>68.794000000000011</v>
      </c>
    </row>
    <row r="6229" spans="1:8" x14ac:dyDescent="0.3">
      <c r="A6229" s="2">
        <v>851</v>
      </c>
      <c r="B6229" t="s">
        <v>390</v>
      </c>
      <c r="C6229" t="s">
        <v>3224</v>
      </c>
      <c r="D6229" s="2">
        <v>1</v>
      </c>
      <c r="E6229" s="11" t="s">
        <v>195</v>
      </c>
      <c r="F6229" t="s">
        <v>55</v>
      </c>
      <c r="G6229" s="2" t="s">
        <v>23</v>
      </c>
      <c r="H6229" s="1">
        <v>84.694000000000017</v>
      </c>
    </row>
    <row r="6230" spans="1:8" x14ac:dyDescent="0.3">
      <c r="A6230" s="2">
        <v>851</v>
      </c>
      <c r="B6230" t="s">
        <v>325</v>
      </c>
      <c r="C6230" t="s">
        <v>0</v>
      </c>
      <c r="D6230" s="2">
        <v>1</v>
      </c>
      <c r="E6230" s="11" t="s">
        <v>246</v>
      </c>
      <c r="F6230" t="s">
        <v>55</v>
      </c>
      <c r="G6230" s="2" t="s">
        <v>4</v>
      </c>
      <c r="H6230" s="1">
        <v>158.89400000000001</v>
      </c>
    </row>
    <row r="6231" spans="1:8" x14ac:dyDescent="0.3">
      <c r="A6231" s="2">
        <v>851</v>
      </c>
      <c r="B6231" t="s">
        <v>389</v>
      </c>
      <c r="C6231" t="s">
        <v>3224</v>
      </c>
      <c r="D6231" s="2">
        <v>1</v>
      </c>
      <c r="E6231" s="11" t="s">
        <v>34</v>
      </c>
      <c r="F6231" t="s">
        <v>114</v>
      </c>
      <c r="G6231" s="2" t="s">
        <v>23</v>
      </c>
      <c r="H6231" s="1">
        <v>100.59400000000001</v>
      </c>
    </row>
    <row r="6232" spans="1:8" x14ac:dyDescent="0.3">
      <c r="A6232" s="2">
        <v>851</v>
      </c>
      <c r="B6232" t="s">
        <v>303</v>
      </c>
      <c r="C6232" t="s">
        <v>3220</v>
      </c>
      <c r="D6232" s="2">
        <v>1</v>
      </c>
      <c r="E6232" s="11" t="s">
        <v>174</v>
      </c>
      <c r="F6232" t="s">
        <v>114</v>
      </c>
      <c r="G6232" s="2" t="s">
        <v>4</v>
      </c>
      <c r="H6232" s="1">
        <v>74.094000000000008</v>
      </c>
    </row>
    <row r="6233" spans="1:8" x14ac:dyDescent="0.3">
      <c r="A6233" s="2">
        <v>851</v>
      </c>
      <c r="B6233" t="s">
        <v>388</v>
      </c>
      <c r="C6233" t="s">
        <v>1</v>
      </c>
      <c r="D6233" s="2">
        <v>1</v>
      </c>
      <c r="E6233" s="11" t="s">
        <v>29</v>
      </c>
      <c r="F6233" t="s">
        <v>114</v>
      </c>
      <c r="G6233" s="2" t="s">
        <v>31</v>
      </c>
      <c r="H6233" s="1">
        <v>74.094000000000008</v>
      </c>
    </row>
    <row r="6234" spans="1:8" x14ac:dyDescent="0.3">
      <c r="A6234" s="2">
        <v>851</v>
      </c>
      <c r="B6234" t="s">
        <v>387</v>
      </c>
      <c r="C6234" t="s">
        <v>3220</v>
      </c>
      <c r="D6234" s="2">
        <v>1</v>
      </c>
      <c r="E6234" s="11" t="s">
        <v>140</v>
      </c>
      <c r="F6234" t="s">
        <v>114</v>
      </c>
      <c r="G6234" s="2" t="s">
        <v>23</v>
      </c>
      <c r="H6234" s="1">
        <v>42.294000000000004</v>
      </c>
    </row>
    <row r="6235" spans="1:8" x14ac:dyDescent="0.3">
      <c r="A6235" s="2">
        <v>851</v>
      </c>
      <c r="B6235" t="s">
        <v>386</v>
      </c>
      <c r="C6235" t="s">
        <v>1</v>
      </c>
      <c r="D6235" s="2">
        <v>1</v>
      </c>
      <c r="E6235" s="11" t="s">
        <v>385</v>
      </c>
      <c r="F6235" t="s">
        <v>78</v>
      </c>
      <c r="G6235" s="2" t="s">
        <v>23</v>
      </c>
      <c r="H6235" s="1">
        <v>79.394000000000005</v>
      </c>
    </row>
    <row r="6236" spans="1:8" x14ac:dyDescent="0.3">
      <c r="A6236" s="2">
        <v>851</v>
      </c>
      <c r="B6236" t="s">
        <v>384</v>
      </c>
      <c r="C6236" t="s">
        <v>3221</v>
      </c>
      <c r="D6236" s="2">
        <v>1</v>
      </c>
      <c r="E6236" s="11" t="s">
        <v>383</v>
      </c>
      <c r="F6236" t="s">
        <v>47</v>
      </c>
      <c r="G6236" s="2" t="s">
        <v>4</v>
      </c>
      <c r="H6236" s="1">
        <v>164.19400000000002</v>
      </c>
    </row>
    <row r="6237" spans="1:8" x14ac:dyDescent="0.3">
      <c r="A6237" s="2">
        <v>851</v>
      </c>
      <c r="B6237" t="s">
        <v>382</v>
      </c>
      <c r="C6237" t="s">
        <v>3224</v>
      </c>
      <c r="D6237" s="2">
        <v>1</v>
      </c>
      <c r="E6237" s="11" t="s">
        <v>34</v>
      </c>
      <c r="F6237" t="s">
        <v>47</v>
      </c>
      <c r="G6237" s="2" t="s">
        <v>31</v>
      </c>
      <c r="H6237" s="1">
        <v>100.59400000000001</v>
      </c>
    </row>
    <row r="6238" spans="1:8" x14ac:dyDescent="0.3">
      <c r="A6238" s="2">
        <v>851</v>
      </c>
      <c r="B6238" t="s">
        <v>300</v>
      </c>
      <c r="C6238" t="s">
        <v>3219</v>
      </c>
      <c r="D6238" s="2">
        <v>1</v>
      </c>
      <c r="E6238" s="11" t="s">
        <v>66</v>
      </c>
      <c r="F6238" t="s">
        <v>47</v>
      </c>
      <c r="G6238" s="2" t="s">
        <v>23</v>
      </c>
      <c r="H6238" s="1">
        <v>180.09400000000002</v>
      </c>
    </row>
    <row r="6239" spans="1:8" x14ac:dyDescent="0.3">
      <c r="A6239" s="2">
        <v>851</v>
      </c>
      <c r="B6239" t="s">
        <v>219</v>
      </c>
      <c r="C6239" t="s">
        <v>0</v>
      </c>
      <c r="D6239" s="2">
        <v>1</v>
      </c>
      <c r="E6239" s="11" t="s">
        <v>160</v>
      </c>
      <c r="F6239" t="s">
        <v>47</v>
      </c>
      <c r="G6239" s="2" t="s">
        <v>23</v>
      </c>
      <c r="H6239" s="1">
        <v>148.29400000000001</v>
      </c>
    </row>
    <row r="6240" spans="1:8" x14ac:dyDescent="0.3">
      <c r="A6240" s="2">
        <v>851</v>
      </c>
      <c r="B6240" t="s">
        <v>299</v>
      </c>
      <c r="C6240" t="s">
        <v>3219</v>
      </c>
      <c r="D6240" s="2">
        <v>1</v>
      </c>
      <c r="E6240" s="11" t="s">
        <v>232</v>
      </c>
      <c r="F6240" t="s">
        <v>47</v>
      </c>
      <c r="G6240" s="2" t="s">
        <v>4</v>
      </c>
      <c r="H6240" s="1">
        <v>21.094000000000001</v>
      </c>
    </row>
    <row r="6241" spans="1:8" x14ac:dyDescent="0.3">
      <c r="A6241" s="2">
        <v>851</v>
      </c>
      <c r="B6241" t="s">
        <v>381</v>
      </c>
      <c r="C6241" t="s">
        <v>3220</v>
      </c>
      <c r="D6241" s="2">
        <v>1</v>
      </c>
      <c r="E6241" s="11" t="s">
        <v>154</v>
      </c>
      <c r="F6241" t="s">
        <v>39</v>
      </c>
      <c r="G6241" s="2" t="s">
        <v>23</v>
      </c>
      <c r="H6241" s="1">
        <v>84.694000000000017</v>
      </c>
    </row>
    <row r="6242" spans="1:8" x14ac:dyDescent="0.3">
      <c r="A6242" s="2">
        <v>851</v>
      </c>
      <c r="B6242" t="s">
        <v>380</v>
      </c>
      <c r="C6242" t="s">
        <v>3224</v>
      </c>
      <c r="D6242" s="2">
        <v>1</v>
      </c>
      <c r="E6242" s="11" t="s">
        <v>379</v>
      </c>
      <c r="F6242" t="s">
        <v>39</v>
      </c>
      <c r="G6242" s="2" t="s">
        <v>23</v>
      </c>
      <c r="H6242" s="1">
        <v>89.994000000000014</v>
      </c>
    </row>
    <row r="6243" spans="1:8" x14ac:dyDescent="0.3">
      <c r="A6243" s="2">
        <v>851</v>
      </c>
      <c r="B6243" t="s">
        <v>378</v>
      </c>
      <c r="C6243" t="s">
        <v>2</v>
      </c>
      <c r="D6243" s="2">
        <v>1</v>
      </c>
      <c r="E6243" s="11" t="s">
        <v>377</v>
      </c>
      <c r="F6243" t="s">
        <v>39</v>
      </c>
      <c r="G6243" s="2" t="s">
        <v>23</v>
      </c>
      <c r="H6243" s="1">
        <v>89.994000000000014</v>
      </c>
    </row>
    <row r="6244" spans="1:8" x14ac:dyDescent="0.3">
      <c r="A6244" s="2">
        <v>851</v>
      </c>
      <c r="B6244" t="s">
        <v>179</v>
      </c>
      <c r="C6244" t="s">
        <v>3225</v>
      </c>
      <c r="D6244" s="2">
        <v>1</v>
      </c>
      <c r="E6244" s="11" t="s">
        <v>178</v>
      </c>
      <c r="F6244" t="s">
        <v>36</v>
      </c>
      <c r="G6244" s="2" t="s">
        <v>23</v>
      </c>
      <c r="H6244" s="1">
        <v>158.89400000000001</v>
      </c>
    </row>
    <row r="6245" spans="1:8" x14ac:dyDescent="0.3">
      <c r="A6245" s="2">
        <v>851</v>
      </c>
      <c r="B6245" t="s">
        <v>376</v>
      </c>
      <c r="C6245" t="s">
        <v>3220</v>
      </c>
      <c r="D6245" s="2">
        <v>1</v>
      </c>
      <c r="E6245" s="11" t="s">
        <v>174</v>
      </c>
      <c r="F6245" t="s">
        <v>28</v>
      </c>
      <c r="G6245" s="2" t="s">
        <v>23</v>
      </c>
      <c r="H6245" s="1">
        <v>74.094000000000008</v>
      </c>
    </row>
    <row r="6246" spans="1:8" x14ac:dyDescent="0.3">
      <c r="A6246" s="2">
        <v>851</v>
      </c>
      <c r="B6246" t="s">
        <v>375</v>
      </c>
      <c r="C6246" t="s">
        <v>3224</v>
      </c>
      <c r="D6246" s="2">
        <v>1</v>
      </c>
      <c r="E6246" s="11" t="s">
        <v>132</v>
      </c>
      <c r="F6246" t="s">
        <v>28</v>
      </c>
      <c r="G6246" s="2" t="s">
        <v>4</v>
      </c>
      <c r="H6246" s="1">
        <v>84.694000000000017</v>
      </c>
    </row>
    <row r="6247" spans="1:8" x14ac:dyDescent="0.3">
      <c r="A6247" s="2">
        <v>851</v>
      </c>
      <c r="B6247" t="s">
        <v>374</v>
      </c>
      <c r="C6247" t="s">
        <v>3365</v>
      </c>
      <c r="D6247" s="2">
        <v>1</v>
      </c>
      <c r="E6247" s="11" t="s">
        <v>373</v>
      </c>
      <c r="F6247" t="s">
        <v>28</v>
      </c>
      <c r="G6247" s="2" t="s">
        <v>4</v>
      </c>
      <c r="H6247" s="1">
        <v>164.19400000000002</v>
      </c>
    </row>
    <row r="6248" spans="1:8" x14ac:dyDescent="0.3">
      <c r="A6248" s="2">
        <v>851</v>
      </c>
      <c r="B6248" t="s">
        <v>372</v>
      </c>
      <c r="C6248" t="s">
        <v>0</v>
      </c>
      <c r="D6248" s="2">
        <v>1</v>
      </c>
      <c r="E6248" s="11" t="s">
        <v>246</v>
      </c>
      <c r="F6248" t="s">
        <v>28</v>
      </c>
      <c r="G6248" s="2" t="s">
        <v>23</v>
      </c>
      <c r="H6248" s="1">
        <v>158.89400000000001</v>
      </c>
    </row>
    <row r="6249" spans="1:8" x14ac:dyDescent="0.3">
      <c r="A6249" s="2">
        <v>851</v>
      </c>
      <c r="B6249" t="s">
        <v>30</v>
      </c>
      <c r="C6249" t="s">
        <v>1</v>
      </c>
      <c r="D6249" s="2">
        <v>1</v>
      </c>
      <c r="E6249" s="11" t="s">
        <v>29</v>
      </c>
      <c r="F6249" t="s">
        <v>28</v>
      </c>
      <c r="G6249" s="2" t="s">
        <v>23</v>
      </c>
      <c r="H6249" s="1">
        <v>74.094000000000008</v>
      </c>
    </row>
    <row r="6250" spans="1:8" x14ac:dyDescent="0.3">
      <c r="A6250" s="2">
        <v>851</v>
      </c>
      <c r="B6250" t="s">
        <v>371</v>
      </c>
      <c r="C6250" t="s">
        <v>3220</v>
      </c>
      <c r="D6250" s="2">
        <v>1</v>
      </c>
      <c r="E6250" s="11" t="s">
        <v>140</v>
      </c>
      <c r="F6250" t="s">
        <v>28</v>
      </c>
      <c r="G6250" s="2" t="s">
        <v>4</v>
      </c>
      <c r="H6250" s="1">
        <v>42.294000000000004</v>
      </c>
    </row>
    <row r="6251" spans="1:8" x14ac:dyDescent="0.3">
      <c r="A6251" s="2">
        <v>851</v>
      </c>
      <c r="B6251" t="s">
        <v>370</v>
      </c>
      <c r="C6251" t="s">
        <v>3224</v>
      </c>
      <c r="D6251" s="2">
        <v>1</v>
      </c>
      <c r="E6251" s="11" t="s">
        <v>132</v>
      </c>
      <c r="F6251" t="s">
        <v>24</v>
      </c>
      <c r="G6251" s="2" t="s">
        <v>31</v>
      </c>
      <c r="H6251" s="1">
        <v>84.694000000000017</v>
      </c>
    </row>
    <row r="6252" spans="1:8" x14ac:dyDescent="0.3">
      <c r="A6252" s="2">
        <v>852</v>
      </c>
      <c r="B6252" t="s">
        <v>369</v>
      </c>
      <c r="C6252" t="s">
        <v>3219</v>
      </c>
      <c r="D6252" s="2">
        <v>1</v>
      </c>
      <c r="E6252" s="11" t="s">
        <v>102</v>
      </c>
      <c r="F6252" t="s">
        <v>65</v>
      </c>
      <c r="G6252" s="2" t="s">
        <v>31</v>
      </c>
      <c r="H6252" s="1">
        <v>121.79400000000001</v>
      </c>
    </row>
    <row r="6253" spans="1:8" x14ac:dyDescent="0.3">
      <c r="A6253" s="2">
        <v>852</v>
      </c>
      <c r="B6253" t="s">
        <v>368</v>
      </c>
      <c r="C6253" t="s">
        <v>3219</v>
      </c>
      <c r="D6253" s="2">
        <v>1</v>
      </c>
      <c r="E6253" s="11" t="s">
        <v>367</v>
      </c>
      <c r="F6253" t="s">
        <v>114</v>
      </c>
      <c r="G6253" s="2" t="s">
        <v>31</v>
      </c>
      <c r="H6253" s="1">
        <v>148.29400000000001</v>
      </c>
    </row>
    <row r="6254" spans="1:8" x14ac:dyDescent="0.3">
      <c r="A6254" s="2">
        <v>852</v>
      </c>
      <c r="B6254" t="s">
        <v>366</v>
      </c>
      <c r="C6254" t="s">
        <v>0</v>
      </c>
      <c r="D6254" s="2">
        <v>1</v>
      </c>
      <c r="E6254" s="11" t="s">
        <v>364</v>
      </c>
      <c r="F6254" t="s">
        <v>114</v>
      </c>
      <c r="G6254" s="2" t="s">
        <v>31</v>
      </c>
      <c r="H6254" s="1">
        <v>180.09400000000002</v>
      </c>
    </row>
    <row r="6255" spans="1:8" x14ac:dyDescent="0.3">
      <c r="A6255" s="2">
        <v>852</v>
      </c>
      <c r="B6255" t="s">
        <v>365</v>
      </c>
      <c r="C6255" t="s">
        <v>0</v>
      </c>
      <c r="D6255" s="2">
        <v>1</v>
      </c>
      <c r="E6255" s="11" t="s">
        <v>364</v>
      </c>
      <c r="F6255" t="s">
        <v>114</v>
      </c>
      <c r="G6255" s="2" t="s">
        <v>23</v>
      </c>
      <c r="H6255" s="1">
        <v>180.09400000000002</v>
      </c>
    </row>
    <row r="6256" spans="1:8" x14ac:dyDescent="0.3">
      <c r="A6256" s="2">
        <v>852</v>
      </c>
      <c r="B6256" t="s">
        <v>363</v>
      </c>
      <c r="C6256" t="s">
        <v>0</v>
      </c>
      <c r="D6256" s="2">
        <v>1</v>
      </c>
      <c r="E6256" s="11" t="s">
        <v>264</v>
      </c>
      <c r="F6256" t="s">
        <v>39</v>
      </c>
      <c r="G6256" s="2" t="s">
        <v>4</v>
      </c>
      <c r="H6256" s="1">
        <v>201.29400000000001</v>
      </c>
    </row>
    <row r="6257" spans="1:8" x14ac:dyDescent="0.3">
      <c r="A6257" s="2">
        <v>852</v>
      </c>
      <c r="B6257" t="s">
        <v>265</v>
      </c>
      <c r="C6257" t="s">
        <v>0</v>
      </c>
      <c r="D6257" s="2">
        <v>1</v>
      </c>
      <c r="E6257" s="11" t="s">
        <v>264</v>
      </c>
      <c r="F6257" t="s">
        <v>39</v>
      </c>
      <c r="G6257" s="2" t="s">
        <v>31</v>
      </c>
      <c r="H6257" s="1">
        <v>201.29400000000001</v>
      </c>
    </row>
    <row r="6258" spans="1:8" x14ac:dyDescent="0.3">
      <c r="A6258" s="2">
        <v>852</v>
      </c>
      <c r="B6258" t="s">
        <v>362</v>
      </c>
      <c r="C6258" t="s">
        <v>0</v>
      </c>
      <c r="D6258" s="2">
        <v>1</v>
      </c>
      <c r="E6258" s="11" t="s">
        <v>264</v>
      </c>
      <c r="F6258" t="s">
        <v>39</v>
      </c>
      <c r="G6258" s="2" t="s">
        <v>23</v>
      </c>
      <c r="H6258" s="1">
        <v>201.29400000000001</v>
      </c>
    </row>
    <row r="6259" spans="1:8" x14ac:dyDescent="0.3">
      <c r="A6259" s="2">
        <v>852</v>
      </c>
      <c r="B6259" t="s">
        <v>335</v>
      </c>
      <c r="C6259" t="s">
        <v>0</v>
      </c>
      <c r="D6259" s="2">
        <v>1</v>
      </c>
      <c r="E6259" s="11" t="s">
        <v>334</v>
      </c>
      <c r="F6259" t="s">
        <v>39</v>
      </c>
      <c r="G6259" s="2" t="s">
        <v>4</v>
      </c>
      <c r="H6259" s="1">
        <v>174.79400000000001</v>
      </c>
    </row>
    <row r="6260" spans="1:8" x14ac:dyDescent="0.3">
      <c r="A6260" s="2">
        <v>852</v>
      </c>
      <c r="B6260" t="s">
        <v>361</v>
      </c>
      <c r="C6260" t="s">
        <v>0</v>
      </c>
      <c r="D6260" s="2">
        <v>1</v>
      </c>
      <c r="E6260" s="11" t="s">
        <v>334</v>
      </c>
      <c r="F6260" t="s">
        <v>39</v>
      </c>
      <c r="G6260" s="2" t="s">
        <v>31</v>
      </c>
      <c r="H6260" s="1">
        <v>174.79400000000001</v>
      </c>
    </row>
    <row r="6261" spans="1:8" x14ac:dyDescent="0.3">
      <c r="A6261" s="2">
        <v>852</v>
      </c>
      <c r="B6261" t="s">
        <v>360</v>
      </c>
      <c r="C6261" t="s">
        <v>1</v>
      </c>
      <c r="D6261" s="2">
        <v>1</v>
      </c>
      <c r="E6261" s="11" t="s">
        <v>357</v>
      </c>
      <c r="F6261" t="s">
        <v>28</v>
      </c>
      <c r="G6261" s="2" t="s">
        <v>4</v>
      </c>
      <c r="H6261" s="1">
        <v>52.893999999999998</v>
      </c>
    </row>
    <row r="6262" spans="1:8" x14ac:dyDescent="0.3">
      <c r="A6262" s="2">
        <v>852</v>
      </c>
      <c r="B6262" t="s">
        <v>359</v>
      </c>
      <c r="C6262" t="s">
        <v>1</v>
      </c>
      <c r="D6262" s="2">
        <v>1</v>
      </c>
      <c r="E6262" s="11" t="s">
        <v>357</v>
      </c>
      <c r="F6262" t="s">
        <v>28</v>
      </c>
      <c r="G6262" s="2" t="s">
        <v>31</v>
      </c>
      <c r="H6262" s="1">
        <v>52.893999999999998</v>
      </c>
    </row>
    <row r="6263" spans="1:8" x14ac:dyDescent="0.3">
      <c r="A6263" s="2">
        <v>852</v>
      </c>
      <c r="B6263" t="s">
        <v>358</v>
      </c>
      <c r="C6263" t="s">
        <v>1</v>
      </c>
      <c r="D6263" s="2">
        <v>1</v>
      </c>
      <c r="E6263" s="11" t="s">
        <v>357</v>
      </c>
      <c r="F6263" t="s">
        <v>28</v>
      </c>
      <c r="G6263" s="2" t="s">
        <v>23</v>
      </c>
      <c r="H6263" s="1">
        <v>52.893999999999998</v>
      </c>
    </row>
    <row r="6264" spans="1:8" x14ac:dyDescent="0.3">
      <c r="A6264" s="2">
        <v>853</v>
      </c>
      <c r="B6264" t="s">
        <v>356</v>
      </c>
      <c r="C6264" t="s">
        <v>0</v>
      </c>
      <c r="D6264" s="2">
        <v>1</v>
      </c>
      <c r="E6264" s="11" t="s">
        <v>217</v>
      </c>
      <c r="F6264" t="s">
        <v>55</v>
      </c>
      <c r="G6264" s="2" t="s">
        <v>31</v>
      </c>
      <c r="H6264" s="1">
        <v>142.994</v>
      </c>
    </row>
    <row r="6265" spans="1:8" x14ac:dyDescent="0.3">
      <c r="A6265" s="2">
        <v>853</v>
      </c>
      <c r="B6265" t="s">
        <v>355</v>
      </c>
      <c r="C6265" t="s">
        <v>3261</v>
      </c>
      <c r="D6265" s="2">
        <v>1</v>
      </c>
      <c r="E6265" s="11" t="s">
        <v>354</v>
      </c>
      <c r="F6265" t="s">
        <v>55</v>
      </c>
      <c r="G6265" s="2" t="s">
        <v>23</v>
      </c>
      <c r="H6265" s="1">
        <v>84.694000000000017</v>
      </c>
    </row>
    <row r="6266" spans="1:8" x14ac:dyDescent="0.3">
      <c r="A6266" s="2">
        <v>853</v>
      </c>
      <c r="B6266" t="s">
        <v>353</v>
      </c>
      <c r="C6266" t="s">
        <v>2</v>
      </c>
      <c r="D6266" s="2">
        <v>1</v>
      </c>
      <c r="E6266" s="11" t="s">
        <v>352</v>
      </c>
      <c r="F6266" t="s">
        <v>55</v>
      </c>
      <c r="G6266" s="2" t="s">
        <v>23</v>
      </c>
      <c r="H6266" s="1">
        <v>142.994</v>
      </c>
    </row>
    <row r="6267" spans="1:8" x14ac:dyDescent="0.3">
      <c r="A6267" s="2">
        <v>853</v>
      </c>
      <c r="B6267" t="s">
        <v>351</v>
      </c>
      <c r="C6267" t="s">
        <v>3219</v>
      </c>
      <c r="D6267" s="2">
        <v>1</v>
      </c>
      <c r="E6267" s="11" t="s">
        <v>350</v>
      </c>
      <c r="F6267" t="s">
        <v>55</v>
      </c>
      <c r="G6267" s="2" t="s">
        <v>23</v>
      </c>
      <c r="H6267" s="1">
        <v>148.29400000000001</v>
      </c>
    </row>
    <row r="6268" spans="1:8" x14ac:dyDescent="0.3">
      <c r="A6268" s="2">
        <v>853</v>
      </c>
      <c r="B6268" t="s">
        <v>262</v>
      </c>
      <c r="C6268" t="s">
        <v>0</v>
      </c>
      <c r="D6268" s="2">
        <v>1</v>
      </c>
      <c r="E6268" s="11" t="s">
        <v>261</v>
      </c>
      <c r="F6268" t="s">
        <v>65</v>
      </c>
      <c r="G6268" s="2" t="s">
        <v>4</v>
      </c>
      <c r="H6268" s="1">
        <v>173.79400000000001</v>
      </c>
    </row>
    <row r="6269" spans="1:8" x14ac:dyDescent="0.3">
      <c r="A6269" s="2">
        <v>853</v>
      </c>
      <c r="B6269" t="s">
        <v>349</v>
      </c>
      <c r="C6269" t="s">
        <v>3</v>
      </c>
      <c r="D6269" s="2">
        <v>1</v>
      </c>
      <c r="E6269" s="11" t="s">
        <v>341</v>
      </c>
      <c r="F6269" t="s">
        <v>126</v>
      </c>
      <c r="G6269" s="2" t="s">
        <v>31</v>
      </c>
      <c r="H6269" s="1">
        <v>79.394000000000005</v>
      </c>
    </row>
    <row r="6270" spans="1:8" x14ac:dyDescent="0.3">
      <c r="A6270" s="2">
        <v>853</v>
      </c>
      <c r="B6270" t="s">
        <v>348</v>
      </c>
      <c r="C6270" t="s">
        <v>3224</v>
      </c>
      <c r="D6270" s="2">
        <v>1</v>
      </c>
      <c r="E6270" s="11" t="s">
        <v>347</v>
      </c>
      <c r="F6270" t="s">
        <v>81</v>
      </c>
      <c r="G6270" s="2" t="s">
        <v>23</v>
      </c>
      <c r="H6270" s="1">
        <v>21.094000000000001</v>
      </c>
    </row>
    <row r="6271" spans="1:8" x14ac:dyDescent="0.3">
      <c r="A6271" s="2">
        <v>853</v>
      </c>
      <c r="B6271" t="s">
        <v>346</v>
      </c>
      <c r="C6271" t="s">
        <v>3219</v>
      </c>
      <c r="D6271" s="2">
        <v>1</v>
      </c>
      <c r="E6271" s="11" t="s">
        <v>345</v>
      </c>
      <c r="F6271" t="s">
        <v>344</v>
      </c>
      <c r="G6271" s="2" t="s">
        <v>31</v>
      </c>
      <c r="H6271" s="1">
        <v>142.994</v>
      </c>
    </row>
    <row r="6272" spans="1:8" x14ac:dyDescent="0.3">
      <c r="A6272" s="2">
        <v>853</v>
      </c>
      <c r="B6272" t="s">
        <v>256</v>
      </c>
      <c r="C6272" t="s">
        <v>0</v>
      </c>
      <c r="D6272" s="2">
        <v>1</v>
      </c>
      <c r="E6272" s="11" t="s">
        <v>255</v>
      </c>
      <c r="F6272" t="s">
        <v>254</v>
      </c>
      <c r="G6272" s="2" t="s">
        <v>31</v>
      </c>
      <c r="H6272" s="1">
        <v>169.49400000000003</v>
      </c>
    </row>
    <row r="6273" spans="1:8" x14ac:dyDescent="0.3">
      <c r="A6273" s="2">
        <v>853</v>
      </c>
      <c r="B6273" t="s">
        <v>343</v>
      </c>
      <c r="C6273" t="s">
        <v>1</v>
      </c>
      <c r="D6273" s="2">
        <v>1</v>
      </c>
      <c r="E6273" s="11" t="s">
        <v>63</v>
      </c>
      <c r="F6273" t="s">
        <v>62</v>
      </c>
      <c r="G6273" s="2" t="s">
        <v>23</v>
      </c>
      <c r="H6273" s="1">
        <v>21.094000000000001</v>
      </c>
    </row>
    <row r="6274" spans="1:8" x14ac:dyDescent="0.3">
      <c r="A6274" s="2">
        <v>853</v>
      </c>
      <c r="B6274" t="s">
        <v>115</v>
      </c>
      <c r="C6274" t="s">
        <v>3224</v>
      </c>
      <c r="D6274" s="2">
        <v>1</v>
      </c>
      <c r="E6274" s="11" t="s">
        <v>88</v>
      </c>
      <c r="F6274" t="s">
        <v>114</v>
      </c>
      <c r="G6274" s="2" t="s">
        <v>23</v>
      </c>
      <c r="H6274" s="1">
        <v>58.19400000000001</v>
      </c>
    </row>
    <row r="6275" spans="1:8" x14ac:dyDescent="0.3">
      <c r="A6275" s="2">
        <v>853</v>
      </c>
      <c r="B6275" t="s">
        <v>342</v>
      </c>
      <c r="C6275" t="s">
        <v>3</v>
      </c>
      <c r="D6275" s="2">
        <v>1</v>
      </c>
      <c r="E6275" s="11" t="s">
        <v>341</v>
      </c>
      <c r="F6275" t="s">
        <v>114</v>
      </c>
      <c r="G6275" s="2" t="s">
        <v>23</v>
      </c>
      <c r="H6275" s="1">
        <v>79.394000000000005</v>
      </c>
    </row>
    <row r="6276" spans="1:8" x14ac:dyDescent="0.3">
      <c r="A6276" s="2">
        <v>853</v>
      </c>
      <c r="B6276" t="s">
        <v>340</v>
      </c>
      <c r="C6276" t="s">
        <v>1</v>
      </c>
      <c r="D6276" s="2">
        <v>1</v>
      </c>
      <c r="E6276" s="11" t="s">
        <v>40</v>
      </c>
      <c r="F6276" t="s">
        <v>114</v>
      </c>
      <c r="G6276" s="2" t="s">
        <v>23</v>
      </c>
      <c r="H6276" s="1">
        <v>79.394000000000005</v>
      </c>
    </row>
    <row r="6277" spans="1:8" x14ac:dyDescent="0.3">
      <c r="A6277" s="2">
        <v>853</v>
      </c>
      <c r="B6277" t="s">
        <v>339</v>
      </c>
      <c r="C6277" t="s">
        <v>3224</v>
      </c>
      <c r="D6277" s="2">
        <v>1</v>
      </c>
      <c r="E6277" s="11" t="s">
        <v>338</v>
      </c>
      <c r="F6277" t="s">
        <v>114</v>
      </c>
      <c r="G6277" s="2" t="s">
        <v>23</v>
      </c>
      <c r="H6277" s="1">
        <v>95.294000000000011</v>
      </c>
    </row>
    <row r="6278" spans="1:8" x14ac:dyDescent="0.3">
      <c r="A6278" s="2">
        <v>853</v>
      </c>
      <c r="B6278" t="s">
        <v>233</v>
      </c>
      <c r="C6278" t="s">
        <v>3219</v>
      </c>
      <c r="D6278" s="2">
        <v>1</v>
      </c>
      <c r="E6278" s="11" t="s">
        <v>232</v>
      </c>
      <c r="F6278" t="s">
        <v>114</v>
      </c>
      <c r="G6278" s="2" t="s">
        <v>23</v>
      </c>
      <c r="H6278" s="1">
        <v>21.094000000000001</v>
      </c>
    </row>
    <row r="6279" spans="1:8" x14ac:dyDescent="0.3">
      <c r="A6279" s="2">
        <v>853</v>
      </c>
      <c r="B6279" t="s">
        <v>337</v>
      </c>
      <c r="C6279" t="s">
        <v>0</v>
      </c>
      <c r="D6279" s="2">
        <v>1</v>
      </c>
      <c r="E6279" s="11" t="s">
        <v>336</v>
      </c>
      <c r="F6279" t="s">
        <v>47</v>
      </c>
      <c r="G6279" s="2" t="s">
        <v>31</v>
      </c>
      <c r="H6279" s="1">
        <v>201.29400000000001</v>
      </c>
    </row>
    <row r="6280" spans="1:8" x14ac:dyDescent="0.3">
      <c r="A6280" s="2">
        <v>853</v>
      </c>
      <c r="B6280" t="s">
        <v>335</v>
      </c>
      <c r="C6280" t="s">
        <v>0</v>
      </c>
      <c r="D6280" s="2">
        <v>1</v>
      </c>
      <c r="E6280" s="11" t="s">
        <v>334</v>
      </c>
      <c r="F6280" t="s">
        <v>39</v>
      </c>
      <c r="G6280" s="2" t="s">
        <v>4</v>
      </c>
      <c r="H6280" s="1">
        <v>174.79400000000001</v>
      </c>
    </row>
    <row r="6281" spans="1:8" x14ac:dyDescent="0.3">
      <c r="A6281" s="2">
        <v>853</v>
      </c>
      <c r="B6281" t="s">
        <v>333</v>
      </c>
      <c r="C6281" t="s">
        <v>3233</v>
      </c>
      <c r="D6281" s="2">
        <v>1</v>
      </c>
      <c r="E6281" s="11" t="s">
        <v>332</v>
      </c>
      <c r="F6281" t="s">
        <v>39</v>
      </c>
      <c r="G6281" s="2" t="s">
        <v>23</v>
      </c>
      <c r="H6281" s="1">
        <v>132.39400000000001</v>
      </c>
    </row>
    <row r="6282" spans="1:8" x14ac:dyDescent="0.3">
      <c r="A6282" s="2">
        <v>853</v>
      </c>
      <c r="B6282" t="s">
        <v>41</v>
      </c>
      <c r="C6282" t="s">
        <v>1</v>
      </c>
      <c r="D6282" s="2">
        <v>1</v>
      </c>
      <c r="E6282" s="11" t="s">
        <v>40</v>
      </c>
      <c r="F6282" t="s">
        <v>39</v>
      </c>
      <c r="G6282" s="2" t="s">
        <v>4</v>
      </c>
      <c r="H6282" s="1">
        <v>79.394000000000005</v>
      </c>
    </row>
    <row r="6283" spans="1:8" x14ac:dyDescent="0.3">
      <c r="A6283" s="2">
        <v>853</v>
      </c>
      <c r="B6283" t="s">
        <v>331</v>
      </c>
      <c r="C6283" t="s">
        <v>3225</v>
      </c>
      <c r="D6283" s="2">
        <v>1</v>
      </c>
      <c r="E6283" s="11" t="s">
        <v>72</v>
      </c>
      <c r="F6283" t="s">
        <v>36</v>
      </c>
      <c r="G6283" s="2" t="s">
        <v>23</v>
      </c>
      <c r="H6283" s="1">
        <v>21.094000000000001</v>
      </c>
    </row>
    <row r="6284" spans="1:8" x14ac:dyDescent="0.3">
      <c r="A6284" s="2">
        <v>853</v>
      </c>
      <c r="B6284" t="s">
        <v>330</v>
      </c>
      <c r="C6284" t="s">
        <v>0</v>
      </c>
      <c r="D6284" s="2">
        <v>1</v>
      </c>
      <c r="E6284" s="11" t="s">
        <v>329</v>
      </c>
      <c r="F6284" t="s">
        <v>28</v>
      </c>
      <c r="G6284" s="2" t="s">
        <v>31</v>
      </c>
      <c r="H6284" s="1">
        <v>148.29400000000001</v>
      </c>
    </row>
    <row r="6285" spans="1:8" x14ac:dyDescent="0.3">
      <c r="A6285" s="2">
        <v>853</v>
      </c>
      <c r="B6285" t="s">
        <v>328</v>
      </c>
      <c r="C6285" t="s">
        <v>1</v>
      </c>
      <c r="D6285" s="2">
        <v>1</v>
      </c>
      <c r="E6285" s="11" t="s">
        <v>327</v>
      </c>
      <c r="F6285" t="s">
        <v>28</v>
      </c>
      <c r="G6285" s="2" t="s">
        <v>4</v>
      </c>
      <c r="H6285" s="1">
        <v>52.893999999999998</v>
      </c>
    </row>
    <row r="6286" spans="1:8" x14ac:dyDescent="0.3">
      <c r="A6286" s="2">
        <v>854</v>
      </c>
      <c r="B6286" t="s">
        <v>85</v>
      </c>
      <c r="C6286" t="s">
        <v>0</v>
      </c>
      <c r="D6286" s="2">
        <v>1</v>
      </c>
      <c r="E6286" s="11" t="s">
        <v>82</v>
      </c>
      <c r="F6286" t="s">
        <v>81</v>
      </c>
      <c r="G6286" s="2" t="s">
        <v>4</v>
      </c>
      <c r="H6286" s="1">
        <v>148.29400000000001</v>
      </c>
    </row>
    <row r="6287" spans="1:8" x14ac:dyDescent="0.3">
      <c r="A6287" s="2">
        <v>854</v>
      </c>
      <c r="B6287" t="s">
        <v>326</v>
      </c>
      <c r="C6287" t="s">
        <v>0</v>
      </c>
      <c r="D6287" s="2">
        <v>1</v>
      </c>
      <c r="E6287" s="11" t="s">
        <v>246</v>
      </c>
      <c r="F6287" t="s">
        <v>62</v>
      </c>
      <c r="G6287" s="2" t="s">
        <v>4</v>
      </c>
      <c r="H6287" s="1">
        <v>158.89400000000001</v>
      </c>
    </row>
    <row r="6288" spans="1:8" x14ac:dyDescent="0.3">
      <c r="A6288" s="2">
        <v>854</v>
      </c>
      <c r="B6288" t="s">
        <v>325</v>
      </c>
      <c r="C6288" t="s">
        <v>0</v>
      </c>
      <c r="D6288" s="2">
        <v>1</v>
      </c>
      <c r="E6288" s="11" t="s">
        <v>246</v>
      </c>
      <c r="F6288" t="s">
        <v>55</v>
      </c>
      <c r="G6288" s="2" t="s">
        <v>4</v>
      </c>
      <c r="H6288" s="1">
        <v>158.89400000000001</v>
      </c>
    </row>
    <row r="6289" spans="1:8" x14ac:dyDescent="0.3">
      <c r="A6289" s="2">
        <v>854</v>
      </c>
      <c r="B6289" t="s">
        <v>324</v>
      </c>
      <c r="C6289" t="s">
        <v>0</v>
      </c>
      <c r="D6289" s="2">
        <v>1</v>
      </c>
      <c r="E6289" s="11" t="s">
        <v>48</v>
      </c>
      <c r="F6289" t="s">
        <v>55</v>
      </c>
      <c r="G6289" s="2" t="s">
        <v>4</v>
      </c>
      <c r="H6289" s="1">
        <v>174.79400000000001</v>
      </c>
    </row>
    <row r="6290" spans="1:8" x14ac:dyDescent="0.3">
      <c r="A6290" s="2">
        <v>854</v>
      </c>
      <c r="B6290" t="s">
        <v>323</v>
      </c>
      <c r="C6290" t="s">
        <v>1</v>
      </c>
      <c r="D6290" s="2">
        <v>1</v>
      </c>
      <c r="E6290" s="11" t="s">
        <v>25</v>
      </c>
      <c r="F6290" t="s">
        <v>55</v>
      </c>
      <c r="G6290" s="2" t="s">
        <v>4</v>
      </c>
      <c r="H6290" s="1">
        <v>21.094000000000001</v>
      </c>
    </row>
    <row r="6291" spans="1:8" x14ac:dyDescent="0.3">
      <c r="A6291" s="2">
        <v>854</v>
      </c>
      <c r="B6291" t="s">
        <v>322</v>
      </c>
      <c r="C6291" t="s">
        <v>1</v>
      </c>
      <c r="D6291" s="2">
        <v>1</v>
      </c>
      <c r="E6291" s="11" t="s">
        <v>25</v>
      </c>
      <c r="F6291" t="s">
        <v>55</v>
      </c>
      <c r="G6291" s="2" t="s">
        <v>23</v>
      </c>
      <c r="H6291" s="1">
        <v>21.094000000000001</v>
      </c>
    </row>
    <row r="6292" spans="1:8" x14ac:dyDescent="0.3">
      <c r="A6292" s="2">
        <v>854</v>
      </c>
      <c r="B6292" t="s">
        <v>321</v>
      </c>
      <c r="C6292" t="s">
        <v>1</v>
      </c>
      <c r="D6292" s="2">
        <v>1</v>
      </c>
      <c r="E6292" s="11" t="s">
        <v>222</v>
      </c>
      <c r="F6292" t="s">
        <v>114</v>
      </c>
      <c r="G6292" s="2" t="s">
        <v>203</v>
      </c>
      <c r="H6292" s="1">
        <v>52.893999999999998</v>
      </c>
    </row>
    <row r="6293" spans="1:8" x14ac:dyDescent="0.3">
      <c r="A6293" s="2">
        <v>854</v>
      </c>
      <c r="B6293" t="s">
        <v>320</v>
      </c>
      <c r="C6293" t="s">
        <v>0</v>
      </c>
      <c r="D6293" s="2">
        <v>1</v>
      </c>
      <c r="E6293" s="11" t="s">
        <v>48</v>
      </c>
      <c r="F6293" t="s">
        <v>114</v>
      </c>
      <c r="G6293" s="2" t="s">
        <v>31</v>
      </c>
      <c r="H6293" s="1">
        <v>174.79400000000001</v>
      </c>
    </row>
    <row r="6294" spans="1:8" x14ac:dyDescent="0.3">
      <c r="A6294" s="2">
        <v>854</v>
      </c>
      <c r="B6294" t="s">
        <v>319</v>
      </c>
      <c r="C6294" t="s">
        <v>1</v>
      </c>
      <c r="D6294" s="2">
        <v>1</v>
      </c>
      <c r="E6294" s="11" t="s">
        <v>316</v>
      </c>
      <c r="F6294" t="s">
        <v>114</v>
      </c>
      <c r="G6294" s="2" t="s">
        <v>23</v>
      </c>
      <c r="H6294" s="1">
        <v>21.094000000000001</v>
      </c>
    </row>
    <row r="6295" spans="1:8" x14ac:dyDescent="0.3">
      <c r="A6295" s="2">
        <v>854</v>
      </c>
      <c r="B6295" t="s">
        <v>318</v>
      </c>
      <c r="C6295" t="s">
        <v>1</v>
      </c>
      <c r="D6295" s="2">
        <v>1</v>
      </c>
      <c r="E6295" s="11" t="s">
        <v>25</v>
      </c>
      <c r="F6295" t="s">
        <v>47</v>
      </c>
      <c r="G6295" s="2" t="s">
        <v>31</v>
      </c>
      <c r="H6295" s="1">
        <v>21.094000000000001</v>
      </c>
    </row>
    <row r="6296" spans="1:8" x14ac:dyDescent="0.3">
      <c r="A6296" s="2">
        <v>854</v>
      </c>
      <c r="B6296" t="s">
        <v>317</v>
      </c>
      <c r="C6296" t="s">
        <v>1</v>
      </c>
      <c r="D6296" s="2">
        <v>1</v>
      </c>
      <c r="E6296" s="11" t="s">
        <v>316</v>
      </c>
      <c r="F6296" t="s">
        <v>47</v>
      </c>
      <c r="G6296" s="2" t="s">
        <v>31</v>
      </c>
      <c r="H6296" s="1">
        <v>21.094000000000001</v>
      </c>
    </row>
    <row r="6297" spans="1:8" x14ac:dyDescent="0.3">
      <c r="A6297" s="2">
        <v>854</v>
      </c>
      <c r="B6297" t="s">
        <v>315</v>
      </c>
      <c r="C6297" t="s">
        <v>3225</v>
      </c>
      <c r="D6297" s="2">
        <v>1</v>
      </c>
      <c r="E6297" s="11" t="s">
        <v>314</v>
      </c>
      <c r="F6297" t="s">
        <v>47</v>
      </c>
      <c r="G6297" s="2" t="s">
        <v>31</v>
      </c>
      <c r="H6297" s="1">
        <v>158.89400000000001</v>
      </c>
    </row>
    <row r="6298" spans="1:8" x14ac:dyDescent="0.3">
      <c r="A6298" s="2">
        <v>854</v>
      </c>
      <c r="B6298" t="s">
        <v>313</v>
      </c>
      <c r="C6298" t="s">
        <v>1</v>
      </c>
      <c r="D6298" s="2">
        <v>1</v>
      </c>
      <c r="E6298" s="11" t="s">
        <v>222</v>
      </c>
      <c r="F6298" t="s">
        <v>39</v>
      </c>
      <c r="G6298" s="2" t="s">
        <v>203</v>
      </c>
      <c r="H6298" s="1">
        <v>52.893999999999998</v>
      </c>
    </row>
    <row r="6299" spans="1:8" x14ac:dyDescent="0.3">
      <c r="A6299" s="2">
        <v>854</v>
      </c>
      <c r="B6299" t="s">
        <v>312</v>
      </c>
      <c r="C6299" t="s">
        <v>0</v>
      </c>
      <c r="D6299" s="2">
        <v>1</v>
      </c>
      <c r="E6299" s="11" t="s">
        <v>261</v>
      </c>
      <c r="F6299" t="s">
        <v>39</v>
      </c>
      <c r="G6299" s="2" t="s">
        <v>4</v>
      </c>
      <c r="H6299" s="1">
        <v>173.79400000000001</v>
      </c>
    </row>
    <row r="6300" spans="1:8" x14ac:dyDescent="0.3">
      <c r="A6300" s="2">
        <v>854</v>
      </c>
      <c r="B6300" t="s">
        <v>311</v>
      </c>
      <c r="C6300" t="s">
        <v>0</v>
      </c>
      <c r="D6300" s="2">
        <v>1</v>
      </c>
      <c r="E6300" s="11" t="s">
        <v>310</v>
      </c>
      <c r="F6300" t="s">
        <v>39</v>
      </c>
      <c r="G6300" s="2" t="s">
        <v>31</v>
      </c>
      <c r="H6300" s="1">
        <v>153.59400000000002</v>
      </c>
    </row>
    <row r="6301" spans="1:8" x14ac:dyDescent="0.3">
      <c r="A6301" s="2">
        <v>854</v>
      </c>
      <c r="B6301" t="s">
        <v>309</v>
      </c>
      <c r="C6301" t="s">
        <v>3225</v>
      </c>
      <c r="D6301" s="2">
        <v>1</v>
      </c>
      <c r="E6301" s="11" t="s">
        <v>72</v>
      </c>
      <c r="F6301" t="s">
        <v>39</v>
      </c>
      <c r="G6301" s="2" t="s">
        <v>23</v>
      </c>
      <c r="H6301" s="1">
        <v>21.094000000000001</v>
      </c>
    </row>
    <row r="6302" spans="1:8" x14ac:dyDescent="0.3">
      <c r="A6302" s="2">
        <v>855</v>
      </c>
      <c r="B6302" t="s">
        <v>59</v>
      </c>
      <c r="C6302" t="s">
        <v>1</v>
      </c>
      <c r="D6302" s="2">
        <v>1</v>
      </c>
      <c r="E6302" s="11" t="s">
        <v>58</v>
      </c>
      <c r="F6302" t="s">
        <v>55</v>
      </c>
      <c r="G6302" s="2" t="s">
        <v>4</v>
      </c>
      <c r="H6302" s="1">
        <v>52.893999999999998</v>
      </c>
    </row>
    <row r="6303" spans="1:8" x14ac:dyDescent="0.3">
      <c r="A6303" s="2">
        <v>855</v>
      </c>
      <c r="B6303" t="s">
        <v>308</v>
      </c>
      <c r="C6303" t="s">
        <v>1</v>
      </c>
      <c r="D6303" s="2">
        <v>1</v>
      </c>
      <c r="E6303" s="11" t="s">
        <v>25</v>
      </c>
      <c r="F6303" t="s">
        <v>55</v>
      </c>
      <c r="G6303" s="2" t="s">
        <v>31</v>
      </c>
      <c r="H6303" s="1">
        <v>21.094000000000001</v>
      </c>
    </row>
    <row r="6304" spans="1:8" x14ac:dyDescent="0.3">
      <c r="A6304" s="2">
        <v>855</v>
      </c>
      <c r="B6304" t="s">
        <v>307</v>
      </c>
      <c r="C6304" t="s">
        <v>1</v>
      </c>
      <c r="D6304" s="2">
        <v>1</v>
      </c>
      <c r="E6304" s="11" t="s">
        <v>58</v>
      </c>
      <c r="F6304" t="s">
        <v>114</v>
      </c>
      <c r="G6304" s="2" t="s">
        <v>23</v>
      </c>
      <c r="H6304" s="1">
        <v>52.893999999999998</v>
      </c>
    </row>
    <row r="6305" spans="1:8" x14ac:dyDescent="0.3">
      <c r="A6305" s="2">
        <v>855</v>
      </c>
      <c r="B6305" t="s">
        <v>306</v>
      </c>
      <c r="C6305" t="s">
        <v>1</v>
      </c>
      <c r="D6305" s="2">
        <v>1</v>
      </c>
      <c r="E6305" s="11" t="s">
        <v>58</v>
      </c>
      <c r="F6305" t="s">
        <v>47</v>
      </c>
      <c r="G6305" s="2" t="s">
        <v>4</v>
      </c>
      <c r="H6305" s="1">
        <v>52.893999999999998</v>
      </c>
    </row>
    <row r="6306" spans="1:8" x14ac:dyDescent="0.3">
      <c r="A6306" s="2">
        <v>855</v>
      </c>
      <c r="B6306" t="s">
        <v>305</v>
      </c>
      <c r="C6306" t="s">
        <v>3238</v>
      </c>
      <c r="D6306" s="2">
        <v>1</v>
      </c>
      <c r="E6306" s="11" t="s">
        <v>304</v>
      </c>
      <c r="F6306" t="s">
        <v>39</v>
      </c>
      <c r="G6306" s="2" t="s">
        <v>23</v>
      </c>
      <c r="H6306" s="1">
        <v>21.094000000000001</v>
      </c>
    </row>
    <row r="6307" spans="1:8" x14ac:dyDescent="0.3">
      <c r="A6307" s="2">
        <v>855</v>
      </c>
      <c r="B6307" t="s">
        <v>26</v>
      </c>
      <c r="C6307" t="s">
        <v>1</v>
      </c>
      <c r="D6307" s="2">
        <v>1</v>
      </c>
      <c r="E6307" s="11" t="s">
        <v>25</v>
      </c>
      <c r="F6307" t="s">
        <v>24</v>
      </c>
      <c r="G6307" s="2" t="s">
        <v>23</v>
      </c>
      <c r="H6307" s="1">
        <v>21.094000000000001</v>
      </c>
    </row>
    <row r="6308" spans="1:8" x14ac:dyDescent="0.3">
      <c r="A6308" s="2">
        <v>856</v>
      </c>
      <c r="B6308" t="s">
        <v>303</v>
      </c>
      <c r="C6308" t="s">
        <v>3220</v>
      </c>
      <c r="D6308" s="2">
        <v>2</v>
      </c>
      <c r="E6308" s="11" t="s">
        <v>174</v>
      </c>
      <c r="F6308" t="s">
        <v>114</v>
      </c>
      <c r="G6308" s="2" t="s">
        <v>4</v>
      </c>
      <c r="H6308" s="1">
        <v>74.094000000000008</v>
      </c>
    </row>
    <row r="6309" spans="1:8" x14ac:dyDescent="0.3">
      <c r="A6309" s="2">
        <v>856</v>
      </c>
      <c r="B6309" t="s">
        <v>302</v>
      </c>
      <c r="C6309" t="s">
        <v>3220</v>
      </c>
      <c r="D6309" s="2">
        <v>2</v>
      </c>
      <c r="E6309" s="11" t="s">
        <v>174</v>
      </c>
      <c r="F6309" t="s">
        <v>114</v>
      </c>
      <c r="G6309" s="2" t="s">
        <v>31</v>
      </c>
      <c r="H6309" s="1">
        <v>74.094000000000008</v>
      </c>
    </row>
    <row r="6310" spans="1:8" x14ac:dyDescent="0.3">
      <c r="A6310" s="2">
        <v>856</v>
      </c>
      <c r="B6310" t="s">
        <v>301</v>
      </c>
      <c r="C6310" t="s">
        <v>3219</v>
      </c>
      <c r="D6310" s="2">
        <v>3</v>
      </c>
      <c r="E6310" s="11" t="s">
        <v>66</v>
      </c>
      <c r="F6310" t="s">
        <v>47</v>
      </c>
      <c r="G6310" s="2" t="s">
        <v>4</v>
      </c>
      <c r="H6310" s="1">
        <v>180.09400000000002</v>
      </c>
    </row>
    <row r="6311" spans="1:8" x14ac:dyDescent="0.3">
      <c r="A6311" s="2">
        <v>856</v>
      </c>
      <c r="B6311" t="s">
        <v>300</v>
      </c>
      <c r="C6311" t="s">
        <v>3219</v>
      </c>
      <c r="D6311" s="2">
        <v>2</v>
      </c>
      <c r="E6311" s="11" t="s">
        <v>66</v>
      </c>
      <c r="F6311" t="s">
        <v>47</v>
      </c>
      <c r="G6311" s="2" t="s">
        <v>23</v>
      </c>
      <c r="H6311" s="1">
        <v>180.09400000000002</v>
      </c>
    </row>
    <row r="6312" spans="1:8" x14ac:dyDescent="0.3">
      <c r="A6312" s="2">
        <v>856</v>
      </c>
      <c r="B6312" t="s">
        <v>299</v>
      </c>
      <c r="C6312" t="s">
        <v>3219</v>
      </c>
      <c r="D6312" s="2">
        <v>2</v>
      </c>
      <c r="E6312" s="11" t="s">
        <v>232</v>
      </c>
      <c r="F6312" t="s">
        <v>47</v>
      </c>
      <c r="G6312" s="2" t="s">
        <v>4</v>
      </c>
      <c r="H6312" s="1">
        <v>21.094000000000001</v>
      </c>
    </row>
    <row r="6313" spans="1:8" x14ac:dyDescent="0.3">
      <c r="A6313" s="2">
        <v>856</v>
      </c>
      <c r="B6313" t="s">
        <v>298</v>
      </c>
      <c r="C6313" t="s">
        <v>3219</v>
      </c>
      <c r="D6313" s="2">
        <v>2</v>
      </c>
      <c r="E6313" s="11" t="s">
        <v>232</v>
      </c>
      <c r="F6313" t="s">
        <v>47</v>
      </c>
      <c r="G6313" s="2" t="s">
        <v>31</v>
      </c>
      <c r="H6313" s="1">
        <v>21.094000000000001</v>
      </c>
    </row>
    <row r="6314" spans="1:8" x14ac:dyDescent="0.3">
      <c r="A6314" s="2">
        <v>856</v>
      </c>
      <c r="B6314" t="s">
        <v>297</v>
      </c>
      <c r="C6314" t="s">
        <v>3219</v>
      </c>
      <c r="D6314" s="2">
        <v>1</v>
      </c>
      <c r="E6314" s="11" t="s">
        <v>232</v>
      </c>
      <c r="F6314" t="s">
        <v>47</v>
      </c>
      <c r="G6314" s="2" t="s">
        <v>23</v>
      </c>
      <c r="H6314" s="1">
        <v>21.094000000000001</v>
      </c>
    </row>
    <row r="6315" spans="1:8" x14ac:dyDescent="0.3">
      <c r="A6315" s="2">
        <v>857</v>
      </c>
      <c r="B6315" t="s">
        <v>296</v>
      </c>
      <c r="C6315" t="s">
        <v>1</v>
      </c>
      <c r="D6315" s="2">
        <v>1</v>
      </c>
      <c r="E6315" s="11" t="s">
        <v>281</v>
      </c>
      <c r="F6315" t="s">
        <v>55</v>
      </c>
      <c r="G6315" s="2" t="s">
        <v>31</v>
      </c>
      <c r="H6315" s="1">
        <v>58.194000000000003</v>
      </c>
    </row>
    <row r="6316" spans="1:8" x14ac:dyDescent="0.3">
      <c r="A6316" s="2">
        <v>857</v>
      </c>
      <c r="B6316" t="s">
        <v>295</v>
      </c>
      <c r="C6316" t="s">
        <v>1</v>
      </c>
      <c r="D6316" s="2">
        <v>1</v>
      </c>
      <c r="E6316" s="11" t="s">
        <v>243</v>
      </c>
      <c r="F6316" t="s">
        <v>65</v>
      </c>
      <c r="G6316" s="2" t="s">
        <v>203</v>
      </c>
      <c r="H6316" s="1">
        <v>31.693999999999999</v>
      </c>
    </row>
    <row r="6317" spans="1:8" x14ac:dyDescent="0.3">
      <c r="A6317" s="2">
        <v>857</v>
      </c>
      <c r="B6317" t="s">
        <v>294</v>
      </c>
      <c r="C6317" t="s">
        <v>3220</v>
      </c>
      <c r="D6317" s="2">
        <v>1</v>
      </c>
      <c r="E6317" s="11" t="s">
        <v>293</v>
      </c>
      <c r="F6317" t="s">
        <v>62</v>
      </c>
      <c r="G6317" s="2" t="s">
        <v>23</v>
      </c>
      <c r="H6317" s="1">
        <v>21.094000000000001</v>
      </c>
    </row>
    <row r="6318" spans="1:8" x14ac:dyDescent="0.3">
      <c r="A6318" s="2">
        <v>857</v>
      </c>
      <c r="B6318" t="s">
        <v>292</v>
      </c>
      <c r="C6318" t="s">
        <v>0</v>
      </c>
      <c r="D6318" s="2">
        <v>1</v>
      </c>
      <c r="E6318" s="11" t="s">
        <v>291</v>
      </c>
      <c r="F6318" t="s">
        <v>81</v>
      </c>
      <c r="G6318" s="2" t="s">
        <v>31</v>
      </c>
      <c r="H6318" s="1">
        <v>164.19400000000002</v>
      </c>
    </row>
    <row r="6319" spans="1:8" x14ac:dyDescent="0.3">
      <c r="A6319" s="2">
        <v>857</v>
      </c>
      <c r="B6319" t="s">
        <v>290</v>
      </c>
      <c r="C6319" t="s">
        <v>3220</v>
      </c>
      <c r="D6319" s="2">
        <v>1</v>
      </c>
      <c r="E6319" s="11" t="s">
        <v>204</v>
      </c>
      <c r="F6319" t="s">
        <v>62</v>
      </c>
      <c r="G6319" s="2" t="s">
        <v>31</v>
      </c>
      <c r="H6319" s="1">
        <v>42.294000000000004</v>
      </c>
    </row>
    <row r="6320" spans="1:8" x14ac:dyDescent="0.3">
      <c r="A6320" s="2">
        <v>857</v>
      </c>
      <c r="B6320" t="s">
        <v>289</v>
      </c>
      <c r="C6320" t="s">
        <v>3220</v>
      </c>
      <c r="D6320" s="2">
        <v>1</v>
      </c>
      <c r="E6320" s="11" t="s">
        <v>204</v>
      </c>
      <c r="F6320" t="s">
        <v>28</v>
      </c>
      <c r="G6320" s="2" t="s">
        <v>23</v>
      </c>
      <c r="H6320" s="1">
        <v>42.294000000000004</v>
      </c>
    </row>
    <row r="6321" spans="1:8" x14ac:dyDescent="0.3">
      <c r="A6321" s="2">
        <v>857</v>
      </c>
      <c r="B6321" t="s">
        <v>288</v>
      </c>
      <c r="C6321" t="s">
        <v>1</v>
      </c>
      <c r="D6321" s="2">
        <v>1</v>
      </c>
      <c r="E6321" s="11" t="s">
        <v>53</v>
      </c>
      <c r="F6321" t="s">
        <v>47</v>
      </c>
      <c r="G6321" s="2" t="s">
        <v>23</v>
      </c>
      <c r="H6321" s="1">
        <v>36.994</v>
      </c>
    </row>
    <row r="6322" spans="1:8" x14ac:dyDescent="0.3">
      <c r="A6322" s="2">
        <v>857</v>
      </c>
      <c r="B6322" t="s">
        <v>223</v>
      </c>
      <c r="C6322" t="s">
        <v>1</v>
      </c>
      <c r="D6322" s="2">
        <v>1</v>
      </c>
      <c r="E6322" s="11" t="s">
        <v>222</v>
      </c>
      <c r="F6322" t="s">
        <v>47</v>
      </c>
      <c r="G6322" s="2" t="s">
        <v>203</v>
      </c>
      <c r="H6322" s="1">
        <v>52.893999999999998</v>
      </c>
    </row>
    <row r="6323" spans="1:8" x14ac:dyDescent="0.3">
      <c r="A6323" s="2">
        <v>857</v>
      </c>
      <c r="B6323" t="s">
        <v>287</v>
      </c>
      <c r="C6323" t="s">
        <v>1</v>
      </c>
      <c r="D6323" s="2">
        <v>1</v>
      </c>
      <c r="E6323" s="11" t="s">
        <v>58</v>
      </c>
      <c r="F6323" t="s">
        <v>47</v>
      </c>
      <c r="G6323" s="2" t="s">
        <v>31</v>
      </c>
      <c r="H6323" s="1">
        <v>52.893999999999998</v>
      </c>
    </row>
    <row r="6324" spans="1:8" x14ac:dyDescent="0.3">
      <c r="A6324" s="2">
        <v>857</v>
      </c>
      <c r="B6324" t="s">
        <v>286</v>
      </c>
      <c r="C6324" t="s">
        <v>1</v>
      </c>
      <c r="D6324" s="2">
        <v>1</v>
      </c>
      <c r="E6324" s="11" t="s">
        <v>285</v>
      </c>
      <c r="F6324" t="s">
        <v>39</v>
      </c>
      <c r="G6324" s="2" t="s">
        <v>203</v>
      </c>
      <c r="H6324" s="1">
        <v>68.794000000000011</v>
      </c>
    </row>
    <row r="6325" spans="1:8" x14ac:dyDescent="0.3">
      <c r="A6325" s="2">
        <v>857</v>
      </c>
      <c r="B6325" t="s">
        <v>284</v>
      </c>
      <c r="C6325" t="s">
        <v>1</v>
      </c>
      <c r="D6325" s="2">
        <v>1</v>
      </c>
      <c r="E6325" s="11" t="s">
        <v>281</v>
      </c>
      <c r="F6325" t="s">
        <v>39</v>
      </c>
      <c r="G6325" s="2" t="s">
        <v>203</v>
      </c>
      <c r="H6325" s="1">
        <v>58.194000000000003</v>
      </c>
    </row>
    <row r="6326" spans="1:8" x14ac:dyDescent="0.3">
      <c r="A6326" s="2">
        <v>857</v>
      </c>
      <c r="B6326" t="s">
        <v>283</v>
      </c>
      <c r="C6326" t="s">
        <v>3220</v>
      </c>
      <c r="D6326" s="2">
        <v>1</v>
      </c>
      <c r="E6326" s="11" t="s">
        <v>204</v>
      </c>
      <c r="F6326" t="s">
        <v>276</v>
      </c>
      <c r="G6326" s="2" t="s">
        <v>23</v>
      </c>
      <c r="H6326" s="1">
        <v>42.294000000000004</v>
      </c>
    </row>
    <row r="6327" spans="1:8" x14ac:dyDescent="0.3">
      <c r="A6327" s="2">
        <v>857</v>
      </c>
      <c r="B6327" t="s">
        <v>282</v>
      </c>
      <c r="C6327" t="s">
        <v>1</v>
      </c>
      <c r="D6327" s="2">
        <v>1</v>
      </c>
      <c r="E6327" s="11" t="s">
        <v>281</v>
      </c>
      <c r="F6327" t="s">
        <v>24</v>
      </c>
      <c r="G6327" s="2" t="s">
        <v>203</v>
      </c>
      <c r="H6327" s="1">
        <v>58.194000000000003</v>
      </c>
    </row>
    <row r="6328" spans="1:8" x14ac:dyDescent="0.3">
      <c r="A6328" s="2">
        <v>857</v>
      </c>
      <c r="B6328" t="s">
        <v>280</v>
      </c>
      <c r="C6328" t="s">
        <v>1</v>
      </c>
      <c r="D6328" s="2">
        <v>1</v>
      </c>
      <c r="E6328" s="11" t="s">
        <v>279</v>
      </c>
      <c r="F6328" t="s">
        <v>24</v>
      </c>
      <c r="G6328" s="2" t="s">
        <v>203</v>
      </c>
      <c r="H6328" s="1">
        <v>47.594000000000001</v>
      </c>
    </row>
    <row r="6329" spans="1:8" x14ac:dyDescent="0.3">
      <c r="A6329" s="2">
        <v>858</v>
      </c>
      <c r="B6329" t="s">
        <v>278</v>
      </c>
      <c r="C6329" t="s">
        <v>3220</v>
      </c>
      <c r="D6329" s="2">
        <v>1</v>
      </c>
      <c r="E6329" s="11" t="s">
        <v>204</v>
      </c>
      <c r="F6329" t="s">
        <v>55</v>
      </c>
      <c r="G6329" s="2" t="s">
        <v>31</v>
      </c>
      <c r="H6329" s="1">
        <v>42.294000000000004</v>
      </c>
    </row>
    <row r="6330" spans="1:8" x14ac:dyDescent="0.3">
      <c r="A6330" s="2">
        <v>858</v>
      </c>
      <c r="B6330" t="s">
        <v>277</v>
      </c>
      <c r="C6330" t="s">
        <v>3220</v>
      </c>
      <c r="D6330" s="2">
        <v>1</v>
      </c>
      <c r="E6330" s="11" t="s">
        <v>204</v>
      </c>
      <c r="F6330" t="s">
        <v>276</v>
      </c>
      <c r="G6330" s="2" t="s">
        <v>4</v>
      </c>
      <c r="H6330" s="1">
        <v>42.294000000000004</v>
      </c>
    </row>
    <row r="6331" spans="1:8" x14ac:dyDescent="0.3">
      <c r="A6331" s="2">
        <v>858</v>
      </c>
      <c r="B6331" t="s">
        <v>275</v>
      </c>
      <c r="C6331" t="s">
        <v>0</v>
      </c>
      <c r="D6331" s="2">
        <v>1</v>
      </c>
      <c r="E6331" s="11" t="s">
        <v>142</v>
      </c>
      <c r="F6331" t="s">
        <v>62</v>
      </c>
      <c r="G6331" s="2" t="s">
        <v>31</v>
      </c>
      <c r="H6331" s="1">
        <v>121.79400000000001</v>
      </c>
    </row>
    <row r="6332" spans="1:8" x14ac:dyDescent="0.3">
      <c r="A6332" s="2">
        <v>858</v>
      </c>
      <c r="B6332" t="s">
        <v>274</v>
      </c>
      <c r="C6332" t="s">
        <v>0</v>
      </c>
      <c r="D6332" s="2">
        <v>1</v>
      </c>
      <c r="E6332" s="11" t="s">
        <v>48</v>
      </c>
      <c r="F6332" t="s">
        <v>55</v>
      </c>
      <c r="G6332" s="2" t="s">
        <v>31</v>
      </c>
      <c r="H6332" s="1">
        <v>174.79400000000001</v>
      </c>
    </row>
    <row r="6333" spans="1:8" x14ac:dyDescent="0.3">
      <c r="A6333" s="2">
        <v>858</v>
      </c>
      <c r="B6333" t="s">
        <v>273</v>
      </c>
      <c r="C6333" t="s">
        <v>0</v>
      </c>
      <c r="D6333" s="2">
        <v>1</v>
      </c>
      <c r="E6333" s="11" t="s">
        <v>272</v>
      </c>
      <c r="F6333" t="s">
        <v>28</v>
      </c>
      <c r="G6333" s="2" t="s">
        <v>23</v>
      </c>
      <c r="H6333" s="1">
        <v>174.79400000000001</v>
      </c>
    </row>
    <row r="6334" spans="1:8" x14ac:dyDescent="0.3">
      <c r="A6334" s="2">
        <v>858</v>
      </c>
      <c r="B6334" t="s">
        <v>271</v>
      </c>
      <c r="C6334" t="s">
        <v>0</v>
      </c>
      <c r="D6334" s="2">
        <v>1</v>
      </c>
      <c r="E6334" s="11" t="s">
        <v>183</v>
      </c>
      <c r="F6334" t="s">
        <v>114</v>
      </c>
      <c r="G6334" s="2" t="s">
        <v>31</v>
      </c>
      <c r="H6334" s="1">
        <v>153.59400000000002</v>
      </c>
    </row>
    <row r="6335" spans="1:8" x14ac:dyDescent="0.3">
      <c r="A6335" s="2">
        <v>858</v>
      </c>
      <c r="B6335" t="s">
        <v>270</v>
      </c>
      <c r="C6335" t="s">
        <v>3220</v>
      </c>
      <c r="D6335" s="2">
        <v>1</v>
      </c>
      <c r="E6335" s="11" t="s">
        <v>204</v>
      </c>
      <c r="F6335" t="s">
        <v>114</v>
      </c>
      <c r="G6335" s="2" t="s">
        <v>4</v>
      </c>
      <c r="H6335" s="1">
        <v>42.294000000000004</v>
      </c>
    </row>
    <row r="6336" spans="1:8" x14ac:dyDescent="0.3">
      <c r="A6336" s="2">
        <v>858</v>
      </c>
      <c r="B6336" t="s">
        <v>269</v>
      </c>
      <c r="C6336" t="s">
        <v>3220</v>
      </c>
      <c r="D6336" s="2">
        <v>1</v>
      </c>
      <c r="E6336" s="11" t="s">
        <v>204</v>
      </c>
      <c r="F6336" t="s">
        <v>114</v>
      </c>
      <c r="G6336" s="2" t="s">
        <v>23</v>
      </c>
      <c r="H6336" s="1">
        <v>42.294000000000004</v>
      </c>
    </row>
    <row r="6337" spans="1:8" x14ac:dyDescent="0.3">
      <c r="A6337" s="2">
        <v>858</v>
      </c>
      <c r="B6337" t="s">
        <v>268</v>
      </c>
      <c r="C6337" t="s">
        <v>0</v>
      </c>
      <c r="D6337" s="2">
        <v>1</v>
      </c>
      <c r="E6337" s="11" t="s">
        <v>267</v>
      </c>
      <c r="F6337" t="s">
        <v>47</v>
      </c>
      <c r="G6337" s="2" t="s">
        <v>4</v>
      </c>
      <c r="H6337" s="1">
        <v>158.89400000000001</v>
      </c>
    </row>
    <row r="6338" spans="1:8" x14ac:dyDescent="0.3">
      <c r="A6338" s="2">
        <v>858</v>
      </c>
      <c r="B6338" t="s">
        <v>206</v>
      </c>
      <c r="C6338" t="s">
        <v>3220</v>
      </c>
      <c r="D6338" s="2">
        <v>1</v>
      </c>
      <c r="E6338" s="11" t="s">
        <v>204</v>
      </c>
      <c r="F6338" t="s">
        <v>47</v>
      </c>
      <c r="G6338" s="2" t="s">
        <v>4</v>
      </c>
      <c r="H6338" s="1">
        <v>42.294000000000004</v>
      </c>
    </row>
    <row r="6339" spans="1:8" x14ac:dyDescent="0.3">
      <c r="A6339" s="2">
        <v>858</v>
      </c>
      <c r="B6339" t="s">
        <v>266</v>
      </c>
      <c r="C6339" t="s">
        <v>3220</v>
      </c>
      <c r="D6339" s="2">
        <v>1</v>
      </c>
      <c r="E6339" s="11" t="s">
        <v>204</v>
      </c>
      <c r="F6339" t="s">
        <v>47</v>
      </c>
      <c r="G6339" s="2" t="s">
        <v>31</v>
      </c>
      <c r="H6339" s="1">
        <v>42.294000000000004</v>
      </c>
    </row>
    <row r="6340" spans="1:8" x14ac:dyDescent="0.3">
      <c r="A6340" s="2">
        <v>858</v>
      </c>
      <c r="B6340" t="s">
        <v>265</v>
      </c>
      <c r="C6340" t="s">
        <v>0</v>
      </c>
      <c r="D6340" s="2">
        <v>1</v>
      </c>
      <c r="E6340" s="11" t="s">
        <v>264</v>
      </c>
      <c r="F6340" t="s">
        <v>39</v>
      </c>
      <c r="G6340" s="2" t="s">
        <v>31</v>
      </c>
      <c r="H6340" s="1">
        <v>201.29400000000001</v>
      </c>
    </row>
    <row r="6341" spans="1:8" x14ac:dyDescent="0.3">
      <c r="A6341" s="2">
        <v>859</v>
      </c>
      <c r="B6341" t="s">
        <v>263</v>
      </c>
      <c r="C6341" t="s">
        <v>1</v>
      </c>
      <c r="D6341" s="2">
        <v>1</v>
      </c>
      <c r="E6341" s="11" t="s">
        <v>172</v>
      </c>
      <c r="F6341" t="s">
        <v>55</v>
      </c>
      <c r="G6341" s="2" t="s">
        <v>31</v>
      </c>
      <c r="H6341" s="1">
        <v>47.594000000000001</v>
      </c>
    </row>
    <row r="6342" spans="1:8" x14ac:dyDescent="0.3">
      <c r="A6342" s="2">
        <v>859</v>
      </c>
      <c r="B6342" t="s">
        <v>262</v>
      </c>
      <c r="C6342" t="s">
        <v>0</v>
      </c>
      <c r="D6342" s="2">
        <v>1</v>
      </c>
      <c r="E6342" s="11" t="s">
        <v>261</v>
      </c>
      <c r="F6342" t="s">
        <v>65</v>
      </c>
      <c r="G6342" s="2" t="s">
        <v>4</v>
      </c>
      <c r="H6342" s="1">
        <v>173.79400000000001</v>
      </c>
    </row>
    <row r="6343" spans="1:8" x14ac:dyDescent="0.3">
      <c r="A6343" s="2">
        <v>859</v>
      </c>
      <c r="B6343" t="s">
        <v>260</v>
      </c>
      <c r="C6343" t="s">
        <v>0</v>
      </c>
      <c r="D6343" s="2">
        <v>1</v>
      </c>
      <c r="E6343" s="11" t="s">
        <v>217</v>
      </c>
      <c r="F6343" t="s">
        <v>62</v>
      </c>
      <c r="G6343" s="2" t="s">
        <v>4</v>
      </c>
      <c r="H6343" s="1">
        <v>142.994</v>
      </c>
    </row>
    <row r="6344" spans="1:8" x14ac:dyDescent="0.3">
      <c r="A6344" s="2">
        <v>859</v>
      </c>
      <c r="B6344" t="s">
        <v>259</v>
      </c>
      <c r="C6344" t="s">
        <v>3233</v>
      </c>
      <c r="D6344" s="2">
        <v>1</v>
      </c>
      <c r="E6344" s="11" t="s">
        <v>258</v>
      </c>
      <c r="F6344" t="s">
        <v>254</v>
      </c>
      <c r="G6344" s="2" t="s">
        <v>31</v>
      </c>
      <c r="H6344" s="1">
        <v>79.394000000000005</v>
      </c>
    </row>
    <row r="6345" spans="1:8" x14ac:dyDescent="0.3">
      <c r="A6345" s="2">
        <v>859</v>
      </c>
      <c r="B6345" t="s">
        <v>257</v>
      </c>
      <c r="C6345" t="s">
        <v>0</v>
      </c>
      <c r="D6345" s="2">
        <v>1</v>
      </c>
      <c r="E6345" s="11" t="s">
        <v>255</v>
      </c>
      <c r="F6345" t="s">
        <v>254</v>
      </c>
      <c r="G6345" s="2" t="s">
        <v>4</v>
      </c>
      <c r="H6345" s="1">
        <v>169.49400000000003</v>
      </c>
    </row>
    <row r="6346" spans="1:8" x14ac:dyDescent="0.3">
      <c r="A6346" s="2">
        <v>859</v>
      </c>
      <c r="B6346" t="s">
        <v>256</v>
      </c>
      <c r="C6346" t="s">
        <v>0</v>
      </c>
      <c r="D6346" s="2">
        <v>1</v>
      </c>
      <c r="E6346" s="11" t="s">
        <v>255</v>
      </c>
      <c r="F6346" t="s">
        <v>254</v>
      </c>
      <c r="G6346" s="2" t="s">
        <v>31</v>
      </c>
      <c r="H6346" s="1">
        <v>169.49400000000003</v>
      </c>
    </row>
    <row r="6347" spans="1:8" x14ac:dyDescent="0.3">
      <c r="A6347" s="2">
        <v>859</v>
      </c>
      <c r="B6347" t="s">
        <v>253</v>
      </c>
      <c r="C6347" t="s">
        <v>1</v>
      </c>
      <c r="D6347" s="2">
        <v>1</v>
      </c>
      <c r="E6347" s="11" t="s">
        <v>252</v>
      </c>
      <c r="F6347" t="s">
        <v>62</v>
      </c>
      <c r="G6347" s="2" t="s">
        <v>31</v>
      </c>
      <c r="H6347" s="1">
        <v>52.893999999999998</v>
      </c>
    </row>
    <row r="6348" spans="1:8" x14ac:dyDescent="0.3">
      <c r="A6348" s="2">
        <v>859</v>
      </c>
      <c r="B6348" t="s">
        <v>251</v>
      </c>
      <c r="C6348" t="s">
        <v>0</v>
      </c>
      <c r="D6348" s="2">
        <v>1</v>
      </c>
      <c r="E6348" s="11" t="s">
        <v>246</v>
      </c>
      <c r="F6348" t="s">
        <v>62</v>
      </c>
      <c r="G6348" s="2" t="s">
        <v>31</v>
      </c>
      <c r="H6348" s="1">
        <v>158.89400000000001</v>
      </c>
    </row>
    <row r="6349" spans="1:8" x14ac:dyDescent="0.3">
      <c r="A6349" s="2">
        <v>859</v>
      </c>
      <c r="B6349" t="s">
        <v>250</v>
      </c>
      <c r="C6349" t="s">
        <v>1</v>
      </c>
      <c r="D6349" s="2">
        <v>1</v>
      </c>
      <c r="E6349" s="11" t="s">
        <v>222</v>
      </c>
      <c r="F6349" t="s">
        <v>55</v>
      </c>
      <c r="G6349" s="2" t="s">
        <v>4</v>
      </c>
      <c r="H6349" s="1">
        <v>52.893999999999998</v>
      </c>
    </row>
    <row r="6350" spans="1:8" x14ac:dyDescent="0.3">
      <c r="A6350" s="2">
        <v>859</v>
      </c>
      <c r="B6350" t="s">
        <v>249</v>
      </c>
      <c r="C6350" t="s">
        <v>3</v>
      </c>
      <c r="D6350" s="2">
        <v>1</v>
      </c>
      <c r="E6350" s="11" t="s">
        <v>197</v>
      </c>
      <c r="F6350" t="s">
        <v>55</v>
      </c>
      <c r="G6350" s="2" t="s">
        <v>31</v>
      </c>
      <c r="H6350" s="1">
        <v>68.794000000000011</v>
      </c>
    </row>
    <row r="6351" spans="1:8" x14ac:dyDescent="0.3">
      <c r="A6351" s="2">
        <v>859</v>
      </c>
      <c r="B6351" t="s">
        <v>248</v>
      </c>
      <c r="C6351" t="s">
        <v>3224</v>
      </c>
      <c r="D6351" s="2">
        <v>1</v>
      </c>
      <c r="E6351" s="11" t="s">
        <v>195</v>
      </c>
      <c r="F6351" t="s">
        <v>55</v>
      </c>
      <c r="G6351" s="2" t="s">
        <v>31</v>
      </c>
      <c r="H6351" s="1">
        <v>84.694000000000017</v>
      </c>
    </row>
    <row r="6352" spans="1:8" x14ac:dyDescent="0.3">
      <c r="A6352" s="2">
        <v>859</v>
      </c>
      <c r="B6352" t="s">
        <v>247</v>
      </c>
      <c r="C6352" t="s">
        <v>0</v>
      </c>
      <c r="D6352" s="2">
        <v>1</v>
      </c>
      <c r="E6352" s="11" t="s">
        <v>246</v>
      </c>
      <c r="F6352" t="s">
        <v>55</v>
      </c>
      <c r="G6352" s="2" t="s">
        <v>23</v>
      </c>
      <c r="H6352" s="1">
        <v>158.89400000000001</v>
      </c>
    </row>
    <row r="6353" spans="1:8" x14ac:dyDescent="0.3">
      <c r="A6353" s="2">
        <v>859</v>
      </c>
      <c r="B6353" t="s">
        <v>245</v>
      </c>
      <c r="C6353" t="s">
        <v>2</v>
      </c>
      <c r="D6353" s="2">
        <v>1</v>
      </c>
      <c r="E6353" s="11" t="s">
        <v>230</v>
      </c>
      <c r="F6353" t="s">
        <v>55</v>
      </c>
      <c r="G6353" s="2" t="s">
        <v>23</v>
      </c>
      <c r="H6353" s="1">
        <v>137.69400000000002</v>
      </c>
    </row>
    <row r="6354" spans="1:8" x14ac:dyDescent="0.3">
      <c r="A6354" s="2">
        <v>859</v>
      </c>
      <c r="B6354" t="s">
        <v>244</v>
      </c>
      <c r="C6354" t="s">
        <v>1</v>
      </c>
      <c r="D6354" s="2">
        <v>1</v>
      </c>
      <c r="E6354" s="11" t="s">
        <v>243</v>
      </c>
      <c r="F6354" t="s">
        <v>241</v>
      </c>
      <c r="G6354" s="2" t="s">
        <v>203</v>
      </c>
      <c r="H6354" s="1">
        <v>31.693999999999999</v>
      </c>
    </row>
    <row r="6355" spans="1:8" x14ac:dyDescent="0.3">
      <c r="A6355" s="2">
        <v>859</v>
      </c>
      <c r="B6355" t="s">
        <v>242</v>
      </c>
      <c r="C6355" t="s">
        <v>3220</v>
      </c>
      <c r="D6355" s="2">
        <v>1</v>
      </c>
      <c r="E6355" s="11" t="s">
        <v>204</v>
      </c>
      <c r="F6355" t="s">
        <v>241</v>
      </c>
      <c r="G6355" s="2" t="s">
        <v>4</v>
      </c>
      <c r="H6355" s="1">
        <v>42.294000000000004</v>
      </c>
    </row>
    <row r="6356" spans="1:8" x14ac:dyDescent="0.3">
      <c r="A6356" s="2">
        <v>859</v>
      </c>
      <c r="B6356" t="s">
        <v>240</v>
      </c>
      <c r="C6356" t="s">
        <v>3225</v>
      </c>
      <c r="D6356" s="2">
        <v>1</v>
      </c>
      <c r="E6356" s="11" t="s">
        <v>239</v>
      </c>
      <c r="F6356" t="s">
        <v>114</v>
      </c>
      <c r="G6356" s="2" t="s">
        <v>23</v>
      </c>
      <c r="H6356" s="1">
        <v>148.29400000000001</v>
      </c>
    </row>
    <row r="6357" spans="1:8" x14ac:dyDescent="0.3">
      <c r="A6357" s="2">
        <v>859</v>
      </c>
      <c r="B6357" t="s">
        <v>238</v>
      </c>
      <c r="C6357" t="s">
        <v>3224</v>
      </c>
      <c r="D6357" s="2">
        <v>1</v>
      </c>
      <c r="E6357" s="11" t="s">
        <v>191</v>
      </c>
      <c r="F6357" t="s">
        <v>114</v>
      </c>
      <c r="G6357" s="2" t="s">
        <v>31</v>
      </c>
      <c r="H6357" s="1">
        <v>63.494000000000007</v>
      </c>
    </row>
    <row r="6358" spans="1:8" x14ac:dyDescent="0.3">
      <c r="A6358" s="2">
        <v>859</v>
      </c>
      <c r="B6358" t="s">
        <v>237</v>
      </c>
      <c r="C6358" t="s">
        <v>3</v>
      </c>
      <c r="D6358" s="2">
        <v>1</v>
      </c>
      <c r="E6358" s="11" t="s">
        <v>236</v>
      </c>
      <c r="F6358" t="s">
        <v>114</v>
      </c>
      <c r="G6358" s="2" t="s">
        <v>31</v>
      </c>
      <c r="H6358" s="1">
        <v>79.394000000000005</v>
      </c>
    </row>
    <row r="6359" spans="1:8" x14ac:dyDescent="0.3">
      <c r="A6359" s="2">
        <v>859</v>
      </c>
      <c r="B6359" t="s">
        <v>235</v>
      </c>
      <c r="C6359" t="s">
        <v>3219</v>
      </c>
      <c r="D6359" s="2">
        <v>1</v>
      </c>
      <c r="E6359" s="11" t="s">
        <v>234</v>
      </c>
      <c r="F6359" t="s">
        <v>114</v>
      </c>
      <c r="G6359" s="2" t="s">
        <v>23</v>
      </c>
      <c r="H6359" s="1">
        <v>142.994</v>
      </c>
    </row>
    <row r="6360" spans="1:8" x14ac:dyDescent="0.3">
      <c r="A6360" s="2">
        <v>859</v>
      </c>
      <c r="B6360" t="s">
        <v>233</v>
      </c>
      <c r="C6360" t="s">
        <v>3219</v>
      </c>
      <c r="D6360" s="2">
        <v>1</v>
      </c>
      <c r="E6360" s="11" t="s">
        <v>232</v>
      </c>
      <c r="F6360" t="s">
        <v>114</v>
      </c>
      <c r="G6360" s="2" t="s">
        <v>23</v>
      </c>
      <c r="H6360" s="1">
        <v>21.094000000000001</v>
      </c>
    </row>
    <row r="6361" spans="1:8" x14ac:dyDescent="0.3">
      <c r="A6361" s="2">
        <v>859</v>
      </c>
      <c r="B6361" t="s">
        <v>231</v>
      </c>
      <c r="C6361" t="s">
        <v>2</v>
      </c>
      <c r="D6361" s="2">
        <v>1</v>
      </c>
      <c r="E6361" s="11" t="s">
        <v>230</v>
      </c>
      <c r="F6361" t="s">
        <v>36</v>
      </c>
      <c r="G6361" s="2" t="s">
        <v>31</v>
      </c>
      <c r="H6361" s="1">
        <v>137.69400000000002</v>
      </c>
    </row>
    <row r="6362" spans="1:8" x14ac:dyDescent="0.3">
      <c r="A6362" s="2">
        <v>859</v>
      </c>
      <c r="B6362" t="s">
        <v>229</v>
      </c>
      <c r="C6362" t="s">
        <v>3225</v>
      </c>
      <c r="D6362" s="2">
        <v>1</v>
      </c>
      <c r="E6362" s="11" t="s">
        <v>228</v>
      </c>
      <c r="F6362" t="s">
        <v>227</v>
      </c>
      <c r="G6362" s="2" t="s">
        <v>23</v>
      </c>
      <c r="H6362" s="1">
        <v>127.09400000000001</v>
      </c>
    </row>
    <row r="6363" spans="1:8" x14ac:dyDescent="0.3">
      <c r="A6363" s="2">
        <v>859</v>
      </c>
      <c r="B6363" t="s">
        <v>226</v>
      </c>
      <c r="C6363" t="s">
        <v>3224</v>
      </c>
      <c r="D6363" s="2">
        <v>1</v>
      </c>
      <c r="E6363" s="11" t="s">
        <v>193</v>
      </c>
      <c r="F6363" t="s">
        <v>47</v>
      </c>
      <c r="G6363" s="2" t="s">
        <v>31</v>
      </c>
      <c r="H6363" s="1">
        <v>100.59400000000001</v>
      </c>
    </row>
    <row r="6364" spans="1:8" x14ac:dyDescent="0.3">
      <c r="A6364" s="2">
        <v>859</v>
      </c>
      <c r="B6364" t="s">
        <v>225</v>
      </c>
      <c r="C6364" t="s">
        <v>3224</v>
      </c>
      <c r="D6364" s="2">
        <v>1</v>
      </c>
      <c r="E6364" s="11" t="s">
        <v>191</v>
      </c>
      <c r="F6364" t="s">
        <v>47</v>
      </c>
      <c r="G6364" s="2" t="s">
        <v>31</v>
      </c>
      <c r="H6364" s="1">
        <v>63.494000000000007</v>
      </c>
    </row>
    <row r="6365" spans="1:8" x14ac:dyDescent="0.3">
      <c r="A6365" s="2">
        <v>859</v>
      </c>
      <c r="B6365" t="s">
        <v>224</v>
      </c>
      <c r="C6365" t="s">
        <v>3224</v>
      </c>
      <c r="D6365" s="2">
        <v>1</v>
      </c>
      <c r="E6365" s="11" t="s">
        <v>191</v>
      </c>
      <c r="F6365" t="s">
        <v>47</v>
      </c>
      <c r="G6365" s="2" t="s">
        <v>23</v>
      </c>
      <c r="H6365" s="1">
        <v>63.494000000000007</v>
      </c>
    </row>
    <row r="6366" spans="1:8" x14ac:dyDescent="0.3">
      <c r="A6366" s="2">
        <v>859</v>
      </c>
      <c r="B6366" t="s">
        <v>223</v>
      </c>
      <c r="C6366" t="s">
        <v>1</v>
      </c>
      <c r="D6366" s="2">
        <v>1</v>
      </c>
      <c r="E6366" s="11" t="s">
        <v>222</v>
      </c>
      <c r="F6366" t="s">
        <v>47</v>
      </c>
      <c r="G6366" s="2" t="s">
        <v>203</v>
      </c>
      <c r="H6366" s="1">
        <v>52.893999999999998</v>
      </c>
    </row>
    <row r="6367" spans="1:8" x14ac:dyDescent="0.3">
      <c r="A6367" s="2">
        <v>859</v>
      </c>
      <c r="B6367" t="s">
        <v>221</v>
      </c>
      <c r="C6367" t="s">
        <v>3225</v>
      </c>
      <c r="D6367" s="2">
        <v>1</v>
      </c>
      <c r="E6367" s="11" t="s">
        <v>220</v>
      </c>
      <c r="F6367" t="s">
        <v>47</v>
      </c>
      <c r="G6367" s="2" t="s">
        <v>31</v>
      </c>
      <c r="H6367" s="1">
        <v>195.99400000000003</v>
      </c>
    </row>
    <row r="6368" spans="1:8" x14ac:dyDescent="0.3">
      <c r="A6368" s="2">
        <v>859</v>
      </c>
      <c r="B6368" t="s">
        <v>219</v>
      </c>
      <c r="C6368" t="s">
        <v>0</v>
      </c>
      <c r="D6368" s="2">
        <v>1</v>
      </c>
      <c r="E6368" s="11" t="s">
        <v>160</v>
      </c>
      <c r="F6368" t="s">
        <v>47</v>
      </c>
      <c r="G6368" s="2" t="s">
        <v>23</v>
      </c>
      <c r="H6368" s="1">
        <v>148.29400000000001</v>
      </c>
    </row>
    <row r="6369" spans="1:8" x14ac:dyDescent="0.3">
      <c r="A6369" s="2">
        <v>859</v>
      </c>
      <c r="B6369" t="s">
        <v>218</v>
      </c>
      <c r="C6369" t="s">
        <v>0</v>
      </c>
      <c r="D6369" s="2">
        <v>1</v>
      </c>
      <c r="E6369" s="11" t="s">
        <v>217</v>
      </c>
      <c r="F6369" t="s">
        <v>47</v>
      </c>
      <c r="G6369" s="2" t="s">
        <v>31</v>
      </c>
      <c r="H6369" s="1">
        <v>142.994</v>
      </c>
    </row>
    <row r="6370" spans="1:8" x14ac:dyDescent="0.3">
      <c r="A6370" s="2">
        <v>859</v>
      </c>
      <c r="B6370" t="s">
        <v>216</v>
      </c>
      <c r="C6370" t="s">
        <v>3</v>
      </c>
      <c r="D6370" s="2">
        <v>1</v>
      </c>
      <c r="E6370" s="11" t="s">
        <v>215</v>
      </c>
      <c r="F6370" t="s">
        <v>47</v>
      </c>
      <c r="G6370" s="2" t="s">
        <v>31</v>
      </c>
      <c r="H6370" s="1">
        <v>111.19400000000002</v>
      </c>
    </row>
    <row r="6371" spans="1:8" x14ac:dyDescent="0.3">
      <c r="A6371" s="2">
        <v>859</v>
      </c>
      <c r="B6371" t="s">
        <v>214</v>
      </c>
      <c r="C6371" t="s">
        <v>0</v>
      </c>
      <c r="D6371" s="2">
        <v>1</v>
      </c>
      <c r="E6371" s="11" t="s">
        <v>213</v>
      </c>
      <c r="F6371" t="s">
        <v>47</v>
      </c>
      <c r="G6371" s="2" t="s">
        <v>31</v>
      </c>
      <c r="H6371" s="1">
        <v>206.59400000000002</v>
      </c>
    </row>
    <row r="6372" spans="1:8" x14ac:dyDescent="0.3">
      <c r="A6372" s="2">
        <v>859</v>
      </c>
      <c r="B6372" t="s">
        <v>212</v>
      </c>
      <c r="C6372" t="s">
        <v>3224</v>
      </c>
      <c r="D6372" s="2">
        <v>1</v>
      </c>
      <c r="E6372" s="11" t="s">
        <v>211</v>
      </c>
      <c r="F6372" t="s">
        <v>47</v>
      </c>
      <c r="G6372" s="2" t="s">
        <v>31</v>
      </c>
      <c r="H6372" s="1">
        <v>63.494000000000007</v>
      </c>
    </row>
    <row r="6373" spans="1:8" x14ac:dyDescent="0.3">
      <c r="A6373" s="2">
        <v>859</v>
      </c>
      <c r="B6373" t="s">
        <v>210</v>
      </c>
      <c r="C6373" t="s">
        <v>3219</v>
      </c>
      <c r="D6373" s="2">
        <v>1</v>
      </c>
      <c r="E6373" s="11" t="s">
        <v>209</v>
      </c>
      <c r="F6373" t="s">
        <v>47</v>
      </c>
      <c r="G6373" s="2" t="s">
        <v>31</v>
      </c>
      <c r="H6373" s="1">
        <v>164.19400000000002</v>
      </c>
    </row>
    <row r="6374" spans="1:8" x14ac:dyDescent="0.3">
      <c r="A6374" s="2">
        <v>859</v>
      </c>
      <c r="B6374" t="s">
        <v>208</v>
      </c>
      <c r="C6374" t="s">
        <v>2</v>
      </c>
      <c r="D6374" s="2">
        <v>1</v>
      </c>
      <c r="E6374" s="11" t="s">
        <v>207</v>
      </c>
      <c r="F6374" t="s">
        <v>47</v>
      </c>
      <c r="G6374" s="2" t="s">
        <v>4</v>
      </c>
      <c r="H6374" s="1">
        <v>84.694000000000017</v>
      </c>
    </row>
    <row r="6375" spans="1:8" x14ac:dyDescent="0.3">
      <c r="A6375" s="2">
        <v>859</v>
      </c>
      <c r="B6375" t="s">
        <v>206</v>
      </c>
      <c r="C6375" t="s">
        <v>3220</v>
      </c>
      <c r="D6375" s="2">
        <v>1</v>
      </c>
      <c r="E6375" s="11" t="s">
        <v>204</v>
      </c>
      <c r="F6375" t="s">
        <v>47</v>
      </c>
      <c r="G6375" s="2" t="s">
        <v>4</v>
      </c>
      <c r="H6375" s="1">
        <v>42.294000000000004</v>
      </c>
    </row>
    <row r="6376" spans="1:8" x14ac:dyDescent="0.3">
      <c r="A6376" s="2">
        <v>859</v>
      </c>
      <c r="B6376" t="s">
        <v>205</v>
      </c>
      <c r="C6376" t="s">
        <v>3220</v>
      </c>
      <c r="D6376" s="2">
        <v>1</v>
      </c>
      <c r="E6376" s="11" t="s">
        <v>204</v>
      </c>
      <c r="F6376" t="s">
        <v>47</v>
      </c>
      <c r="G6376" s="2" t="s">
        <v>203</v>
      </c>
      <c r="H6376" s="1">
        <v>42.294000000000004</v>
      </c>
    </row>
    <row r="6377" spans="1:8" x14ac:dyDescent="0.3">
      <c r="A6377" s="2">
        <v>859</v>
      </c>
      <c r="B6377" t="s">
        <v>202</v>
      </c>
      <c r="C6377" t="s">
        <v>0</v>
      </c>
      <c r="D6377" s="2">
        <v>1</v>
      </c>
      <c r="E6377" s="11" t="s">
        <v>201</v>
      </c>
      <c r="F6377" t="s">
        <v>39</v>
      </c>
      <c r="G6377" s="2" t="s">
        <v>23</v>
      </c>
      <c r="H6377" s="1">
        <v>121.79400000000001</v>
      </c>
    </row>
    <row r="6378" spans="1:8" x14ac:dyDescent="0.3">
      <c r="A6378" s="2">
        <v>859</v>
      </c>
      <c r="B6378" t="s">
        <v>200</v>
      </c>
      <c r="C6378" t="s">
        <v>3221</v>
      </c>
      <c r="D6378" s="2">
        <v>1</v>
      </c>
      <c r="E6378" s="11" t="s">
        <v>199</v>
      </c>
      <c r="F6378" t="s">
        <v>39</v>
      </c>
      <c r="G6378" s="2" t="s">
        <v>31</v>
      </c>
      <c r="H6378" s="1">
        <v>137.69400000000002</v>
      </c>
    </row>
    <row r="6379" spans="1:8" x14ac:dyDescent="0.3">
      <c r="A6379" s="2">
        <v>859</v>
      </c>
      <c r="B6379" t="s">
        <v>198</v>
      </c>
      <c r="C6379" t="s">
        <v>3</v>
      </c>
      <c r="D6379" s="2">
        <v>1</v>
      </c>
      <c r="E6379" s="11" t="s">
        <v>197</v>
      </c>
      <c r="F6379" t="s">
        <v>39</v>
      </c>
      <c r="G6379" s="2" t="s">
        <v>4</v>
      </c>
      <c r="H6379" s="1">
        <v>68.794000000000011</v>
      </c>
    </row>
    <row r="6380" spans="1:8" x14ac:dyDescent="0.3">
      <c r="A6380" s="2">
        <v>859</v>
      </c>
      <c r="B6380" t="s">
        <v>196</v>
      </c>
      <c r="C6380" t="s">
        <v>3224</v>
      </c>
      <c r="D6380" s="2">
        <v>1</v>
      </c>
      <c r="E6380" s="11" t="s">
        <v>195</v>
      </c>
      <c r="F6380" t="s">
        <v>39</v>
      </c>
      <c r="G6380" s="2" t="s">
        <v>4</v>
      </c>
      <c r="H6380" s="1">
        <v>84.694000000000017</v>
      </c>
    </row>
    <row r="6381" spans="1:8" x14ac:dyDescent="0.3">
      <c r="A6381" s="2">
        <v>859</v>
      </c>
      <c r="B6381" t="s">
        <v>194</v>
      </c>
      <c r="C6381" t="s">
        <v>3224</v>
      </c>
      <c r="D6381" s="2">
        <v>1</v>
      </c>
      <c r="E6381" s="11" t="s">
        <v>193</v>
      </c>
      <c r="F6381" t="s">
        <v>36</v>
      </c>
      <c r="G6381" s="2" t="s">
        <v>23</v>
      </c>
      <c r="H6381" s="1">
        <v>100.59400000000001</v>
      </c>
    </row>
    <row r="6382" spans="1:8" x14ac:dyDescent="0.3">
      <c r="A6382" s="2">
        <v>859</v>
      </c>
      <c r="B6382" t="s">
        <v>192</v>
      </c>
      <c r="C6382" t="s">
        <v>3224</v>
      </c>
      <c r="D6382" s="2">
        <v>1</v>
      </c>
      <c r="E6382" s="11" t="s">
        <v>191</v>
      </c>
      <c r="F6382" t="s">
        <v>36</v>
      </c>
      <c r="G6382" s="2" t="s">
        <v>23</v>
      </c>
      <c r="H6382" s="1">
        <v>63.494000000000007</v>
      </c>
    </row>
    <row r="6383" spans="1:8" x14ac:dyDescent="0.3">
      <c r="A6383" s="2">
        <v>859</v>
      </c>
      <c r="B6383" t="s">
        <v>190</v>
      </c>
      <c r="C6383" t="s">
        <v>1</v>
      </c>
      <c r="D6383" s="2">
        <v>1</v>
      </c>
      <c r="E6383" s="11" t="s">
        <v>189</v>
      </c>
      <c r="F6383" t="s">
        <v>36</v>
      </c>
      <c r="G6383" s="2" t="s">
        <v>4</v>
      </c>
      <c r="H6383" s="1">
        <v>63.494000000000007</v>
      </c>
    </row>
    <row r="6384" spans="1:8" x14ac:dyDescent="0.3">
      <c r="A6384" s="2">
        <v>859</v>
      </c>
      <c r="B6384" t="s">
        <v>188</v>
      </c>
      <c r="C6384" t="s">
        <v>1</v>
      </c>
      <c r="D6384" s="2">
        <v>1</v>
      </c>
      <c r="E6384" s="11" t="s">
        <v>172</v>
      </c>
      <c r="F6384" t="s">
        <v>36</v>
      </c>
      <c r="G6384" s="2" t="s">
        <v>23</v>
      </c>
      <c r="H6384" s="1">
        <v>47.594000000000001</v>
      </c>
    </row>
    <row r="6385" spans="1:8" x14ac:dyDescent="0.3">
      <c r="A6385" s="2">
        <v>859</v>
      </c>
      <c r="B6385" t="s">
        <v>187</v>
      </c>
      <c r="C6385" t="s">
        <v>3220</v>
      </c>
      <c r="D6385" s="2">
        <v>1</v>
      </c>
      <c r="E6385" s="11" t="s">
        <v>185</v>
      </c>
      <c r="F6385" t="s">
        <v>36</v>
      </c>
      <c r="G6385" s="2" t="s">
        <v>4</v>
      </c>
      <c r="H6385" s="1">
        <v>84.694000000000017</v>
      </c>
    </row>
    <row r="6386" spans="1:8" x14ac:dyDescent="0.3">
      <c r="A6386" s="2">
        <v>859</v>
      </c>
      <c r="B6386" t="s">
        <v>186</v>
      </c>
      <c r="C6386" t="s">
        <v>3220</v>
      </c>
      <c r="D6386" s="2">
        <v>1</v>
      </c>
      <c r="E6386" s="11" t="s">
        <v>185</v>
      </c>
      <c r="F6386" t="s">
        <v>36</v>
      </c>
      <c r="G6386" s="2" t="s">
        <v>31</v>
      </c>
      <c r="H6386" s="1">
        <v>84.694000000000017</v>
      </c>
    </row>
    <row r="6387" spans="1:8" x14ac:dyDescent="0.3">
      <c r="A6387" s="2">
        <v>859</v>
      </c>
      <c r="B6387" t="s">
        <v>184</v>
      </c>
      <c r="C6387" t="s">
        <v>0</v>
      </c>
      <c r="D6387" s="2">
        <v>1</v>
      </c>
      <c r="E6387" s="11" t="s">
        <v>183</v>
      </c>
      <c r="F6387" t="s">
        <v>36</v>
      </c>
      <c r="G6387" s="2" t="s">
        <v>23</v>
      </c>
      <c r="H6387" s="1">
        <v>153.59400000000002</v>
      </c>
    </row>
    <row r="6388" spans="1:8" x14ac:dyDescent="0.3">
      <c r="A6388" s="2">
        <v>859</v>
      </c>
      <c r="B6388" t="s">
        <v>182</v>
      </c>
      <c r="C6388" t="s">
        <v>3</v>
      </c>
      <c r="D6388" s="2">
        <v>1</v>
      </c>
      <c r="E6388" s="11" t="s">
        <v>180</v>
      </c>
      <c r="F6388" t="s">
        <v>36</v>
      </c>
      <c r="G6388" s="2" t="s">
        <v>4</v>
      </c>
      <c r="H6388" s="1">
        <v>105.89400000000001</v>
      </c>
    </row>
    <row r="6389" spans="1:8" x14ac:dyDescent="0.3">
      <c r="A6389" s="2">
        <v>859</v>
      </c>
      <c r="B6389" t="s">
        <v>181</v>
      </c>
      <c r="C6389" t="s">
        <v>3</v>
      </c>
      <c r="D6389" s="2">
        <v>1</v>
      </c>
      <c r="E6389" s="11" t="s">
        <v>180</v>
      </c>
      <c r="F6389" t="s">
        <v>36</v>
      </c>
      <c r="G6389" s="2" t="s">
        <v>31</v>
      </c>
      <c r="H6389" s="1">
        <v>105.89400000000001</v>
      </c>
    </row>
    <row r="6390" spans="1:8" x14ac:dyDescent="0.3">
      <c r="A6390" s="2">
        <v>859</v>
      </c>
      <c r="B6390" t="s">
        <v>179</v>
      </c>
      <c r="C6390" t="s">
        <v>3225</v>
      </c>
      <c r="D6390" s="2">
        <v>1</v>
      </c>
      <c r="E6390" s="11" t="s">
        <v>178</v>
      </c>
      <c r="F6390" t="s">
        <v>36</v>
      </c>
      <c r="G6390" s="2" t="s">
        <v>23</v>
      </c>
      <c r="H6390" s="1">
        <v>158.89400000000001</v>
      </c>
    </row>
    <row r="6391" spans="1:8" x14ac:dyDescent="0.3">
      <c r="A6391" s="2">
        <v>859</v>
      </c>
      <c r="B6391" t="s">
        <v>177</v>
      </c>
      <c r="C6391" t="s">
        <v>3225</v>
      </c>
      <c r="D6391" s="2">
        <v>1</v>
      </c>
      <c r="E6391" s="11" t="s">
        <v>176</v>
      </c>
      <c r="F6391" t="s">
        <v>36</v>
      </c>
      <c r="G6391" s="2" t="s">
        <v>31</v>
      </c>
      <c r="H6391" s="1">
        <v>153.59400000000002</v>
      </c>
    </row>
    <row r="6392" spans="1:8" x14ac:dyDescent="0.3">
      <c r="A6392" s="2">
        <v>859</v>
      </c>
      <c r="B6392" t="s">
        <v>175</v>
      </c>
      <c r="C6392" t="s">
        <v>3220</v>
      </c>
      <c r="D6392" s="2">
        <v>1</v>
      </c>
      <c r="E6392" s="11" t="s">
        <v>174</v>
      </c>
      <c r="F6392" t="s">
        <v>28</v>
      </c>
      <c r="G6392" s="2" t="s">
        <v>4</v>
      </c>
      <c r="H6392" s="1">
        <v>74.094000000000008</v>
      </c>
    </row>
    <row r="6393" spans="1:8" x14ac:dyDescent="0.3">
      <c r="A6393" s="2">
        <v>859</v>
      </c>
      <c r="B6393" t="s">
        <v>173</v>
      </c>
      <c r="C6393" t="s">
        <v>1</v>
      </c>
      <c r="D6393" s="2">
        <v>1</v>
      </c>
      <c r="E6393" s="11" t="s">
        <v>172</v>
      </c>
      <c r="F6393" t="s">
        <v>28</v>
      </c>
      <c r="G6393" s="2" t="s">
        <v>4</v>
      </c>
      <c r="H6393" s="1">
        <v>47.594000000000001</v>
      </c>
    </row>
    <row r="6394" spans="1:8" x14ac:dyDescent="0.3">
      <c r="A6394" s="2">
        <v>859</v>
      </c>
      <c r="B6394" t="s">
        <v>171</v>
      </c>
      <c r="C6394" t="s">
        <v>3220</v>
      </c>
      <c r="D6394" s="2">
        <v>1</v>
      </c>
      <c r="E6394" s="11" t="s">
        <v>170</v>
      </c>
      <c r="F6394" t="s">
        <v>28</v>
      </c>
      <c r="G6394" s="2" t="s">
        <v>23</v>
      </c>
      <c r="H6394" s="1">
        <v>36.994</v>
      </c>
    </row>
    <row r="6395" spans="1:8" x14ac:dyDescent="0.3">
      <c r="A6395" s="2">
        <v>859</v>
      </c>
      <c r="B6395" t="s">
        <v>145</v>
      </c>
      <c r="C6395" t="s">
        <v>2</v>
      </c>
      <c r="D6395" s="2">
        <v>1</v>
      </c>
      <c r="E6395" s="11" t="s">
        <v>144</v>
      </c>
      <c r="F6395" t="s">
        <v>28</v>
      </c>
      <c r="G6395" s="2" t="s">
        <v>23</v>
      </c>
      <c r="H6395" s="1">
        <v>142.994</v>
      </c>
    </row>
    <row r="6396" spans="1:8" x14ac:dyDescent="0.3">
      <c r="A6396" s="2">
        <v>860</v>
      </c>
      <c r="B6396" t="s">
        <v>169</v>
      </c>
      <c r="C6396" t="s">
        <v>0</v>
      </c>
      <c r="D6396" s="2">
        <v>1</v>
      </c>
      <c r="E6396" s="11" t="s">
        <v>151</v>
      </c>
      <c r="F6396" t="s">
        <v>55</v>
      </c>
      <c r="G6396" s="2" t="s">
        <v>23</v>
      </c>
      <c r="H6396" s="1">
        <v>195.99400000000003</v>
      </c>
    </row>
    <row r="6397" spans="1:8" x14ac:dyDescent="0.3">
      <c r="A6397" s="2">
        <v>860</v>
      </c>
      <c r="B6397" t="s">
        <v>130</v>
      </c>
      <c r="C6397" t="s">
        <v>2</v>
      </c>
      <c r="D6397" s="2">
        <v>1</v>
      </c>
      <c r="E6397" s="11" t="s">
        <v>60</v>
      </c>
      <c r="F6397" t="s">
        <v>65</v>
      </c>
      <c r="G6397" s="2" t="s">
        <v>23</v>
      </c>
      <c r="H6397" s="1">
        <v>68.794000000000011</v>
      </c>
    </row>
    <row r="6398" spans="1:8" x14ac:dyDescent="0.3">
      <c r="A6398" s="2">
        <v>860</v>
      </c>
      <c r="B6398" t="s">
        <v>168</v>
      </c>
      <c r="C6398" t="s">
        <v>0</v>
      </c>
      <c r="D6398" s="2">
        <v>1</v>
      </c>
      <c r="E6398" s="11" t="s">
        <v>167</v>
      </c>
      <c r="F6398" t="s">
        <v>65</v>
      </c>
      <c r="G6398" s="2" t="s">
        <v>23</v>
      </c>
      <c r="H6398" s="1">
        <v>158.89400000000001</v>
      </c>
    </row>
    <row r="6399" spans="1:8" x14ac:dyDescent="0.3">
      <c r="A6399" s="2">
        <v>860</v>
      </c>
      <c r="B6399" t="s">
        <v>166</v>
      </c>
      <c r="C6399" t="s">
        <v>3224</v>
      </c>
      <c r="D6399" s="2">
        <v>1</v>
      </c>
      <c r="E6399" s="11" t="s">
        <v>132</v>
      </c>
      <c r="F6399" t="s">
        <v>114</v>
      </c>
      <c r="G6399" s="2" t="s">
        <v>23</v>
      </c>
      <c r="H6399" s="1">
        <v>84.694000000000017</v>
      </c>
    </row>
    <row r="6400" spans="1:8" x14ac:dyDescent="0.3">
      <c r="A6400" s="2">
        <v>860</v>
      </c>
      <c r="B6400" t="s">
        <v>165</v>
      </c>
      <c r="C6400" t="s">
        <v>3220</v>
      </c>
      <c r="D6400" s="2">
        <v>1</v>
      </c>
      <c r="E6400" s="11" t="s">
        <v>146</v>
      </c>
      <c r="F6400" t="s">
        <v>114</v>
      </c>
      <c r="G6400" s="2" t="s">
        <v>4</v>
      </c>
      <c r="H6400" s="1">
        <v>36.994</v>
      </c>
    </row>
    <row r="6401" spans="1:8" x14ac:dyDescent="0.3">
      <c r="A6401" s="2">
        <v>860</v>
      </c>
      <c r="B6401" t="s">
        <v>164</v>
      </c>
      <c r="C6401" t="s">
        <v>3220</v>
      </c>
      <c r="D6401" s="2">
        <v>1</v>
      </c>
      <c r="E6401" s="11" t="s">
        <v>140</v>
      </c>
      <c r="F6401" t="s">
        <v>114</v>
      </c>
      <c r="G6401" s="2" t="s">
        <v>4</v>
      </c>
      <c r="H6401" s="1">
        <v>42.294000000000004</v>
      </c>
    </row>
    <row r="6402" spans="1:8" x14ac:dyDescent="0.3">
      <c r="A6402" s="2">
        <v>860</v>
      </c>
      <c r="B6402" t="s">
        <v>163</v>
      </c>
      <c r="C6402" t="s">
        <v>3220</v>
      </c>
      <c r="D6402" s="2">
        <v>1</v>
      </c>
      <c r="E6402" s="11" t="s">
        <v>138</v>
      </c>
      <c r="F6402" t="s">
        <v>114</v>
      </c>
      <c r="G6402" s="2" t="s">
        <v>31</v>
      </c>
      <c r="H6402" s="1">
        <v>79.394000000000005</v>
      </c>
    </row>
    <row r="6403" spans="1:8" x14ac:dyDescent="0.3">
      <c r="A6403" s="2">
        <v>860</v>
      </c>
      <c r="B6403" t="s">
        <v>162</v>
      </c>
      <c r="C6403" t="s">
        <v>2</v>
      </c>
      <c r="D6403" s="2">
        <v>1</v>
      </c>
      <c r="E6403" s="11" t="s">
        <v>60</v>
      </c>
      <c r="F6403" t="s">
        <v>47</v>
      </c>
      <c r="G6403" s="2" t="s">
        <v>23</v>
      </c>
      <c r="H6403" s="1">
        <v>68.794000000000011</v>
      </c>
    </row>
    <row r="6404" spans="1:8" x14ac:dyDescent="0.3">
      <c r="A6404" s="2">
        <v>860</v>
      </c>
      <c r="B6404" t="s">
        <v>161</v>
      </c>
      <c r="C6404" t="s">
        <v>0</v>
      </c>
      <c r="D6404" s="2">
        <v>1</v>
      </c>
      <c r="E6404" s="11" t="s">
        <v>160</v>
      </c>
      <c r="F6404" t="s">
        <v>47</v>
      </c>
      <c r="G6404" s="2" t="s">
        <v>31</v>
      </c>
      <c r="H6404" s="1">
        <v>148.29400000000001</v>
      </c>
    </row>
    <row r="6405" spans="1:8" x14ac:dyDescent="0.3">
      <c r="A6405" s="2">
        <v>860</v>
      </c>
      <c r="B6405" t="s">
        <v>159</v>
      </c>
      <c r="C6405" t="s">
        <v>3220</v>
      </c>
      <c r="D6405" s="2">
        <v>1</v>
      </c>
      <c r="E6405" s="11" t="s">
        <v>146</v>
      </c>
      <c r="F6405" t="s">
        <v>47</v>
      </c>
      <c r="G6405" s="2" t="s">
        <v>23</v>
      </c>
      <c r="H6405" s="1">
        <v>36.994</v>
      </c>
    </row>
    <row r="6406" spans="1:8" x14ac:dyDescent="0.3">
      <c r="A6406" s="2">
        <v>860</v>
      </c>
      <c r="B6406" t="s">
        <v>158</v>
      </c>
      <c r="C6406" t="s">
        <v>3220</v>
      </c>
      <c r="D6406" s="2">
        <v>1</v>
      </c>
      <c r="E6406" s="11" t="s">
        <v>138</v>
      </c>
      <c r="F6406" t="s">
        <v>47</v>
      </c>
      <c r="G6406" s="2" t="s">
        <v>23</v>
      </c>
      <c r="H6406" s="1">
        <v>79.394000000000005</v>
      </c>
    </row>
    <row r="6407" spans="1:8" x14ac:dyDescent="0.3">
      <c r="A6407" s="2">
        <v>860</v>
      </c>
      <c r="B6407" t="s">
        <v>157</v>
      </c>
      <c r="C6407" t="s">
        <v>0</v>
      </c>
      <c r="D6407" s="2">
        <v>1</v>
      </c>
      <c r="E6407" s="11" t="s">
        <v>136</v>
      </c>
      <c r="F6407" t="s">
        <v>47</v>
      </c>
      <c r="G6407" s="2" t="s">
        <v>4</v>
      </c>
      <c r="H6407" s="1">
        <v>158.89400000000001</v>
      </c>
    </row>
    <row r="6408" spans="1:8" x14ac:dyDescent="0.3">
      <c r="A6408" s="2">
        <v>860</v>
      </c>
      <c r="B6408" t="s">
        <v>100</v>
      </c>
      <c r="C6408" t="s">
        <v>2</v>
      </c>
      <c r="D6408" s="2">
        <v>1</v>
      </c>
      <c r="E6408" s="11" t="s">
        <v>60</v>
      </c>
      <c r="F6408" t="s">
        <v>39</v>
      </c>
      <c r="G6408" s="2" t="s">
        <v>31</v>
      </c>
      <c r="H6408" s="1">
        <v>68.794000000000011</v>
      </c>
    </row>
    <row r="6409" spans="1:8" x14ac:dyDescent="0.3">
      <c r="A6409" s="2">
        <v>860</v>
      </c>
      <c r="B6409" t="s">
        <v>156</v>
      </c>
      <c r="C6409" t="s">
        <v>2</v>
      </c>
      <c r="D6409" s="2">
        <v>1</v>
      </c>
      <c r="E6409" s="11" t="s">
        <v>45</v>
      </c>
      <c r="F6409" t="s">
        <v>39</v>
      </c>
      <c r="G6409" s="2" t="s">
        <v>31</v>
      </c>
      <c r="H6409" s="1">
        <v>111.19400000000002</v>
      </c>
    </row>
    <row r="6410" spans="1:8" x14ac:dyDescent="0.3">
      <c r="A6410" s="2">
        <v>860</v>
      </c>
      <c r="B6410" t="s">
        <v>155</v>
      </c>
      <c r="C6410" t="s">
        <v>3220</v>
      </c>
      <c r="D6410" s="2">
        <v>1</v>
      </c>
      <c r="E6410" s="11" t="s">
        <v>154</v>
      </c>
      <c r="F6410" t="s">
        <v>39</v>
      </c>
      <c r="G6410" s="2" t="s">
        <v>31</v>
      </c>
      <c r="H6410" s="1">
        <v>84.694000000000017</v>
      </c>
    </row>
    <row r="6411" spans="1:8" x14ac:dyDescent="0.3">
      <c r="A6411" s="2">
        <v>860</v>
      </c>
      <c r="B6411" t="s">
        <v>153</v>
      </c>
      <c r="C6411" t="s">
        <v>2</v>
      </c>
      <c r="D6411" s="2">
        <v>1</v>
      </c>
      <c r="E6411" s="11" t="s">
        <v>144</v>
      </c>
      <c r="F6411" t="s">
        <v>39</v>
      </c>
      <c r="G6411" s="2" t="s">
        <v>31</v>
      </c>
      <c r="H6411" s="1">
        <v>142.994</v>
      </c>
    </row>
    <row r="6412" spans="1:8" x14ac:dyDescent="0.3">
      <c r="A6412" s="2">
        <v>860</v>
      </c>
      <c r="B6412" t="s">
        <v>152</v>
      </c>
      <c r="C6412" t="s">
        <v>0</v>
      </c>
      <c r="D6412" s="2">
        <v>1</v>
      </c>
      <c r="E6412" s="11" t="s">
        <v>151</v>
      </c>
      <c r="F6412" t="s">
        <v>39</v>
      </c>
      <c r="G6412" s="2" t="s">
        <v>4</v>
      </c>
      <c r="H6412" s="1">
        <v>195.99400000000003</v>
      </c>
    </row>
    <row r="6413" spans="1:8" x14ac:dyDescent="0.3">
      <c r="A6413" s="2">
        <v>860</v>
      </c>
      <c r="B6413" t="s">
        <v>150</v>
      </c>
      <c r="C6413" t="s">
        <v>3217</v>
      </c>
      <c r="D6413" s="2">
        <v>1</v>
      </c>
      <c r="E6413" s="11" t="s">
        <v>134</v>
      </c>
      <c r="F6413" t="s">
        <v>39</v>
      </c>
      <c r="G6413" s="2" t="s">
        <v>23</v>
      </c>
      <c r="H6413" s="1">
        <v>47.594000000000001</v>
      </c>
    </row>
    <row r="6414" spans="1:8" x14ac:dyDescent="0.3">
      <c r="A6414" s="2">
        <v>860</v>
      </c>
      <c r="B6414" t="s">
        <v>149</v>
      </c>
      <c r="C6414" t="s">
        <v>3220</v>
      </c>
      <c r="D6414" s="2">
        <v>1</v>
      </c>
      <c r="E6414" s="11" t="s">
        <v>138</v>
      </c>
      <c r="F6414" t="s">
        <v>36</v>
      </c>
      <c r="G6414" s="2" t="s">
        <v>23</v>
      </c>
      <c r="H6414" s="1">
        <v>79.394000000000005</v>
      </c>
    </row>
    <row r="6415" spans="1:8" x14ac:dyDescent="0.3">
      <c r="A6415" s="2">
        <v>860</v>
      </c>
      <c r="B6415" t="s">
        <v>148</v>
      </c>
      <c r="C6415" t="s">
        <v>2</v>
      </c>
      <c r="D6415" s="2">
        <v>1</v>
      </c>
      <c r="E6415" s="11" t="s">
        <v>45</v>
      </c>
      <c r="F6415" t="s">
        <v>28</v>
      </c>
      <c r="G6415" s="2" t="s">
        <v>23</v>
      </c>
      <c r="H6415" s="1">
        <v>111.19400000000002</v>
      </c>
    </row>
    <row r="6416" spans="1:8" x14ac:dyDescent="0.3">
      <c r="A6416" s="2">
        <v>860</v>
      </c>
      <c r="B6416" t="s">
        <v>147</v>
      </c>
      <c r="C6416" t="s">
        <v>3220</v>
      </c>
      <c r="D6416" s="2">
        <v>1</v>
      </c>
      <c r="E6416" s="11" t="s">
        <v>146</v>
      </c>
      <c r="F6416" t="s">
        <v>28</v>
      </c>
      <c r="G6416" s="2" t="s">
        <v>31</v>
      </c>
      <c r="H6416" s="1">
        <v>36.994</v>
      </c>
    </row>
    <row r="6417" spans="1:8" x14ac:dyDescent="0.3">
      <c r="A6417" s="2">
        <v>860</v>
      </c>
      <c r="B6417" t="s">
        <v>145</v>
      </c>
      <c r="C6417" t="s">
        <v>2</v>
      </c>
      <c r="D6417" s="2">
        <v>1</v>
      </c>
      <c r="E6417" s="11" t="s">
        <v>144</v>
      </c>
      <c r="F6417" t="s">
        <v>28</v>
      </c>
      <c r="G6417" s="2" t="s">
        <v>23</v>
      </c>
      <c r="H6417" s="1">
        <v>142.994</v>
      </c>
    </row>
    <row r="6418" spans="1:8" x14ac:dyDescent="0.3">
      <c r="A6418" s="2">
        <v>860</v>
      </c>
      <c r="B6418" t="s">
        <v>143</v>
      </c>
      <c r="C6418" t="s">
        <v>0</v>
      </c>
      <c r="D6418" s="2">
        <v>1</v>
      </c>
      <c r="E6418" s="11" t="s">
        <v>142</v>
      </c>
      <c r="F6418" t="s">
        <v>28</v>
      </c>
      <c r="G6418" s="2" t="s">
        <v>23</v>
      </c>
      <c r="H6418" s="1">
        <v>121.79400000000001</v>
      </c>
    </row>
    <row r="6419" spans="1:8" x14ac:dyDescent="0.3">
      <c r="A6419" s="2">
        <v>860</v>
      </c>
      <c r="B6419" t="s">
        <v>141</v>
      </c>
      <c r="C6419" t="s">
        <v>3220</v>
      </c>
      <c r="D6419" s="2">
        <v>1</v>
      </c>
      <c r="E6419" s="11" t="s">
        <v>140</v>
      </c>
      <c r="F6419" t="s">
        <v>28</v>
      </c>
      <c r="G6419" s="2" t="s">
        <v>23</v>
      </c>
      <c r="H6419" s="1">
        <v>42.294000000000004</v>
      </c>
    </row>
    <row r="6420" spans="1:8" x14ac:dyDescent="0.3">
      <c r="A6420" s="2">
        <v>860</v>
      </c>
      <c r="B6420" t="s">
        <v>139</v>
      </c>
      <c r="C6420" t="s">
        <v>3220</v>
      </c>
      <c r="D6420" s="2">
        <v>1</v>
      </c>
      <c r="E6420" s="11" t="s">
        <v>138</v>
      </c>
      <c r="F6420" t="s">
        <v>28</v>
      </c>
      <c r="G6420" s="2" t="s">
        <v>31</v>
      </c>
      <c r="H6420" s="1">
        <v>79.394000000000005</v>
      </c>
    </row>
    <row r="6421" spans="1:8" x14ac:dyDescent="0.3">
      <c r="A6421" s="2">
        <v>860</v>
      </c>
      <c r="B6421" t="s">
        <v>137</v>
      </c>
      <c r="C6421" t="s">
        <v>0</v>
      </c>
      <c r="D6421" s="2">
        <v>1</v>
      </c>
      <c r="E6421" s="11" t="s">
        <v>136</v>
      </c>
      <c r="F6421" t="s">
        <v>28</v>
      </c>
      <c r="G6421" s="2" t="s">
        <v>23</v>
      </c>
      <c r="H6421" s="1">
        <v>158.89400000000001</v>
      </c>
    </row>
    <row r="6422" spans="1:8" x14ac:dyDescent="0.3">
      <c r="A6422" s="2">
        <v>860</v>
      </c>
      <c r="B6422" t="s">
        <v>135</v>
      </c>
      <c r="C6422" t="s">
        <v>3217</v>
      </c>
      <c r="D6422" s="2">
        <v>1</v>
      </c>
      <c r="E6422" s="11" t="s">
        <v>134</v>
      </c>
      <c r="F6422" t="s">
        <v>28</v>
      </c>
      <c r="G6422" s="2" t="s">
        <v>4</v>
      </c>
      <c r="H6422" s="1">
        <v>47.594000000000001</v>
      </c>
    </row>
    <row r="6423" spans="1:8" x14ac:dyDescent="0.3">
      <c r="A6423" s="2">
        <v>860</v>
      </c>
      <c r="B6423" t="s">
        <v>133</v>
      </c>
      <c r="C6423" t="s">
        <v>3224</v>
      </c>
      <c r="D6423" s="2">
        <v>1</v>
      </c>
      <c r="E6423" s="11" t="s">
        <v>132</v>
      </c>
      <c r="F6423" t="s">
        <v>24</v>
      </c>
      <c r="G6423" s="2" t="s">
        <v>4</v>
      </c>
      <c r="H6423" s="1">
        <v>84.694000000000017</v>
      </c>
    </row>
    <row r="6424" spans="1:8" x14ac:dyDescent="0.3">
      <c r="A6424" s="2">
        <v>861</v>
      </c>
      <c r="B6424" t="s">
        <v>131</v>
      </c>
      <c r="C6424" t="s">
        <v>3219</v>
      </c>
      <c r="D6424" s="2">
        <v>1</v>
      </c>
      <c r="E6424" s="11" t="s">
        <v>102</v>
      </c>
      <c r="F6424" t="s">
        <v>65</v>
      </c>
      <c r="G6424" s="2" t="s">
        <v>4</v>
      </c>
      <c r="H6424" s="1">
        <v>121.79400000000001</v>
      </c>
    </row>
    <row r="6425" spans="1:8" x14ac:dyDescent="0.3">
      <c r="A6425" s="2">
        <v>861</v>
      </c>
      <c r="B6425" t="s">
        <v>130</v>
      </c>
      <c r="C6425" t="s">
        <v>2</v>
      </c>
      <c r="D6425" s="2">
        <v>1</v>
      </c>
      <c r="E6425" s="11" t="s">
        <v>60</v>
      </c>
      <c r="F6425" t="s">
        <v>65</v>
      </c>
      <c r="G6425" s="2" t="s">
        <v>23</v>
      </c>
      <c r="H6425" s="1">
        <v>68.794000000000011</v>
      </c>
    </row>
    <row r="6426" spans="1:8" x14ac:dyDescent="0.3">
      <c r="A6426" s="2">
        <v>861</v>
      </c>
      <c r="B6426" t="s">
        <v>129</v>
      </c>
      <c r="C6426" t="s">
        <v>3224</v>
      </c>
      <c r="D6426" s="2">
        <v>1</v>
      </c>
      <c r="E6426" s="11" t="s">
        <v>88</v>
      </c>
      <c r="F6426" t="s">
        <v>65</v>
      </c>
      <c r="G6426" s="2" t="s">
        <v>31</v>
      </c>
      <c r="H6426" s="1">
        <v>58.19400000000001</v>
      </c>
    </row>
    <row r="6427" spans="1:8" x14ac:dyDescent="0.3">
      <c r="A6427" s="2">
        <v>861</v>
      </c>
      <c r="B6427" t="s">
        <v>128</v>
      </c>
      <c r="C6427" t="s">
        <v>3224</v>
      </c>
      <c r="D6427" s="2">
        <v>1</v>
      </c>
      <c r="E6427" s="11" t="s">
        <v>88</v>
      </c>
      <c r="F6427" t="s">
        <v>65</v>
      </c>
      <c r="G6427" s="2" t="s">
        <v>23</v>
      </c>
      <c r="H6427" s="1">
        <v>58.19400000000001</v>
      </c>
    </row>
    <row r="6428" spans="1:8" x14ac:dyDescent="0.3">
      <c r="A6428" s="2">
        <v>861</v>
      </c>
      <c r="B6428" t="s">
        <v>127</v>
      </c>
      <c r="C6428" t="s">
        <v>3224</v>
      </c>
      <c r="D6428" s="2">
        <v>1</v>
      </c>
      <c r="E6428" s="11" t="s">
        <v>88</v>
      </c>
      <c r="F6428" t="s">
        <v>126</v>
      </c>
      <c r="G6428" s="2" t="s">
        <v>23</v>
      </c>
      <c r="H6428" s="1">
        <v>58.19400000000001</v>
      </c>
    </row>
    <row r="6429" spans="1:8" x14ac:dyDescent="0.3">
      <c r="A6429" s="2">
        <v>861</v>
      </c>
      <c r="B6429" t="s">
        <v>125</v>
      </c>
      <c r="C6429" t="s">
        <v>3219</v>
      </c>
      <c r="D6429" s="2">
        <v>1</v>
      </c>
      <c r="E6429" s="11" t="s">
        <v>102</v>
      </c>
      <c r="F6429" t="s">
        <v>62</v>
      </c>
      <c r="G6429" s="2" t="s">
        <v>4</v>
      </c>
      <c r="H6429" s="1">
        <v>121.79400000000001</v>
      </c>
    </row>
    <row r="6430" spans="1:8" x14ac:dyDescent="0.3">
      <c r="A6430" s="2">
        <v>861</v>
      </c>
      <c r="B6430" t="s">
        <v>124</v>
      </c>
      <c r="C6430" t="s">
        <v>3219</v>
      </c>
      <c r="D6430" s="2">
        <v>1</v>
      </c>
      <c r="E6430" s="11" t="s">
        <v>102</v>
      </c>
      <c r="F6430" t="s">
        <v>55</v>
      </c>
      <c r="G6430" s="2" t="s">
        <v>4</v>
      </c>
      <c r="H6430" s="1">
        <v>121.79400000000001</v>
      </c>
    </row>
    <row r="6431" spans="1:8" x14ac:dyDescent="0.3">
      <c r="A6431" s="2">
        <v>861</v>
      </c>
      <c r="B6431" t="s">
        <v>123</v>
      </c>
      <c r="C6431" t="s">
        <v>3219</v>
      </c>
      <c r="D6431" s="2">
        <v>1</v>
      </c>
      <c r="E6431" s="11" t="s">
        <v>102</v>
      </c>
      <c r="F6431" t="s">
        <v>55</v>
      </c>
      <c r="G6431" s="2" t="s">
        <v>23</v>
      </c>
      <c r="H6431" s="1">
        <v>121.79400000000001</v>
      </c>
    </row>
    <row r="6432" spans="1:8" x14ac:dyDescent="0.3">
      <c r="A6432" s="2">
        <v>861</v>
      </c>
      <c r="B6432" t="s">
        <v>122</v>
      </c>
      <c r="C6432" t="s">
        <v>3219</v>
      </c>
      <c r="D6432" s="2">
        <v>1</v>
      </c>
      <c r="E6432" s="11" t="s">
        <v>119</v>
      </c>
      <c r="F6432" t="s">
        <v>55</v>
      </c>
      <c r="G6432" s="2" t="s">
        <v>4</v>
      </c>
      <c r="H6432" s="1">
        <v>148.29400000000001</v>
      </c>
    </row>
    <row r="6433" spans="1:8" x14ac:dyDescent="0.3">
      <c r="A6433" s="2">
        <v>861</v>
      </c>
      <c r="B6433" t="s">
        <v>121</v>
      </c>
      <c r="C6433" t="s">
        <v>3219</v>
      </c>
      <c r="D6433" s="2">
        <v>1</v>
      </c>
      <c r="E6433" s="11" t="s">
        <v>119</v>
      </c>
      <c r="F6433" t="s">
        <v>55</v>
      </c>
      <c r="G6433" s="2" t="s">
        <v>31</v>
      </c>
      <c r="H6433" s="1">
        <v>148.29400000000001</v>
      </c>
    </row>
    <row r="6434" spans="1:8" x14ac:dyDescent="0.3">
      <c r="A6434" s="2">
        <v>861</v>
      </c>
      <c r="B6434" t="s">
        <v>120</v>
      </c>
      <c r="C6434" t="s">
        <v>3219</v>
      </c>
      <c r="D6434" s="2">
        <v>1</v>
      </c>
      <c r="E6434" s="11" t="s">
        <v>119</v>
      </c>
      <c r="F6434" t="s">
        <v>55</v>
      </c>
      <c r="G6434" s="2" t="s">
        <v>23</v>
      </c>
      <c r="H6434" s="1">
        <v>148.29400000000001</v>
      </c>
    </row>
    <row r="6435" spans="1:8" x14ac:dyDescent="0.3">
      <c r="A6435" s="2">
        <v>861</v>
      </c>
      <c r="B6435" t="s">
        <v>118</v>
      </c>
      <c r="C6435" t="s">
        <v>2</v>
      </c>
      <c r="D6435" s="2">
        <v>1</v>
      </c>
      <c r="E6435" s="11" t="s">
        <v>86</v>
      </c>
      <c r="F6435" t="s">
        <v>114</v>
      </c>
      <c r="G6435" s="2" t="s">
        <v>23</v>
      </c>
      <c r="H6435" s="1">
        <v>95.294000000000011</v>
      </c>
    </row>
    <row r="6436" spans="1:8" x14ac:dyDescent="0.3">
      <c r="A6436" s="2">
        <v>861</v>
      </c>
      <c r="B6436" t="s">
        <v>117</v>
      </c>
      <c r="C6436" t="s">
        <v>2</v>
      </c>
      <c r="D6436" s="2">
        <v>2</v>
      </c>
      <c r="E6436" s="11" t="s">
        <v>43</v>
      </c>
      <c r="F6436" t="s">
        <v>114</v>
      </c>
      <c r="G6436" s="2" t="s">
        <v>31</v>
      </c>
      <c r="H6436" s="1">
        <v>74.094000000000008</v>
      </c>
    </row>
    <row r="6437" spans="1:8" x14ac:dyDescent="0.3">
      <c r="A6437" s="2">
        <v>861</v>
      </c>
      <c r="B6437" t="s">
        <v>116</v>
      </c>
      <c r="C6437" t="s">
        <v>3224</v>
      </c>
      <c r="D6437" s="2">
        <v>1</v>
      </c>
      <c r="E6437" s="11" t="s">
        <v>88</v>
      </c>
      <c r="F6437" t="s">
        <v>114</v>
      </c>
      <c r="G6437" s="2" t="s">
        <v>31</v>
      </c>
      <c r="H6437" s="1">
        <v>58.19400000000001</v>
      </c>
    </row>
    <row r="6438" spans="1:8" x14ac:dyDescent="0.3">
      <c r="A6438" s="2">
        <v>861</v>
      </c>
      <c r="B6438" t="s">
        <v>115</v>
      </c>
      <c r="C6438" t="s">
        <v>3224</v>
      </c>
      <c r="D6438" s="2">
        <v>1</v>
      </c>
      <c r="E6438" s="11" t="s">
        <v>88</v>
      </c>
      <c r="F6438" t="s">
        <v>114</v>
      </c>
      <c r="G6438" s="2" t="s">
        <v>23</v>
      </c>
      <c r="H6438" s="1">
        <v>58.19400000000001</v>
      </c>
    </row>
    <row r="6439" spans="1:8" x14ac:dyDescent="0.3">
      <c r="A6439" s="2">
        <v>861</v>
      </c>
      <c r="B6439" t="s">
        <v>113</v>
      </c>
      <c r="C6439" t="s">
        <v>3219</v>
      </c>
      <c r="D6439" s="2">
        <v>1</v>
      </c>
      <c r="E6439" s="11" t="s">
        <v>102</v>
      </c>
      <c r="F6439" t="s">
        <v>36</v>
      </c>
      <c r="G6439" s="2" t="s">
        <v>4</v>
      </c>
      <c r="H6439" s="1">
        <v>121.79400000000001</v>
      </c>
    </row>
    <row r="6440" spans="1:8" x14ac:dyDescent="0.3">
      <c r="A6440" s="2">
        <v>861</v>
      </c>
      <c r="B6440" t="s">
        <v>112</v>
      </c>
      <c r="C6440" t="s">
        <v>3219</v>
      </c>
      <c r="D6440" s="2">
        <v>1</v>
      </c>
      <c r="E6440" s="11" t="s">
        <v>102</v>
      </c>
      <c r="F6440" t="s">
        <v>36</v>
      </c>
      <c r="G6440" s="2" t="s">
        <v>23</v>
      </c>
      <c r="H6440" s="1">
        <v>121.79400000000001</v>
      </c>
    </row>
    <row r="6441" spans="1:8" x14ac:dyDescent="0.3">
      <c r="A6441" s="2">
        <v>861</v>
      </c>
      <c r="B6441" t="s">
        <v>111</v>
      </c>
      <c r="C6441" t="s">
        <v>3219</v>
      </c>
      <c r="D6441" s="2">
        <v>1</v>
      </c>
      <c r="E6441" s="11" t="s">
        <v>109</v>
      </c>
      <c r="F6441" t="s">
        <v>47</v>
      </c>
      <c r="G6441" s="2" t="s">
        <v>4</v>
      </c>
      <c r="H6441" s="1">
        <v>158.89400000000001</v>
      </c>
    </row>
    <row r="6442" spans="1:8" x14ac:dyDescent="0.3">
      <c r="A6442" s="2">
        <v>861</v>
      </c>
      <c r="B6442" t="s">
        <v>110</v>
      </c>
      <c r="C6442" t="s">
        <v>3219</v>
      </c>
      <c r="D6442" s="2">
        <v>1</v>
      </c>
      <c r="E6442" s="11" t="s">
        <v>109</v>
      </c>
      <c r="F6442" t="s">
        <v>47</v>
      </c>
      <c r="G6442" s="2" t="s">
        <v>23</v>
      </c>
      <c r="H6442" s="1">
        <v>158.89400000000001</v>
      </c>
    </row>
    <row r="6443" spans="1:8" x14ac:dyDescent="0.3">
      <c r="A6443" s="2">
        <v>861</v>
      </c>
      <c r="B6443" t="s">
        <v>108</v>
      </c>
      <c r="C6443" t="s">
        <v>3224</v>
      </c>
      <c r="D6443" s="2">
        <v>1</v>
      </c>
      <c r="E6443" s="11" t="s">
        <v>96</v>
      </c>
      <c r="F6443" t="s">
        <v>47</v>
      </c>
      <c r="G6443" s="2" t="s">
        <v>31</v>
      </c>
      <c r="H6443" s="1">
        <v>68.794000000000011</v>
      </c>
    </row>
    <row r="6444" spans="1:8" x14ac:dyDescent="0.3">
      <c r="A6444" s="2">
        <v>861</v>
      </c>
      <c r="B6444" t="s">
        <v>107</v>
      </c>
      <c r="C6444" t="s">
        <v>3224</v>
      </c>
      <c r="D6444" s="2">
        <v>2</v>
      </c>
      <c r="E6444" s="11" t="s">
        <v>96</v>
      </c>
      <c r="F6444" t="s">
        <v>47</v>
      </c>
      <c r="G6444" s="2" t="s">
        <v>23</v>
      </c>
      <c r="H6444" s="1">
        <v>68.794000000000011</v>
      </c>
    </row>
    <row r="6445" spans="1:8" x14ac:dyDescent="0.3">
      <c r="A6445" s="2">
        <v>861</v>
      </c>
      <c r="B6445" t="s">
        <v>106</v>
      </c>
      <c r="C6445" t="s">
        <v>2</v>
      </c>
      <c r="D6445" s="2">
        <v>1</v>
      </c>
      <c r="E6445" s="11" t="s">
        <v>86</v>
      </c>
      <c r="F6445" t="s">
        <v>47</v>
      </c>
      <c r="G6445" s="2" t="s">
        <v>4</v>
      </c>
      <c r="H6445" s="1">
        <v>95.294000000000011</v>
      </c>
    </row>
    <row r="6446" spans="1:8" x14ac:dyDescent="0.3">
      <c r="A6446" s="2">
        <v>861</v>
      </c>
      <c r="B6446" t="s">
        <v>105</v>
      </c>
      <c r="C6446" t="s">
        <v>2</v>
      </c>
      <c r="D6446" s="2">
        <v>1</v>
      </c>
      <c r="E6446" s="11" t="s">
        <v>86</v>
      </c>
      <c r="F6446" t="s">
        <v>47</v>
      </c>
      <c r="G6446" s="2" t="s">
        <v>23</v>
      </c>
      <c r="H6446" s="1">
        <v>95.294000000000011</v>
      </c>
    </row>
    <row r="6447" spans="1:8" x14ac:dyDescent="0.3">
      <c r="A6447" s="2">
        <v>861</v>
      </c>
      <c r="B6447" t="s">
        <v>104</v>
      </c>
      <c r="C6447" t="s">
        <v>3219</v>
      </c>
      <c r="D6447" s="2">
        <v>1</v>
      </c>
      <c r="E6447" s="11" t="s">
        <v>102</v>
      </c>
      <c r="F6447" t="s">
        <v>39</v>
      </c>
      <c r="G6447" s="2" t="s">
        <v>4</v>
      </c>
      <c r="H6447" s="1">
        <v>121.79400000000001</v>
      </c>
    </row>
    <row r="6448" spans="1:8" x14ac:dyDescent="0.3">
      <c r="A6448" s="2">
        <v>861</v>
      </c>
      <c r="B6448" t="s">
        <v>103</v>
      </c>
      <c r="C6448" t="s">
        <v>3219</v>
      </c>
      <c r="D6448" s="2">
        <v>1</v>
      </c>
      <c r="E6448" s="11" t="s">
        <v>102</v>
      </c>
      <c r="F6448" t="s">
        <v>39</v>
      </c>
      <c r="G6448" s="2" t="s">
        <v>23</v>
      </c>
      <c r="H6448" s="1">
        <v>121.79400000000001</v>
      </c>
    </row>
    <row r="6449" spans="1:8" x14ac:dyDescent="0.3">
      <c r="A6449" s="2">
        <v>861</v>
      </c>
      <c r="B6449" t="s">
        <v>101</v>
      </c>
      <c r="C6449" t="s">
        <v>2</v>
      </c>
      <c r="D6449" s="2">
        <v>1</v>
      </c>
      <c r="E6449" s="11" t="s">
        <v>60</v>
      </c>
      <c r="F6449" t="s">
        <v>39</v>
      </c>
      <c r="G6449" s="2" t="s">
        <v>4</v>
      </c>
      <c r="H6449" s="1">
        <v>68.794000000000011</v>
      </c>
    </row>
    <row r="6450" spans="1:8" x14ac:dyDescent="0.3">
      <c r="A6450" s="2">
        <v>861</v>
      </c>
      <c r="B6450" t="s">
        <v>100</v>
      </c>
      <c r="C6450" t="s">
        <v>2</v>
      </c>
      <c r="D6450" s="2">
        <v>1</v>
      </c>
      <c r="E6450" s="11" t="s">
        <v>60</v>
      </c>
      <c r="F6450" t="s">
        <v>39</v>
      </c>
      <c r="G6450" s="2" t="s">
        <v>31</v>
      </c>
      <c r="H6450" s="1">
        <v>68.794000000000011</v>
      </c>
    </row>
    <row r="6451" spans="1:8" x14ac:dyDescent="0.3">
      <c r="A6451" s="2">
        <v>861</v>
      </c>
      <c r="B6451" t="s">
        <v>99</v>
      </c>
      <c r="C6451" t="s">
        <v>2</v>
      </c>
      <c r="D6451" s="2">
        <v>1</v>
      </c>
      <c r="E6451" s="11" t="s">
        <v>60</v>
      </c>
      <c r="F6451" t="s">
        <v>39</v>
      </c>
      <c r="G6451" s="2" t="s">
        <v>23</v>
      </c>
      <c r="H6451" s="1">
        <v>68.794000000000011</v>
      </c>
    </row>
    <row r="6452" spans="1:8" x14ac:dyDescent="0.3">
      <c r="A6452" s="2">
        <v>861</v>
      </c>
      <c r="B6452" t="s">
        <v>98</v>
      </c>
      <c r="C6452" t="s">
        <v>3224</v>
      </c>
      <c r="D6452" s="2">
        <v>1</v>
      </c>
      <c r="E6452" s="11" t="s">
        <v>96</v>
      </c>
      <c r="F6452" t="s">
        <v>39</v>
      </c>
      <c r="G6452" s="2" t="s">
        <v>31</v>
      </c>
      <c r="H6452" s="1">
        <v>68.794000000000011</v>
      </c>
    </row>
    <row r="6453" spans="1:8" x14ac:dyDescent="0.3">
      <c r="A6453" s="2">
        <v>861</v>
      </c>
      <c r="B6453" t="s">
        <v>97</v>
      </c>
      <c r="C6453" t="s">
        <v>3224</v>
      </c>
      <c r="D6453" s="2">
        <v>1</v>
      </c>
      <c r="E6453" s="11" t="s">
        <v>96</v>
      </c>
      <c r="F6453" t="s">
        <v>39</v>
      </c>
      <c r="G6453" s="2" t="s">
        <v>23</v>
      </c>
      <c r="H6453" s="1">
        <v>68.794000000000011</v>
      </c>
    </row>
    <row r="6454" spans="1:8" x14ac:dyDescent="0.3">
      <c r="A6454" s="2">
        <v>861</v>
      </c>
      <c r="B6454" t="s">
        <v>95</v>
      </c>
      <c r="C6454" t="s">
        <v>2</v>
      </c>
      <c r="D6454" s="2">
        <v>1</v>
      </c>
      <c r="E6454" s="11" t="s">
        <v>86</v>
      </c>
      <c r="F6454" t="s">
        <v>39</v>
      </c>
      <c r="G6454" s="2" t="s">
        <v>4</v>
      </c>
      <c r="H6454" s="1">
        <v>95.294000000000011</v>
      </c>
    </row>
    <row r="6455" spans="1:8" x14ac:dyDescent="0.3">
      <c r="A6455" s="2">
        <v>861</v>
      </c>
      <c r="B6455" t="s">
        <v>94</v>
      </c>
      <c r="C6455" t="s">
        <v>2</v>
      </c>
      <c r="D6455" s="2">
        <v>1</v>
      </c>
      <c r="E6455" s="11" t="s">
        <v>86</v>
      </c>
      <c r="F6455" t="s">
        <v>39</v>
      </c>
      <c r="G6455" s="2" t="s">
        <v>23</v>
      </c>
      <c r="H6455" s="1">
        <v>95.294000000000011</v>
      </c>
    </row>
    <row r="6456" spans="1:8" x14ac:dyDescent="0.3">
      <c r="A6456" s="2">
        <v>861</v>
      </c>
      <c r="B6456" t="s">
        <v>93</v>
      </c>
      <c r="C6456" t="s">
        <v>3219</v>
      </c>
      <c r="D6456" s="2">
        <v>1</v>
      </c>
      <c r="E6456" s="11" t="s">
        <v>91</v>
      </c>
      <c r="F6456" t="s">
        <v>39</v>
      </c>
      <c r="G6456" s="2" t="s">
        <v>4</v>
      </c>
      <c r="H6456" s="1">
        <v>111.19400000000002</v>
      </c>
    </row>
    <row r="6457" spans="1:8" x14ac:dyDescent="0.3">
      <c r="A6457" s="2">
        <v>861</v>
      </c>
      <c r="B6457" t="s">
        <v>92</v>
      </c>
      <c r="C6457" t="s">
        <v>3219</v>
      </c>
      <c r="D6457" s="2">
        <v>1</v>
      </c>
      <c r="E6457" s="11" t="s">
        <v>91</v>
      </c>
      <c r="F6457" t="s">
        <v>39</v>
      </c>
      <c r="G6457" s="2" t="s">
        <v>23</v>
      </c>
      <c r="H6457" s="1">
        <v>111.19400000000002</v>
      </c>
    </row>
    <row r="6458" spans="1:8" x14ac:dyDescent="0.3">
      <c r="A6458" s="2">
        <v>861</v>
      </c>
      <c r="B6458" t="s">
        <v>90</v>
      </c>
      <c r="C6458" t="s">
        <v>3224</v>
      </c>
      <c r="D6458" s="2">
        <v>1</v>
      </c>
      <c r="E6458" s="11" t="s">
        <v>88</v>
      </c>
      <c r="F6458" t="s">
        <v>39</v>
      </c>
      <c r="G6458" s="2" t="s">
        <v>31</v>
      </c>
      <c r="H6458" s="1">
        <v>58.19400000000001</v>
      </c>
    </row>
    <row r="6459" spans="1:8" x14ac:dyDescent="0.3">
      <c r="A6459" s="2">
        <v>861</v>
      </c>
      <c r="B6459" t="s">
        <v>89</v>
      </c>
      <c r="C6459" t="s">
        <v>3224</v>
      </c>
      <c r="D6459" s="2">
        <v>1</v>
      </c>
      <c r="E6459" s="11" t="s">
        <v>88</v>
      </c>
      <c r="F6459" t="s">
        <v>39</v>
      </c>
      <c r="G6459" s="2" t="s">
        <v>23</v>
      </c>
      <c r="H6459" s="1">
        <v>58.19400000000001</v>
      </c>
    </row>
    <row r="6460" spans="1:8" x14ac:dyDescent="0.3">
      <c r="A6460" s="2">
        <v>861</v>
      </c>
      <c r="B6460" t="s">
        <v>87</v>
      </c>
      <c r="C6460" t="s">
        <v>2</v>
      </c>
      <c r="D6460" s="2">
        <v>1</v>
      </c>
      <c r="E6460" s="11" t="s">
        <v>86</v>
      </c>
      <c r="F6460" t="s">
        <v>36</v>
      </c>
      <c r="G6460" s="2" t="s">
        <v>4</v>
      </c>
      <c r="H6460" s="1">
        <v>95.294000000000011</v>
      </c>
    </row>
    <row r="6461" spans="1:8" x14ac:dyDescent="0.3">
      <c r="A6461" s="2">
        <v>862</v>
      </c>
      <c r="B6461" t="s">
        <v>85</v>
      </c>
      <c r="C6461" t="s">
        <v>0</v>
      </c>
      <c r="D6461" s="2">
        <v>1</v>
      </c>
      <c r="E6461" s="11" t="s">
        <v>82</v>
      </c>
      <c r="F6461" t="s">
        <v>81</v>
      </c>
      <c r="G6461" s="2" t="s">
        <v>4</v>
      </c>
      <c r="H6461" s="1">
        <v>148.29400000000001</v>
      </c>
    </row>
    <row r="6462" spans="1:8" x14ac:dyDescent="0.3">
      <c r="A6462" s="2">
        <v>862</v>
      </c>
      <c r="B6462" t="s">
        <v>84</v>
      </c>
      <c r="C6462" t="s">
        <v>0</v>
      </c>
      <c r="D6462" s="2">
        <v>1</v>
      </c>
      <c r="E6462" s="11" t="s">
        <v>82</v>
      </c>
      <c r="F6462" t="s">
        <v>81</v>
      </c>
      <c r="G6462" s="2" t="s">
        <v>31</v>
      </c>
      <c r="H6462" s="1">
        <v>148.29400000000001</v>
      </c>
    </row>
    <row r="6463" spans="1:8" x14ac:dyDescent="0.3">
      <c r="A6463" s="2">
        <v>862</v>
      </c>
      <c r="B6463" t="s">
        <v>83</v>
      </c>
      <c r="C6463" t="s">
        <v>0</v>
      </c>
      <c r="D6463" s="2">
        <v>1</v>
      </c>
      <c r="E6463" s="11" t="s">
        <v>82</v>
      </c>
      <c r="F6463" t="s">
        <v>81</v>
      </c>
      <c r="G6463" s="2" t="s">
        <v>23</v>
      </c>
      <c r="H6463" s="1">
        <v>148.29400000000001</v>
      </c>
    </row>
    <row r="6464" spans="1:8" x14ac:dyDescent="0.3">
      <c r="A6464" s="2">
        <v>862</v>
      </c>
      <c r="B6464" t="s">
        <v>80</v>
      </c>
      <c r="C6464" t="s">
        <v>1</v>
      </c>
      <c r="D6464" s="2">
        <v>1</v>
      </c>
      <c r="E6464" s="11" t="s">
        <v>76</v>
      </c>
      <c r="F6464" t="s">
        <v>62</v>
      </c>
      <c r="G6464" s="2" t="s">
        <v>4</v>
      </c>
      <c r="H6464" s="1">
        <v>63.494</v>
      </c>
    </row>
    <row r="6465" spans="1:8" x14ac:dyDescent="0.3">
      <c r="A6465" s="2">
        <v>862</v>
      </c>
      <c r="B6465" t="s">
        <v>57</v>
      </c>
      <c r="C6465" t="s">
        <v>0</v>
      </c>
      <c r="D6465" s="2">
        <v>1</v>
      </c>
      <c r="E6465" s="11" t="s">
        <v>56</v>
      </c>
      <c r="F6465" t="s">
        <v>55</v>
      </c>
      <c r="G6465" s="2" t="s">
        <v>23</v>
      </c>
      <c r="H6465" s="1">
        <v>227.79400000000001</v>
      </c>
    </row>
    <row r="6466" spans="1:8" x14ac:dyDescent="0.3">
      <c r="A6466" s="2">
        <v>862</v>
      </c>
      <c r="B6466" t="s">
        <v>79</v>
      </c>
      <c r="C6466" t="s">
        <v>1</v>
      </c>
      <c r="D6466" s="2">
        <v>1</v>
      </c>
      <c r="E6466" s="11" t="s">
        <v>76</v>
      </c>
      <c r="F6466" t="s">
        <v>78</v>
      </c>
      <c r="G6466" s="2" t="s">
        <v>31</v>
      </c>
      <c r="H6466" s="1">
        <v>63.494</v>
      </c>
    </row>
    <row r="6467" spans="1:8" x14ac:dyDescent="0.3">
      <c r="A6467" s="2">
        <v>862</v>
      </c>
      <c r="B6467" t="s">
        <v>77</v>
      </c>
      <c r="C6467" t="s">
        <v>1</v>
      </c>
      <c r="D6467" s="2">
        <v>1</v>
      </c>
      <c r="E6467" s="11" t="s">
        <v>76</v>
      </c>
      <c r="F6467" t="s">
        <v>47</v>
      </c>
      <c r="G6467" s="2" t="s">
        <v>23</v>
      </c>
      <c r="H6467" s="1">
        <v>63.494</v>
      </c>
    </row>
    <row r="6468" spans="1:8" x14ac:dyDescent="0.3">
      <c r="A6468" s="2">
        <v>862</v>
      </c>
      <c r="B6468" t="s">
        <v>75</v>
      </c>
      <c r="C6468" t="s">
        <v>3225</v>
      </c>
      <c r="D6468" s="2">
        <v>1</v>
      </c>
      <c r="E6468" s="11" t="s">
        <v>72</v>
      </c>
      <c r="F6468" t="s">
        <v>47</v>
      </c>
      <c r="G6468" s="2" t="s">
        <v>4</v>
      </c>
      <c r="H6468" s="1">
        <v>21.094000000000001</v>
      </c>
    </row>
    <row r="6469" spans="1:8" x14ac:dyDescent="0.3">
      <c r="A6469" s="2">
        <v>862</v>
      </c>
      <c r="B6469" t="s">
        <v>74</v>
      </c>
      <c r="C6469" t="s">
        <v>3225</v>
      </c>
      <c r="D6469" s="2">
        <v>1</v>
      </c>
      <c r="E6469" s="11" t="s">
        <v>72</v>
      </c>
      <c r="F6469" t="s">
        <v>47</v>
      </c>
      <c r="G6469" s="2" t="s">
        <v>31</v>
      </c>
      <c r="H6469" s="1">
        <v>21.094000000000001</v>
      </c>
    </row>
    <row r="6470" spans="1:8" x14ac:dyDescent="0.3">
      <c r="A6470" s="2">
        <v>862</v>
      </c>
      <c r="B6470" t="s">
        <v>73</v>
      </c>
      <c r="C6470" t="s">
        <v>3225</v>
      </c>
      <c r="D6470" s="2">
        <v>1</v>
      </c>
      <c r="E6470" s="11" t="s">
        <v>72</v>
      </c>
      <c r="F6470" t="s">
        <v>47</v>
      </c>
      <c r="G6470" s="2" t="s">
        <v>23</v>
      </c>
      <c r="H6470" s="1">
        <v>21.094000000000001</v>
      </c>
    </row>
    <row r="6471" spans="1:8" x14ac:dyDescent="0.3">
      <c r="A6471" s="2">
        <v>862</v>
      </c>
      <c r="B6471" t="s">
        <v>71</v>
      </c>
      <c r="C6471" t="s">
        <v>0</v>
      </c>
      <c r="D6471" s="2">
        <v>1</v>
      </c>
      <c r="E6471" s="11" t="s">
        <v>68</v>
      </c>
      <c r="F6471" t="s">
        <v>39</v>
      </c>
      <c r="G6471" s="2" t="s">
        <v>4</v>
      </c>
      <c r="H6471" s="1">
        <v>180.09400000000002</v>
      </c>
    </row>
    <row r="6472" spans="1:8" x14ac:dyDescent="0.3">
      <c r="A6472" s="2">
        <v>862</v>
      </c>
      <c r="B6472" t="s">
        <v>70</v>
      </c>
      <c r="C6472" t="s">
        <v>0</v>
      </c>
      <c r="D6472" s="2">
        <v>1</v>
      </c>
      <c r="E6472" s="11" t="s">
        <v>68</v>
      </c>
      <c r="F6472" t="s">
        <v>39</v>
      </c>
      <c r="G6472" s="2" t="s">
        <v>31</v>
      </c>
      <c r="H6472" s="1">
        <v>180.09400000000002</v>
      </c>
    </row>
    <row r="6473" spans="1:8" x14ac:dyDescent="0.3">
      <c r="A6473" s="2">
        <v>862</v>
      </c>
      <c r="B6473" t="s">
        <v>69</v>
      </c>
      <c r="C6473" t="s">
        <v>0</v>
      </c>
      <c r="D6473" s="2">
        <v>1</v>
      </c>
      <c r="E6473" s="11" t="s">
        <v>68</v>
      </c>
      <c r="F6473" t="s">
        <v>39</v>
      </c>
      <c r="G6473" s="2" t="s">
        <v>23</v>
      </c>
      <c r="H6473" s="1">
        <v>180.09400000000002</v>
      </c>
    </row>
    <row r="6474" spans="1:8" x14ac:dyDescent="0.3">
      <c r="A6474" s="2">
        <v>863</v>
      </c>
      <c r="B6474" t="s">
        <v>67</v>
      </c>
      <c r="C6474" t="s">
        <v>3219</v>
      </c>
      <c r="D6474" s="2">
        <v>1</v>
      </c>
      <c r="E6474" s="11" t="s">
        <v>66</v>
      </c>
      <c r="F6474" t="s">
        <v>65</v>
      </c>
      <c r="G6474" s="2" t="s">
        <v>4</v>
      </c>
      <c r="H6474" s="1">
        <v>180.09400000000002</v>
      </c>
    </row>
    <row r="6475" spans="1:8" x14ac:dyDescent="0.3">
      <c r="A6475" s="2">
        <v>863</v>
      </c>
      <c r="B6475" t="s">
        <v>64</v>
      </c>
      <c r="C6475" t="s">
        <v>1</v>
      </c>
      <c r="D6475" s="2">
        <v>1</v>
      </c>
      <c r="E6475" s="11" t="s">
        <v>63</v>
      </c>
      <c r="F6475" t="s">
        <v>62</v>
      </c>
      <c r="G6475" s="2" t="s">
        <v>4</v>
      </c>
      <c r="H6475" s="1">
        <v>21.094000000000001</v>
      </c>
    </row>
    <row r="6476" spans="1:8" x14ac:dyDescent="0.3">
      <c r="A6476" s="2">
        <v>863</v>
      </c>
      <c r="B6476" t="s">
        <v>61</v>
      </c>
      <c r="C6476" t="s">
        <v>2</v>
      </c>
      <c r="D6476" s="2">
        <v>1</v>
      </c>
      <c r="E6476" s="11" t="s">
        <v>60</v>
      </c>
      <c r="F6476" t="s">
        <v>55</v>
      </c>
      <c r="G6476" s="2" t="s">
        <v>31</v>
      </c>
      <c r="H6476" s="1">
        <v>68.794000000000011</v>
      </c>
    </row>
    <row r="6477" spans="1:8" x14ac:dyDescent="0.3">
      <c r="A6477" s="2">
        <v>863</v>
      </c>
      <c r="B6477" t="s">
        <v>59</v>
      </c>
      <c r="C6477" t="s">
        <v>1</v>
      </c>
      <c r="D6477" s="2">
        <v>1</v>
      </c>
      <c r="E6477" s="11" t="s">
        <v>58</v>
      </c>
      <c r="F6477" t="s">
        <v>55</v>
      </c>
      <c r="G6477" s="2" t="s">
        <v>4</v>
      </c>
      <c r="H6477" s="1">
        <v>52.893999999999998</v>
      </c>
    </row>
    <row r="6478" spans="1:8" x14ac:dyDescent="0.3">
      <c r="A6478" s="2">
        <v>863</v>
      </c>
      <c r="B6478" t="s">
        <v>57</v>
      </c>
      <c r="C6478" t="s">
        <v>0</v>
      </c>
      <c r="D6478" s="2">
        <v>1</v>
      </c>
      <c r="E6478" s="11" t="s">
        <v>56</v>
      </c>
      <c r="F6478" t="s">
        <v>55</v>
      </c>
      <c r="G6478" s="2" t="s">
        <v>23</v>
      </c>
      <c r="H6478" s="1">
        <v>227.79400000000001</v>
      </c>
    </row>
    <row r="6479" spans="1:8" x14ac:dyDescent="0.3">
      <c r="A6479" s="2">
        <v>863</v>
      </c>
      <c r="B6479" t="s">
        <v>54</v>
      </c>
      <c r="C6479" t="s">
        <v>1</v>
      </c>
      <c r="D6479" s="2">
        <v>1</v>
      </c>
      <c r="E6479" s="11" t="s">
        <v>53</v>
      </c>
      <c r="F6479" t="s">
        <v>47</v>
      </c>
      <c r="G6479" s="2" t="s">
        <v>4</v>
      </c>
      <c r="H6479" s="1">
        <v>36.994</v>
      </c>
    </row>
    <row r="6480" spans="1:8" x14ac:dyDescent="0.3">
      <c r="A6480" s="2">
        <v>863</v>
      </c>
      <c r="B6480" t="s">
        <v>52</v>
      </c>
      <c r="C6480" t="s">
        <v>2</v>
      </c>
      <c r="D6480" s="2">
        <v>1</v>
      </c>
      <c r="E6480" s="11" t="s">
        <v>51</v>
      </c>
      <c r="F6480" t="s">
        <v>47</v>
      </c>
      <c r="G6480" s="2" t="s">
        <v>4</v>
      </c>
      <c r="H6480" s="1">
        <v>111.19400000000002</v>
      </c>
    </row>
    <row r="6481" spans="1:8" x14ac:dyDescent="0.3">
      <c r="A6481" s="2">
        <v>863</v>
      </c>
      <c r="B6481" t="s">
        <v>50</v>
      </c>
      <c r="C6481" t="s">
        <v>0</v>
      </c>
      <c r="D6481" s="2">
        <v>1</v>
      </c>
      <c r="E6481" s="11" t="s">
        <v>48</v>
      </c>
      <c r="F6481" t="s">
        <v>47</v>
      </c>
      <c r="G6481" s="2" t="s">
        <v>4</v>
      </c>
      <c r="H6481" s="1">
        <v>174.79400000000001</v>
      </c>
    </row>
    <row r="6482" spans="1:8" x14ac:dyDescent="0.3">
      <c r="A6482" s="2">
        <v>863</v>
      </c>
      <c r="B6482" t="s">
        <v>49</v>
      </c>
      <c r="C6482" t="s">
        <v>0</v>
      </c>
      <c r="D6482" s="2">
        <v>1</v>
      </c>
      <c r="E6482" s="11" t="s">
        <v>48</v>
      </c>
      <c r="F6482" t="s">
        <v>47</v>
      </c>
      <c r="G6482" s="2" t="s">
        <v>31</v>
      </c>
      <c r="H6482" s="1">
        <v>174.79400000000001</v>
      </c>
    </row>
    <row r="6483" spans="1:8" x14ac:dyDescent="0.3">
      <c r="A6483" s="2">
        <v>863</v>
      </c>
      <c r="B6483" t="s">
        <v>46</v>
      </c>
      <c r="C6483" t="s">
        <v>2</v>
      </c>
      <c r="D6483" s="2">
        <v>1</v>
      </c>
      <c r="E6483" s="11" t="s">
        <v>45</v>
      </c>
      <c r="F6483" t="s">
        <v>39</v>
      </c>
      <c r="G6483" s="2" t="s">
        <v>4</v>
      </c>
      <c r="H6483" s="1">
        <v>111.19400000000002</v>
      </c>
    </row>
    <row r="6484" spans="1:8" x14ac:dyDescent="0.3">
      <c r="A6484" s="2">
        <v>863</v>
      </c>
      <c r="B6484" t="s">
        <v>44</v>
      </c>
      <c r="C6484" t="s">
        <v>2</v>
      </c>
      <c r="D6484" s="2">
        <v>1</v>
      </c>
      <c r="E6484" s="11" t="s">
        <v>43</v>
      </c>
      <c r="F6484" t="s">
        <v>39</v>
      </c>
      <c r="G6484" s="2" t="s">
        <v>4</v>
      </c>
      <c r="H6484" s="1">
        <v>74.094000000000008</v>
      </c>
    </row>
    <row r="6485" spans="1:8" x14ac:dyDescent="0.3">
      <c r="A6485" s="2">
        <v>863</v>
      </c>
      <c r="B6485" t="s">
        <v>42</v>
      </c>
      <c r="C6485" t="s">
        <v>1</v>
      </c>
      <c r="D6485" s="2">
        <v>1</v>
      </c>
      <c r="E6485" s="11" t="s">
        <v>29</v>
      </c>
      <c r="F6485" t="s">
        <v>39</v>
      </c>
      <c r="G6485" s="2" t="s">
        <v>4</v>
      </c>
      <c r="H6485" s="1">
        <v>74.094000000000008</v>
      </c>
    </row>
    <row r="6486" spans="1:8" x14ac:dyDescent="0.3">
      <c r="A6486" s="2">
        <v>863</v>
      </c>
      <c r="B6486" t="s">
        <v>41</v>
      </c>
      <c r="C6486" t="s">
        <v>1</v>
      </c>
      <c r="D6486" s="2">
        <v>1</v>
      </c>
      <c r="E6486" s="11" t="s">
        <v>40</v>
      </c>
      <c r="F6486" t="s">
        <v>39</v>
      </c>
      <c r="G6486" s="2" t="s">
        <v>4</v>
      </c>
      <c r="H6486" s="1">
        <v>79.394000000000005</v>
      </c>
    </row>
    <row r="6487" spans="1:8" x14ac:dyDescent="0.3">
      <c r="A6487" s="2">
        <v>863</v>
      </c>
      <c r="B6487" t="s">
        <v>38</v>
      </c>
      <c r="C6487" t="s">
        <v>0</v>
      </c>
      <c r="D6487" s="2">
        <v>1</v>
      </c>
      <c r="E6487" s="11" t="s">
        <v>37</v>
      </c>
      <c r="F6487" t="s">
        <v>36</v>
      </c>
      <c r="G6487" s="2" t="s">
        <v>23</v>
      </c>
      <c r="H6487" s="1">
        <v>132.39400000000001</v>
      </c>
    </row>
    <row r="6488" spans="1:8" x14ac:dyDescent="0.3">
      <c r="A6488" s="2">
        <v>863</v>
      </c>
      <c r="B6488" t="s">
        <v>35</v>
      </c>
      <c r="C6488" t="s">
        <v>3224</v>
      </c>
      <c r="D6488" s="2">
        <v>1</v>
      </c>
      <c r="E6488" s="11" t="s">
        <v>34</v>
      </c>
      <c r="F6488" t="s">
        <v>28</v>
      </c>
      <c r="G6488" s="2" t="s">
        <v>23</v>
      </c>
      <c r="H6488" s="1">
        <v>100.59400000000001</v>
      </c>
    </row>
    <row r="6489" spans="1:8" x14ac:dyDescent="0.3">
      <c r="A6489" s="2">
        <v>863</v>
      </c>
      <c r="B6489" t="s">
        <v>33</v>
      </c>
      <c r="C6489" t="s">
        <v>3233</v>
      </c>
      <c r="D6489" s="2">
        <v>1</v>
      </c>
      <c r="E6489" s="11" t="s">
        <v>32</v>
      </c>
      <c r="F6489" t="s">
        <v>28</v>
      </c>
      <c r="G6489" s="2" t="s">
        <v>31</v>
      </c>
      <c r="H6489" s="1">
        <v>132.39400000000001</v>
      </c>
    </row>
    <row r="6490" spans="1:8" x14ac:dyDescent="0.3">
      <c r="A6490" s="2">
        <v>863</v>
      </c>
      <c r="B6490" t="s">
        <v>30</v>
      </c>
      <c r="C6490" t="s">
        <v>1</v>
      </c>
      <c r="D6490" s="2">
        <v>1</v>
      </c>
      <c r="E6490" s="11" t="s">
        <v>29</v>
      </c>
      <c r="F6490" t="s">
        <v>28</v>
      </c>
      <c r="G6490" s="2" t="s">
        <v>23</v>
      </c>
      <c r="H6490" s="1">
        <v>74.094000000000008</v>
      </c>
    </row>
    <row r="6491" spans="1:8" x14ac:dyDescent="0.3">
      <c r="A6491" s="2">
        <v>863</v>
      </c>
      <c r="B6491" t="s">
        <v>27</v>
      </c>
      <c r="C6491" t="s">
        <v>1</v>
      </c>
      <c r="D6491" s="2">
        <v>1</v>
      </c>
      <c r="E6491" s="11" t="s">
        <v>25</v>
      </c>
      <c r="F6491" t="s">
        <v>24</v>
      </c>
      <c r="G6491" s="2" t="s">
        <v>4</v>
      </c>
      <c r="H6491" s="1">
        <v>21.094000000000001</v>
      </c>
    </row>
    <row r="6492" spans="1:8" x14ac:dyDescent="0.3">
      <c r="A6492" s="2">
        <v>863</v>
      </c>
      <c r="B6492" t="s">
        <v>26</v>
      </c>
      <c r="C6492" t="s">
        <v>1</v>
      </c>
      <c r="D6492" s="2">
        <v>1</v>
      </c>
      <c r="E6492" s="11" t="s">
        <v>25</v>
      </c>
      <c r="F6492" t="s">
        <v>24</v>
      </c>
      <c r="G6492" s="2" t="s">
        <v>23</v>
      </c>
      <c r="H6492" s="1">
        <v>21.094000000000001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5E1FD-23E9-488C-BEB2-B93742A39684}">
  <dimension ref="B2:O19"/>
  <sheetViews>
    <sheetView showGridLines="0" tabSelected="1" workbookViewId="0">
      <selection activeCell="A6" sqref="A6"/>
    </sheetView>
  </sheetViews>
  <sheetFormatPr defaultRowHeight="14.4" x14ac:dyDescent="0.3"/>
  <cols>
    <col min="2" max="2" width="9.33203125" bestFit="1" customWidth="1"/>
    <col min="6" max="6" width="15" bestFit="1" customWidth="1"/>
    <col min="7" max="7" width="14.33203125" bestFit="1" customWidth="1"/>
    <col min="8" max="8" width="15.21875" bestFit="1" customWidth="1"/>
    <col min="9" max="9" width="8.88671875" customWidth="1"/>
    <col min="11" max="11" width="23.77734375" bestFit="1" customWidth="1"/>
    <col min="13" max="13" width="11.5546875" bestFit="1" customWidth="1"/>
    <col min="15" max="15" width="11.5546875" bestFit="1" customWidth="1"/>
  </cols>
  <sheetData>
    <row r="2" spans="2:15" x14ac:dyDescent="0.3">
      <c r="F2" s="2"/>
      <c r="G2" s="2"/>
      <c r="H2" s="2"/>
      <c r="I2" s="2"/>
    </row>
    <row r="3" spans="2:15" x14ac:dyDescent="0.3">
      <c r="B3" s="2"/>
      <c r="C3" s="2"/>
      <c r="D3" s="2"/>
      <c r="E3" s="2"/>
      <c r="F3" s="2"/>
      <c r="G3" s="2"/>
      <c r="H3" s="2"/>
      <c r="I3" s="2"/>
    </row>
    <row r="4" spans="2:15" x14ac:dyDescent="0.3">
      <c r="B4" s="22"/>
      <c r="C4" s="23" t="s">
        <v>3770</v>
      </c>
      <c r="D4" s="24"/>
      <c r="F4" s="32" t="s">
        <v>3795</v>
      </c>
      <c r="G4" s="20" t="s">
        <v>3798</v>
      </c>
      <c r="H4" s="20" t="s">
        <v>3797</v>
      </c>
      <c r="J4" s="41"/>
      <c r="K4" s="42" t="s">
        <v>3804</v>
      </c>
    </row>
    <row r="5" spans="2:15" x14ac:dyDescent="0.3">
      <c r="B5" s="27"/>
      <c r="C5" s="28" t="s">
        <v>3794</v>
      </c>
      <c r="D5" s="31" t="e">
        <f>_xlfn.XLOOKUP(C5,Apoio!K3:K6,Apoio!L3:L6)</f>
        <v>#N/A</v>
      </c>
      <c r="F5" s="25" t="s">
        <v>3318</v>
      </c>
      <c r="G5" s="30">
        <f>IF($C$5="Todos",H5,COUNTIFS(tbPedido[Método de Envio], Dashboard!F5,tbPedido[Mês],Dashboard!$D$5))</f>
        <v>121</v>
      </c>
      <c r="H5" s="30">
        <f>COUNTIFS(tbPedido[Método de Envio], Dashboard!F5)</f>
        <v>121</v>
      </c>
      <c r="J5" s="25">
        <v>1</v>
      </c>
      <c r="K5" s="34" t="str">
        <f>_xlfn.XLOOKUP(J5,Apoio2!D2:D181,Apoio2!B2:B181)</f>
        <v>Adalberto Bastos</v>
      </c>
    </row>
    <row r="6" spans="2:15" x14ac:dyDescent="0.3">
      <c r="B6" s="2"/>
      <c r="D6" s="2"/>
      <c r="E6" s="2"/>
      <c r="F6" s="25" t="s">
        <v>3796</v>
      </c>
      <c r="G6" s="30">
        <f>IF($C$5="Todos",H6,COUNTIFS(tbPedido[Método de Envio], Dashboard!F6,tbPedido[Mês],Dashboard!$D$5))</f>
        <v>164</v>
      </c>
      <c r="H6" s="30">
        <f>COUNTIFS(tbPedido[Método de Envio], Dashboard!F6)</f>
        <v>164</v>
      </c>
      <c r="J6" s="25">
        <v>2</v>
      </c>
      <c r="K6" s="35" t="str">
        <f>_xlfn.XLOOKUP(J6,Apoio2!D3:D182,Apoio2!B3:B182)</f>
        <v>Berengário Salgado</v>
      </c>
    </row>
    <row r="7" spans="2:15" x14ac:dyDescent="0.3">
      <c r="B7" s="22"/>
      <c r="C7" s="23" t="s">
        <v>3800</v>
      </c>
      <c r="D7" s="24"/>
      <c r="E7" s="2"/>
      <c r="F7" s="21" t="s">
        <v>3311</v>
      </c>
      <c r="G7" s="26">
        <f>IF($C$5="Todos",H7,COUNTIFS(tbPedido[Método de Envio], Dashboard!F7,tbPedido[Mês],Dashboard!$D$5))</f>
        <v>78</v>
      </c>
      <c r="H7" s="26">
        <f>COUNTIFS(tbPedido[Método de Envio], Dashboard!F7)</f>
        <v>78</v>
      </c>
      <c r="J7" s="25">
        <v>3</v>
      </c>
      <c r="K7" s="35" t="str">
        <f>_xlfn.XLOOKUP(J7,Apoio2!D4:D183,Apoio2!B4:B183)</f>
        <v>Adelaide Rodovalho</v>
      </c>
    </row>
    <row r="8" spans="2:15" x14ac:dyDescent="0.3">
      <c r="B8" s="27"/>
      <c r="C8" s="28">
        <f>IF(C5="Todos",COUNTA(tbPedido[NumPedido]),COUNTIFS(tbPedido[Mês],Dashboard!D5))</f>
        <v>363</v>
      </c>
      <c r="D8" s="29"/>
      <c r="E8" s="2"/>
      <c r="F8" s="2"/>
      <c r="G8" s="2"/>
      <c r="H8" s="2"/>
      <c r="I8" s="2"/>
      <c r="J8" s="25">
        <v>4</v>
      </c>
      <c r="K8" s="35" t="str">
        <f>_xlfn.XLOOKUP(J8,Apoio2!D5:D184,Apoio2!B5:B184)</f>
        <v>Basilio Tabares</v>
      </c>
    </row>
    <row r="9" spans="2:15" x14ac:dyDescent="0.3">
      <c r="B9" s="2"/>
      <c r="C9" s="2"/>
      <c r="D9" s="2"/>
      <c r="E9" s="2"/>
      <c r="F9" s="2"/>
      <c r="G9" s="2"/>
      <c r="H9" s="2"/>
      <c r="I9" s="2"/>
      <c r="J9" s="25">
        <v>5</v>
      </c>
      <c r="K9" s="35" t="str">
        <f>_xlfn.XLOOKUP(J9,Apoio2!D6:D185,Apoio2!B6:B185)</f>
        <v>Clarisse Regueira</v>
      </c>
    </row>
    <row r="10" spans="2:15" x14ac:dyDescent="0.3">
      <c r="F10" s="38"/>
      <c r="G10" s="23" t="s">
        <v>3802</v>
      </c>
      <c r="H10" s="24"/>
      <c r="I10" s="2"/>
      <c r="J10" s="25">
        <v>6</v>
      </c>
      <c r="K10" s="35" t="str">
        <f>_xlfn.XLOOKUP(J10,Apoio2!D7:D186,Apoio2!B7:B186)</f>
        <v>Adélia Novais</v>
      </c>
    </row>
    <row r="11" spans="2:15" x14ac:dyDescent="0.3">
      <c r="F11" s="40">
        <v>1</v>
      </c>
      <c r="G11" s="34" t="str">
        <f>_xlfn.XLOOKUP(F11,Apoio!$D$3:$D$27,Apoio!$E$3:$E$27)</f>
        <v>Preto</v>
      </c>
      <c r="H11" s="34">
        <f>_xlfn.XLOOKUP(F11,Apoio!$D$3:$D$27,Apoio!$F$3:$F$27)</f>
        <v>1119</v>
      </c>
      <c r="I11" s="2"/>
      <c r="J11" s="25">
        <v>7</v>
      </c>
      <c r="K11" s="35" t="str">
        <f>_xlfn.XLOOKUP(J11,Apoio2!D8:D187,Apoio2!B8:B187)</f>
        <v>Emídio Telles</v>
      </c>
    </row>
    <row r="12" spans="2:15" x14ac:dyDescent="0.3">
      <c r="F12" s="37">
        <v>2</v>
      </c>
      <c r="G12" s="35" t="str">
        <f>_xlfn.XLOOKUP(F12,Apoio!$D$3:$D$27,Apoio!$E$3:$E$27)</f>
        <v>Verde</v>
      </c>
      <c r="H12" s="35">
        <f>_xlfn.XLOOKUP(F12,Apoio!$D$3:$D$27,Apoio!$F$3:$F$27)</f>
        <v>1083</v>
      </c>
      <c r="J12" s="25">
        <v>8</v>
      </c>
      <c r="K12" s="35" t="str">
        <f>_xlfn.XLOOKUP(J12,Apoio2!D9:D188,Apoio2!B9:B188)</f>
        <v>Adelaide Minho</v>
      </c>
    </row>
    <row r="13" spans="2:15" x14ac:dyDescent="0.3">
      <c r="F13" s="37">
        <v>3</v>
      </c>
      <c r="G13" s="35" t="str">
        <f>_xlfn.XLOOKUP(F13,Apoio!$D$3:$D$27,Apoio!$E$3:$E$27)</f>
        <v>Rosa</v>
      </c>
      <c r="H13" s="35">
        <f>_xlfn.XLOOKUP(F13,Apoio!$D$3:$D$27,Apoio!$F$3:$F$27)</f>
        <v>1051</v>
      </c>
      <c r="J13" s="25">
        <v>9</v>
      </c>
      <c r="K13" s="35" t="str">
        <f>_xlfn.XLOOKUP(J13,Apoio2!D10:D189,Apoio2!B10:B189)</f>
        <v>Célia Fiães</v>
      </c>
    </row>
    <row r="14" spans="2:15" x14ac:dyDescent="0.3">
      <c r="F14" s="37">
        <v>4</v>
      </c>
      <c r="G14" s="35" t="str">
        <f>_xlfn.XLOOKUP(F14,Apoio!$D$3:$D$27,Apoio!$E$3:$E$27)</f>
        <v>Branco</v>
      </c>
      <c r="H14" s="35">
        <f>_xlfn.XLOOKUP(F14,Apoio!$D$3:$D$27,Apoio!$F$3:$F$27)</f>
        <v>869</v>
      </c>
      <c r="J14" s="25">
        <v>10</v>
      </c>
      <c r="K14" s="35" t="str">
        <f>_xlfn.XLOOKUP(J14,Apoio2!D11:D190,Apoio2!B11:B190)</f>
        <v>Martinho Garcia de Gondim</v>
      </c>
    </row>
    <row r="15" spans="2:15" x14ac:dyDescent="0.3">
      <c r="F15" s="37">
        <v>5</v>
      </c>
      <c r="G15" s="35" t="str">
        <f>_xlfn.XLOOKUP(F15,Apoio!$D$3:$D$27,Apoio!$E$3:$E$27)</f>
        <v>Azul</v>
      </c>
      <c r="H15" s="35">
        <f>_xlfn.XLOOKUP(F15,Apoio!$D$3:$D$27,Apoio!$F$3:$F$27)</f>
        <v>503</v>
      </c>
      <c r="J15" s="25">
        <v>11</v>
      </c>
      <c r="K15" s="35" t="str">
        <f>_xlfn.XLOOKUP(J15,Apoio2!D12:D191,Apoio2!B12:B191)</f>
        <v>Mamede Serralheiro</v>
      </c>
      <c r="M15" s="20" t="s">
        <v>3801</v>
      </c>
      <c r="O15" s="20" t="s">
        <v>3762</v>
      </c>
    </row>
    <row r="16" spans="2:15" x14ac:dyDescent="0.3">
      <c r="F16" s="37">
        <v>6</v>
      </c>
      <c r="G16" s="35" t="str">
        <f>_xlfn.XLOOKUP(F16,Apoio!$D$3:$D$27,Apoio!$E$3:$E$27)</f>
        <v>Amarelo</v>
      </c>
      <c r="H16" s="35">
        <f>_xlfn.XLOOKUP(F16,Apoio!$D$3:$D$27,Apoio!$F$3:$F$27)</f>
        <v>429</v>
      </c>
      <c r="J16" s="25">
        <v>12</v>
      </c>
      <c r="K16" s="35" t="str">
        <f>_xlfn.XLOOKUP(J16,Apoio2!D13:D192,Apoio2!B13:B192)</f>
        <v>Alvito Paranhos</v>
      </c>
      <c r="M16" s="33">
        <f>Apoio!$K$8/Apoio!$K$9</f>
        <v>1923.1039118457309</v>
      </c>
      <c r="O16" s="43">
        <f>SUM(tbPedido[Valor Total])</f>
        <v>698086.72000000032</v>
      </c>
    </row>
    <row r="17" spans="6:11" x14ac:dyDescent="0.3">
      <c r="F17" s="37">
        <v>7</v>
      </c>
      <c r="G17" s="35" t="str">
        <f>_xlfn.XLOOKUP(F17,Apoio!$D$3:$D$27,Apoio!$E$3:$E$27)</f>
        <v>Tangerina</v>
      </c>
      <c r="H17" s="35">
        <f>_xlfn.XLOOKUP(F17,Apoio!$D$3:$D$27,Apoio!$F$3:$F$27)</f>
        <v>335</v>
      </c>
      <c r="J17" s="25">
        <v>13</v>
      </c>
      <c r="K17" s="35" t="str">
        <f>_xlfn.XLOOKUP(J17,Apoio2!D14:D193,Apoio2!B14:B193)</f>
        <v>Marisa Ataí</v>
      </c>
    </row>
    <row r="18" spans="6:11" x14ac:dyDescent="0.3">
      <c r="F18" s="37">
        <v>8</v>
      </c>
      <c r="G18" s="35" t="str">
        <f>_xlfn.XLOOKUP(F18,Apoio!$D$3:$D$27,Apoio!$E$3:$E$27)</f>
        <v>Coral</v>
      </c>
      <c r="H18" s="35">
        <f>_xlfn.XLOOKUP(F18,Apoio!$D$3:$D$27,Apoio!$F$3:$F$27)</f>
        <v>304</v>
      </c>
      <c r="J18" s="25">
        <v>14</v>
      </c>
      <c r="K18" s="35" t="str">
        <f>_xlfn.XLOOKUP(J18,Apoio2!D15:D194,Apoio2!B15:B194)</f>
        <v>Magali Godoy</v>
      </c>
    </row>
    <row r="19" spans="6:11" x14ac:dyDescent="0.3">
      <c r="F19" s="39">
        <v>9</v>
      </c>
      <c r="G19" s="36" t="str">
        <f>_xlfn.XLOOKUP(F19,Apoio!$D$3:$D$27,Apoio!$E$3:$E$27)</f>
        <v>Bege</v>
      </c>
      <c r="H19" s="36">
        <f>_xlfn.XLOOKUP(F19,Apoio!$D$3:$D$27,Apoio!$F$3:$F$27)</f>
        <v>149</v>
      </c>
      <c r="J19" s="21">
        <v>15</v>
      </c>
      <c r="K19" s="36" t="str">
        <f>_xlfn.XLOOKUP(J19,Apoio2!D16:D195,Apoio2!B16:B195)</f>
        <v>Eduardo Lameira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C0AB44-7711-4728-80FE-7888A6ABED00}">
          <x14:formula1>
            <xm:f>Apoio!$K$2:$K$6</xm:f>
          </x14:formula1>
          <xm:sqref>C5</xm:sqref>
        </x14:dataValidation>
        <x14:dataValidation type="list" allowBlank="1" showInputMessage="1" showErrorMessage="1" xr:uid="{A4EF97BB-1BD3-4142-A57F-C331941FE6A0}">
          <x14:formula1>
            <xm:f>Apoio!$B$2:$B$28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C46-0F78-4E9D-910C-0AF5555EEE1A}">
  <dimension ref="B1:S6490"/>
  <sheetViews>
    <sheetView workbookViewId="0">
      <selection activeCell="Q13" sqref="Q13"/>
    </sheetView>
  </sheetViews>
  <sheetFormatPr defaultRowHeight="14.4" x14ac:dyDescent="0.3"/>
  <cols>
    <col min="8" max="8" width="15.5546875" bestFit="1" customWidth="1"/>
    <col min="11" max="11" width="10" bestFit="1" customWidth="1"/>
    <col min="15" max="15" width="15.5546875" bestFit="1" customWidth="1"/>
    <col min="17" max="17" width="14.21875" bestFit="1" customWidth="1"/>
  </cols>
  <sheetData>
    <row r="1" spans="2:19" x14ac:dyDescent="0.3">
      <c r="K1" t="s">
        <v>3770</v>
      </c>
    </row>
    <row r="2" spans="2:19" x14ac:dyDescent="0.3">
      <c r="B2" t="s">
        <v>3785</v>
      </c>
      <c r="E2" s="17" t="s">
        <v>3751</v>
      </c>
      <c r="H2" s="17" t="s">
        <v>18</v>
      </c>
      <c r="K2" t="s">
        <v>3794</v>
      </c>
      <c r="N2" t="s">
        <v>3799</v>
      </c>
      <c r="O2" t="s">
        <v>3310</v>
      </c>
      <c r="P2" t="s">
        <v>3315</v>
      </c>
      <c r="Q2" t="s">
        <v>3415</v>
      </c>
      <c r="S2" s="18"/>
    </row>
    <row r="3" spans="2:19" x14ac:dyDescent="0.3">
      <c r="B3" t="s">
        <v>3465</v>
      </c>
      <c r="D3">
        <f>_xlfn.RANK.EQ(F3, $F$3:$F$27, 0)</f>
        <v>9</v>
      </c>
      <c r="E3" s="18" t="s">
        <v>126</v>
      </c>
      <c r="F3">
        <f>COUNTIFS(tbItemPedido[Cor],Apoio!E3)</f>
        <v>149</v>
      </c>
      <c r="H3" s="18" t="s">
        <v>3318</v>
      </c>
      <c r="K3" t="s">
        <v>3790</v>
      </c>
      <c r="L3">
        <v>7</v>
      </c>
      <c r="N3">
        <f>COUNTIFS(tbPedido[Forma de Pagamento],Apoio!N2)</f>
        <v>96</v>
      </c>
      <c r="O3">
        <f>COUNTIFS(tbPedido[Forma de Pagamento],Apoio!O2)</f>
        <v>166</v>
      </c>
      <c r="P3">
        <f>COUNTIFS(tbPedido[Forma de Pagamento],Apoio!P2)</f>
        <v>95</v>
      </c>
      <c r="Q3">
        <f>COUNTIFS(tbPedido[Forma de Pagamento],Apoio!Q2)</f>
        <v>6</v>
      </c>
      <c r="S3" s="19"/>
    </row>
    <row r="4" spans="2:19" x14ac:dyDescent="0.3">
      <c r="B4" t="s">
        <v>3786</v>
      </c>
      <c r="D4">
        <f t="shared" ref="D4:D27" si="0">_xlfn.RANK.EQ(F4, $F$3:$F$27, 0)</f>
        <v>11</v>
      </c>
      <c r="E4" s="19" t="s">
        <v>81</v>
      </c>
      <c r="F4">
        <f>COUNTIFS(tbItemPedido[Cor],Apoio!E4)</f>
        <v>99</v>
      </c>
      <c r="H4" s="19" t="s">
        <v>3316</v>
      </c>
      <c r="K4" t="s">
        <v>3791</v>
      </c>
      <c r="L4">
        <v>8</v>
      </c>
      <c r="S4" s="18"/>
    </row>
    <row r="5" spans="2:19" x14ac:dyDescent="0.3">
      <c r="B5" t="s">
        <v>3396</v>
      </c>
      <c r="D5">
        <f t="shared" si="0"/>
        <v>8</v>
      </c>
      <c r="E5" s="18" t="s">
        <v>62</v>
      </c>
      <c r="F5">
        <f>COUNTIFS(tbItemPedido[Cor],Apoio!E5)</f>
        <v>304</v>
      </c>
      <c r="H5" s="18" t="s">
        <v>3316</v>
      </c>
      <c r="K5" t="s">
        <v>3792</v>
      </c>
      <c r="L5">
        <v>9</v>
      </c>
      <c r="S5" s="19"/>
    </row>
    <row r="6" spans="2:19" x14ac:dyDescent="0.3">
      <c r="B6" t="s">
        <v>3445</v>
      </c>
      <c r="D6">
        <f t="shared" si="0"/>
        <v>13</v>
      </c>
      <c r="E6" s="19" t="s">
        <v>254</v>
      </c>
      <c r="F6">
        <f>COUNTIFS(tbItemPedido[Cor],Apoio!E6)</f>
        <v>83</v>
      </c>
      <c r="H6" s="19" t="s">
        <v>3318</v>
      </c>
      <c r="K6" t="s">
        <v>3793</v>
      </c>
      <c r="L6">
        <v>10</v>
      </c>
      <c r="S6" s="18"/>
    </row>
    <row r="7" spans="2:19" x14ac:dyDescent="0.3">
      <c r="B7" t="s">
        <v>3623</v>
      </c>
      <c r="D7">
        <f t="shared" si="0"/>
        <v>3</v>
      </c>
      <c r="E7" s="19" t="s">
        <v>39</v>
      </c>
      <c r="F7">
        <f>COUNTIFS(tbItemPedido[Cor],Apoio!E7)</f>
        <v>1051</v>
      </c>
      <c r="H7" s="18" t="s">
        <v>3311</v>
      </c>
      <c r="S7" s="19"/>
    </row>
    <row r="8" spans="2:19" x14ac:dyDescent="0.3">
      <c r="B8" t="s">
        <v>3322</v>
      </c>
      <c r="D8">
        <f t="shared" si="0"/>
        <v>2</v>
      </c>
      <c r="E8" s="18" t="s">
        <v>28</v>
      </c>
      <c r="F8">
        <f>COUNTIFS(tbItemPedido[Cor],Apoio!E8)</f>
        <v>1083</v>
      </c>
      <c r="H8" s="19" t="s">
        <v>3316</v>
      </c>
      <c r="K8" s="1">
        <f>SUM(tbPedido[Valor Total])</f>
        <v>698086.72000000032</v>
      </c>
      <c r="L8" t="s">
        <v>23</v>
      </c>
      <c r="M8">
        <f>COUNTIFS(tbItemPedido[Tamanho],Apoio!L8)</f>
        <v>2367</v>
      </c>
      <c r="S8" s="18"/>
    </row>
    <row r="9" spans="2:19" x14ac:dyDescent="0.3">
      <c r="B9" t="s">
        <v>3787</v>
      </c>
      <c r="D9">
        <f t="shared" si="0"/>
        <v>5</v>
      </c>
      <c r="E9" s="18" t="s">
        <v>65</v>
      </c>
      <c r="F9">
        <f>COUNTIFS(tbItemPedido[Cor],Apoio!E9)</f>
        <v>503</v>
      </c>
      <c r="H9" s="18" t="s">
        <v>3316</v>
      </c>
      <c r="K9">
        <f>COUNT(tbPedido[NumPedido])</f>
        <v>363</v>
      </c>
      <c r="L9" t="s">
        <v>31</v>
      </c>
      <c r="M9">
        <f>COUNTIFS(tbItemPedido[Tamanho],Apoio!L9)</f>
        <v>2310</v>
      </c>
      <c r="S9" s="19"/>
    </row>
    <row r="10" spans="2:19" x14ac:dyDescent="0.3">
      <c r="B10" t="s">
        <v>3434</v>
      </c>
      <c r="D10">
        <f t="shared" si="0"/>
        <v>6</v>
      </c>
      <c r="E10" s="18" t="s">
        <v>55</v>
      </c>
      <c r="F10">
        <f>COUNTIFS(tbItemPedido[Cor],Apoio!E10)</f>
        <v>429</v>
      </c>
      <c r="H10" s="19" t="s">
        <v>3311</v>
      </c>
      <c r="L10" t="s">
        <v>4</v>
      </c>
      <c r="M10">
        <f>COUNTIFS(tbItemPedido[Tamanho],Apoio!L10)</f>
        <v>1627</v>
      </c>
      <c r="S10" s="18"/>
    </row>
    <row r="11" spans="2:19" x14ac:dyDescent="0.3">
      <c r="B11" t="s">
        <v>3309</v>
      </c>
      <c r="D11">
        <f t="shared" si="0"/>
        <v>4</v>
      </c>
      <c r="E11" s="18" t="s">
        <v>114</v>
      </c>
      <c r="F11">
        <f>COUNTIFS(tbItemPedido[Cor],Apoio!E11)</f>
        <v>869</v>
      </c>
      <c r="H11" s="18" t="s">
        <v>3316</v>
      </c>
      <c r="S11" s="19"/>
    </row>
    <row r="12" spans="2:19" x14ac:dyDescent="0.3">
      <c r="B12" t="s">
        <v>3788</v>
      </c>
      <c r="D12">
        <f t="shared" si="0"/>
        <v>15</v>
      </c>
      <c r="E12" s="18" t="s">
        <v>683</v>
      </c>
      <c r="F12">
        <f>COUNTIFS(tbItemPedido[Cor],Apoio!E12)</f>
        <v>53</v>
      </c>
      <c r="H12" s="19" t="s">
        <v>3311</v>
      </c>
      <c r="S12" s="18"/>
    </row>
    <row r="13" spans="2:19" x14ac:dyDescent="0.3">
      <c r="B13" t="s">
        <v>3326</v>
      </c>
      <c r="D13">
        <f t="shared" si="0"/>
        <v>7</v>
      </c>
      <c r="E13" s="18" t="s">
        <v>36</v>
      </c>
      <c r="F13">
        <f>COUNTIFS(tbItemPedido[Cor],Apoio!E13)</f>
        <v>335</v>
      </c>
      <c r="H13" s="18" t="s">
        <v>3316</v>
      </c>
      <c r="S13" s="19"/>
    </row>
    <row r="14" spans="2:19" x14ac:dyDescent="0.3">
      <c r="B14" t="s">
        <v>3314</v>
      </c>
      <c r="D14">
        <f t="shared" si="0"/>
        <v>1</v>
      </c>
      <c r="E14" s="19" t="s">
        <v>47</v>
      </c>
      <c r="F14">
        <f>COUNTIFS(tbItemPedido[Cor],Apoio!E14)</f>
        <v>1119</v>
      </c>
      <c r="H14" s="19" t="s">
        <v>3311</v>
      </c>
      <c r="S14" s="18"/>
    </row>
    <row r="15" spans="2:19" x14ac:dyDescent="0.3">
      <c r="B15" t="s">
        <v>3331</v>
      </c>
      <c r="D15">
        <f t="shared" si="0"/>
        <v>17</v>
      </c>
      <c r="E15" s="18" t="s">
        <v>276</v>
      </c>
      <c r="F15">
        <f>COUNTIFS(tbItemPedido[Cor],Apoio!E15)</f>
        <v>31</v>
      </c>
      <c r="H15" s="18" t="s">
        <v>3316</v>
      </c>
      <c r="S15" s="19"/>
    </row>
    <row r="16" spans="2:19" x14ac:dyDescent="0.3">
      <c r="B16" t="s">
        <v>3523</v>
      </c>
      <c r="D16">
        <f t="shared" si="0"/>
        <v>16</v>
      </c>
      <c r="E16" s="18" t="s">
        <v>241</v>
      </c>
      <c r="F16">
        <f>COUNTIFS(tbItemPedido[Cor],Apoio!E16)</f>
        <v>37</v>
      </c>
      <c r="H16" s="19" t="s">
        <v>3316</v>
      </c>
      <c r="S16" s="18"/>
    </row>
    <row r="17" spans="2:19" x14ac:dyDescent="0.3">
      <c r="B17" t="s">
        <v>3392</v>
      </c>
      <c r="D17">
        <f t="shared" si="0"/>
        <v>20</v>
      </c>
      <c r="E17" s="19" t="s">
        <v>1186</v>
      </c>
      <c r="F17">
        <f>COUNTIFS(tbItemPedido[Cor],Apoio!E17)</f>
        <v>11</v>
      </c>
      <c r="H17" s="18" t="s">
        <v>3318</v>
      </c>
      <c r="S17" s="19"/>
    </row>
    <row r="18" spans="2:19" x14ac:dyDescent="0.3">
      <c r="B18" t="s">
        <v>3405</v>
      </c>
      <c r="D18">
        <f t="shared" si="0"/>
        <v>12</v>
      </c>
      <c r="E18" s="18" t="s">
        <v>78</v>
      </c>
      <c r="F18">
        <f>COUNTIFS(tbItemPedido[Cor],Apoio!E18)</f>
        <v>87</v>
      </c>
      <c r="H18" s="19" t="s">
        <v>3316</v>
      </c>
      <c r="S18" s="18"/>
    </row>
    <row r="19" spans="2:19" x14ac:dyDescent="0.3">
      <c r="B19" t="s">
        <v>3574</v>
      </c>
      <c r="D19">
        <f t="shared" si="0"/>
        <v>10</v>
      </c>
      <c r="E19" s="18" t="s">
        <v>24</v>
      </c>
      <c r="F19">
        <f>COUNTIFS(tbItemPedido[Cor],Apoio!E19)</f>
        <v>111</v>
      </c>
      <c r="H19" s="18" t="s">
        <v>3311</v>
      </c>
      <c r="S19" s="19"/>
    </row>
    <row r="20" spans="2:19" x14ac:dyDescent="0.3">
      <c r="B20" t="s">
        <v>3342</v>
      </c>
      <c r="D20">
        <f t="shared" si="0"/>
        <v>21</v>
      </c>
      <c r="E20" s="18" t="s">
        <v>1116</v>
      </c>
      <c r="F20">
        <f>COUNTIFS(tbItemPedido[Cor],Apoio!E20)</f>
        <v>9</v>
      </c>
      <c r="H20" s="19" t="s">
        <v>3316</v>
      </c>
      <c r="S20" s="18"/>
    </row>
    <row r="21" spans="2:19" x14ac:dyDescent="0.3">
      <c r="B21" t="s">
        <v>3568</v>
      </c>
      <c r="D21">
        <f t="shared" si="0"/>
        <v>14</v>
      </c>
      <c r="E21" s="18" t="s">
        <v>959</v>
      </c>
      <c r="F21">
        <f>COUNTIFS(tbItemPedido[Cor],Apoio!E21)</f>
        <v>81</v>
      </c>
      <c r="H21" s="18" t="s">
        <v>3311</v>
      </c>
      <c r="S21" s="19"/>
    </row>
    <row r="22" spans="2:19" x14ac:dyDescent="0.3">
      <c r="B22" t="s">
        <v>3366</v>
      </c>
      <c r="D22">
        <f t="shared" si="0"/>
        <v>22</v>
      </c>
      <c r="E22" s="19" t="s">
        <v>2021</v>
      </c>
      <c r="F22">
        <f>COUNTIFS(tbItemPedido[Cor],Apoio!E22)</f>
        <v>5</v>
      </c>
      <c r="H22" s="19" t="s">
        <v>3318</v>
      </c>
      <c r="S22" s="18"/>
    </row>
    <row r="23" spans="2:19" x14ac:dyDescent="0.3">
      <c r="B23" t="s">
        <v>3483</v>
      </c>
      <c r="D23">
        <f t="shared" si="0"/>
        <v>25</v>
      </c>
      <c r="E23" s="19" t="s">
        <v>2652</v>
      </c>
      <c r="F23">
        <f>COUNTIFS(tbItemPedido[Cor],Apoio!E23)</f>
        <v>1</v>
      </c>
      <c r="H23" s="18" t="s">
        <v>3311</v>
      </c>
      <c r="S23" s="19"/>
    </row>
    <row r="24" spans="2:19" x14ac:dyDescent="0.3">
      <c r="B24" t="s">
        <v>3789</v>
      </c>
      <c r="D24">
        <f t="shared" si="0"/>
        <v>18</v>
      </c>
      <c r="E24" s="18" t="s">
        <v>398</v>
      </c>
      <c r="F24">
        <f>COUNTIFS(tbItemPedido[Cor],Apoio!E24)</f>
        <v>18</v>
      </c>
      <c r="H24" s="19" t="s">
        <v>3311</v>
      </c>
      <c r="S24" s="18"/>
    </row>
    <row r="25" spans="2:19" x14ac:dyDescent="0.3">
      <c r="B25" t="s">
        <v>3324</v>
      </c>
      <c r="D25">
        <f t="shared" si="0"/>
        <v>24</v>
      </c>
      <c r="E25" s="18" t="s">
        <v>575</v>
      </c>
      <c r="F25">
        <f>COUNTIFS(tbItemPedido[Cor],Apoio!E25)</f>
        <v>2</v>
      </c>
      <c r="H25" s="18" t="s">
        <v>3316</v>
      </c>
      <c r="S25" s="19"/>
    </row>
    <row r="26" spans="2:19" x14ac:dyDescent="0.3">
      <c r="B26" t="s">
        <v>3320</v>
      </c>
      <c r="D26">
        <f t="shared" si="0"/>
        <v>23</v>
      </c>
      <c r="E26" s="18" t="s">
        <v>227</v>
      </c>
      <c r="F26">
        <f>COUNTIFS(tbItemPedido[Cor],Apoio!E26)</f>
        <v>3</v>
      </c>
      <c r="H26" s="19" t="s">
        <v>3316</v>
      </c>
      <c r="S26" s="18"/>
    </row>
    <row r="27" spans="2:19" x14ac:dyDescent="0.3">
      <c r="B27" t="s">
        <v>3373</v>
      </c>
      <c r="D27">
        <f t="shared" si="0"/>
        <v>19</v>
      </c>
      <c r="E27" s="19" t="s">
        <v>344</v>
      </c>
      <c r="F27">
        <f>COUNTIFS(tbItemPedido[Cor],Apoio!E27)</f>
        <v>16</v>
      </c>
      <c r="H27" s="18" t="s">
        <v>3318</v>
      </c>
      <c r="S27" s="19"/>
    </row>
    <row r="28" spans="2:19" x14ac:dyDescent="0.3">
      <c r="B28" t="s">
        <v>3485</v>
      </c>
      <c r="H28" s="19" t="s">
        <v>3316</v>
      </c>
      <c r="S28" s="18"/>
    </row>
    <row r="29" spans="2:19" x14ac:dyDescent="0.3">
      <c r="H29" s="18" t="s">
        <v>3318</v>
      </c>
      <c r="S29" s="19"/>
    </row>
    <row r="30" spans="2:19" x14ac:dyDescent="0.3">
      <c r="H30" s="19" t="s">
        <v>3316</v>
      </c>
      <c r="S30" s="18"/>
    </row>
    <row r="31" spans="2:19" x14ac:dyDescent="0.3">
      <c r="H31" s="18" t="s">
        <v>3318</v>
      </c>
      <c r="S31" s="19"/>
    </row>
    <row r="32" spans="2:19" x14ac:dyDescent="0.3">
      <c r="H32" s="19" t="s">
        <v>3318</v>
      </c>
      <c r="S32" s="18"/>
    </row>
    <row r="33" spans="8:19" x14ac:dyDescent="0.3">
      <c r="H33" s="18" t="s">
        <v>3311</v>
      </c>
      <c r="S33" s="19"/>
    </row>
    <row r="34" spans="8:19" x14ac:dyDescent="0.3">
      <c r="H34" s="19" t="s">
        <v>3316</v>
      </c>
      <c r="S34" s="18"/>
    </row>
    <row r="35" spans="8:19" x14ac:dyDescent="0.3">
      <c r="H35" s="18" t="s">
        <v>3316</v>
      </c>
      <c r="S35" s="19"/>
    </row>
    <row r="36" spans="8:19" x14ac:dyDescent="0.3">
      <c r="H36" s="19" t="s">
        <v>3311</v>
      </c>
      <c r="S36" s="18"/>
    </row>
    <row r="37" spans="8:19" x14ac:dyDescent="0.3">
      <c r="H37" s="18" t="s">
        <v>3316</v>
      </c>
      <c r="S37" s="19"/>
    </row>
    <row r="38" spans="8:19" x14ac:dyDescent="0.3">
      <c r="H38" s="19" t="s">
        <v>3316</v>
      </c>
      <c r="S38" s="18"/>
    </row>
    <row r="39" spans="8:19" x14ac:dyDescent="0.3">
      <c r="H39" s="18" t="s">
        <v>3316</v>
      </c>
      <c r="S39" s="19"/>
    </row>
    <row r="40" spans="8:19" x14ac:dyDescent="0.3">
      <c r="H40" s="19" t="s">
        <v>3316</v>
      </c>
      <c r="S40" s="18"/>
    </row>
    <row r="41" spans="8:19" x14ac:dyDescent="0.3">
      <c r="H41" s="18" t="s">
        <v>3311</v>
      </c>
      <c r="S41" s="19"/>
    </row>
    <row r="42" spans="8:19" x14ac:dyDescent="0.3">
      <c r="H42" s="19" t="s">
        <v>3318</v>
      </c>
      <c r="S42" s="18"/>
    </row>
    <row r="43" spans="8:19" x14ac:dyDescent="0.3">
      <c r="H43" s="18" t="s">
        <v>3311</v>
      </c>
      <c r="S43" s="19"/>
    </row>
    <row r="44" spans="8:19" x14ac:dyDescent="0.3">
      <c r="H44" s="19" t="s">
        <v>3311</v>
      </c>
      <c r="S44" s="18"/>
    </row>
    <row r="45" spans="8:19" x14ac:dyDescent="0.3">
      <c r="H45" s="18" t="s">
        <v>3316</v>
      </c>
      <c r="S45" s="19"/>
    </row>
    <row r="46" spans="8:19" x14ac:dyDescent="0.3">
      <c r="H46" s="19" t="s">
        <v>3316</v>
      </c>
      <c r="S46" s="18"/>
    </row>
    <row r="47" spans="8:19" x14ac:dyDescent="0.3">
      <c r="H47" s="18" t="s">
        <v>3316</v>
      </c>
      <c r="S47" s="19"/>
    </row>
    <row r="48" spans="8:19" x14ac:dyDescent="0.3">
      <c r="H48" s="19" t="s">
        <v>3311</v>
      </c>
      <c r="S48" s="18"/>
    </row>
    <row r="49" spans="8:19" x14ac:dyDescent="0.3">
      <c r="H49" s="18" t="s">
        <v>3316</v>
      </c>
      <c r="S49" s="19"/>
    </row>
    <row r="50" spans="8:19" x14ac:dyDescent="0.3">
      <c r="H50" s="19" t="s">
        <v>3316</v>
      </c>
      <c r="S50" s="18"/>
    </row>
    <row r="51" spans="8:19" x14ac:dyDescent="0.3">
      <c r="H51" s="18" t="s">
        <v>3311</v>
      </c>
      <c r="S51" s="19"/>
    </row>
    <row r="52" spans="8:19" x14ac:dyDescent="0.3">
      <c r="H52" s="19" t="s">
        <v>3316</v>
      </c>
      <c r="S52" s="18"/>
    </row>
    <row r="53" spans="8:19" x14ac:dyDescent="0.3">
      <c r="H53" s="18" t="s">
        <v>3316</v>
      </c>
      <c r="S53" s="19"/>
    </row>
    <row r="54" spans="8:19" x14ac:dyDescent="0.3">
      <c r="H54" s="19" t="s">
        <v>3316</v>
      </c>
      <c r="S54" s="18"/>
    </row>
    <row r="55" spans="8:19" x14ac:dyDescent="0.3">
      <c r="H55" s="18" t="s">
        <v>3318</v>
      </c>
      <c r="S55" s="19"/>
    </row>
    <row r="56" spans="8:19" x14ac:dyDescent="0.3">
      <c r="H56" s="19" t="s">
        <v>3316</v>
      </c>
      <c r="S56" s="18"/>
    </row>
    <row r="57" spans="8:19" x14ac:dyDescent="0.3">
      <c r="H57" s="18" t="s">
        <v>3318</v>
      </c>
      <c r="S57" s="19"/>
    </row>
    <row r="58" spans="8:19" x14ac:dyDescent="0.3">
      <c r="H58" s="19" t="s">
        <v>3318</v>
      </c>
      <c r="S58" s="18"/>
    </row>
    <row r="59" spans="8:19" x14ac:dyDescent="0.3">
      <c r="H59" s="18" t="s">
        <v>3316</v>
      </c>
      <c r="S59" s="19"/>
    </row>
    <row r="60" spans="8:19" x14ac:dyDescent="0.3">
      <c r="H60" s="19" t="s">
        <v>3318</v>
      </c>
      <c r="S60" s="18"/>
    </row>
    <row r="61" spans="8:19" x14ac:dyDescent="0.3">
      <c r="H61" s="18" t="s">
        <v>3316</v>
      </c>
      <c r="S61" s="19"/>
    </row>
    <row r="62" spans="8:19" x14ac:dyDescent="0.3">
      <c r="H62" s="19" t="s">
        <v>3318</v>
      </c>
      <c r="S62" s="18"/>
    </row>
    <row r="63" spans="8:19" x14ac:dyDescent="0.3">
      <c r="H63" s="18" t="s">
        <v>3316</v>
      </c>
      <c r="S63" s="19"/>
    </row>
    <row r="64" spans="8:19" x14ac:dyDescent="0.3">
      <c r="H64" s="19" t="s">
        <v>3316</v>
      </c>
      <c r="S64" s="18"/>
    </row>
    <row r="65" spans="8:19" x14ac:dyDescent="0.3">
      <c r="H65" s="18" t="s">
        <v>3318</v>
      </c>
      <c r="S65" s="19"/>
    </row>
    <row r="66" spans="8:19" x14ac:dyDescent="0.3">
      <c r="H66" s="19" t="s">
        <v>3316</v>
      </c>
      <c r="S66" s="18"/>
    </row>
    <row r="67" spans="8:19" x14ac:dyDescent="0.3">
      <c r="H67" s="18" t="s">
        <v>3316</v>
      </c>
      <c r="S67" s="19"/>
    </row>
    <row r="68" spans="8:19" x14ac:dyDescent="0.3">
      <c r="H68" s="19" t="s">
        <v>3318</v>
      </c>
      <c r="S68" s="18"/>
    </row>
    <row r="69" spans="8:19" x14ac:dyDescent="0.3">
      <c r="H69" s="18" t="s">
        <v>3316</v>
      </c>
      <c r="S69" s="19"/>
    </row>
    <row r="70" spans="8:19" x14ac:dyDescent="0.3">
      <c r="H70" s="19" t="s">
        <v>3316</v>
      </c>
      <c r="S70" s="18"/>
    </row>
    <row r="71" spans="8:19" x14ac:dyDescent="0.3">
      <c r="H71" s="18" t="s">
        <v>3316</v>
      </c>
      <c r="S71" s="19"/>
    </row>
    <row r="72" spans="8:19" x14ac:dyDescent="0.3">
      <c r="H72" s="19" t="s">
        <v>3311</v>
      </c>
      <c r="S72" s="18"/>
    </row>
    <row r="73" spans="8:19" x14ac:dyDescent="0.3">
      <c r="H73" s="18" t="s">
        <v>3311</v>
      </c>
      <c r="S73" s="19"/>
    </row>
    <row r="74" spans="8:19" x14ac:dyDescent="0.3">
      <c r="H74" s="19" t="s">
        <v>3311</v>
      </c>
      <c r="S74" s="18"/>
    </row>
    <row r="75" spans="8:19" x14ac:dyDescent="0.3">
      <c r="H75" s="18" t="s">
        <v>3316</v>
      </c>
      <c r="S75" s="19"/>
    </row>
    <row r="76" spans="8:19" x14ac:dyDescent="0.3">
      <c r="H76" s="19" t="s">
        <v>3318</v>
      </c>
      <c r="S76" s="18"/>
    </row>
    <row r="77" spans="8:19" x14ac:dyDescent="0.3">
      <c r="H77" s="18" t="s">
        <v>3316</v>
      </c>
      <c r="S77" s="19"/>
    </row>
    <row r="78" spans="8:19" x14ac:dyDescent="0.3">
      <c r="H78" s="19" t="s">
        <v>3318</v>
      </c>
      <c r="S78" s="18"/>
    </row>
    <row r="79" spans="8:19" x14ac:dyDescent="0.3">
      <c r="H79" s="18" t="s">
        <v>3318</v>
      </c>
      <c r="S79" s="19"/>
    </row>
    <row r="80" spans="8:19" x14ac:dyDescent="0.3">
      <c r="H80" s="19" t="s">
        <v>3316</v>
      </c>
      <c r="S80" s="18"/>
    </row>
    <row r="81" spans="8:19" x14ac:dyDescent="0.3">
      <c r="H81" s="18" t="s">
        <v>3318</v>
      </c>
      <c r="S81" s="19"/>
    </row>
    <row r="82" spans="8:19" x14ac:dyDescent="0.3">
      <c r="H82" s="19" t="s">
        <v>3318</v>
      </c>
      <c r="S82" s="18"/>
    </row>
    <row r="83" spans="8:19" x14ac:dyDescent="0.3">
      <c r="H83" s="18" t="s">
        <v>3318</v>
      </c>
      <c r="S83" s="19"/>
    </row>
    <row r="84" spans="8:19" x14ac:dyDescent="0.3">
      <c r="H84" s="19" t="s">
        <v>3311</v>
      </c>
      <c r="S84" s="18"/>
    </row>
    <row r="85" spans="8:19" x14ac:dyDescent="0.3">
      <c r="H85" s="18" t="s">
        <v>3318</v>
      </c>
      <c r="S85" s="19"/>
    </row>
    <row r="86" spans="8:19" x14ac:dyDescent="0.3">
      <c r="H86" s="19" t="s">
        <v>3316</v>
      </c>
      <c r="S86" s="18"/>
    </row>
    <row r="87" spans="8:19" x14ac:dyDescent="0.3">
      <c r="H87" s="18" t="s">
        <v>3318</v>
      </c>
      <c r="S87" s="19"/>
    </row>
    <row r="88" spans="8:19" x14ac:dyDescent="0.3">
      <c r="H88" s="19" t="s">
        <v>3311</v>
      </c>
      <c r="S88" s="18"/>
    </row>
    <row r="89" spans="8:19" x14ac:dyDescent="0.3">
      <c r="H89" s="18" t="s">
        <v>3316</v>
      </c>
      <c r="S89" s="19"/>
    </row>
    <row r="90" spans="8:19" x14ac:dyDescent="0.3">
      <c r="H90" s="19" t="s">
        <v>3311</v>
      </c>
      <c r="S90" s="18"/>
    </row>
    <row r="91" spans="8:19" x14ac:dyDescent="0.3">
      <c r="H91" s="18" t="s">
        <v>3316</v>
      </c>
      <c r="S91" s="19"/>
    </row>
    <row r="92" spans="8:19" x14ac:dyDescent="0.3">
      <c r="H92" s="19" t="s">
        <v>3318</v>
      </c>
      <c r="S92" s="18"/>
    </row>
    <row r="93" spans="8:19" x14ac:dyDescent="0.3">
      <c r="H93" s="18" t="s">
        <v>3316</v>
      </c>
      <c r="S93" s="19"/>
    </row>
    <row r="94" spans="8:19" x14ac:dyDescent="0.3">
      <c r="H94" s="19" t="s">
        <v>3318</v>
      </c>
      <c r="S94" s="18"/>
    </row>
    <row r="95" spans="8:19" x14ac:dyDescent="0.3">
      <c r="H95" s="18" t="s">
        <v>3316</v>
      </c>
      <c r="S95" s="19"/>
    </row>
    <row r="96" spans="8:19" x14ac:dyDescent="0.3">
      <c r="H96" s="19" t="s">
        <v>3316</v>
      </c>
      <c r="S96" s="18"/>
    </row>
    <row r="97" spans="8:19" x14ac:dyDescent="0.3">
      <c r="H97" s="18" t="s">
        <v>3318</v>
      </c>
      <c r="S97" s="19"/>
    </row>
    <row r="98" spans="8:19" x14ac:dyDescent="0.3">
      <c r="H98" s="19" t="s">
        <v>3316</v>
      </c>
      <c r="S98" s="18"/>
    </row>
    <row r="99" spans="8:19" x14ac:dyDescent="0.3">
      <c r="H99" s="18" t="s">
        <v>3311</v>
      </c>
      <c r="S99" s="19"/>
    </row>
    <row r="100" spans="8:19" x14ac:dyDescent="0.3">
      <c r="H100" s="19" t="s">
        <v>3316</v>
      </c>
      <c r="S100" s="18"/>
    </row>
    <row r="101" spans="8:19" x14ac:dyDescent="0.3">
      <c r="H101" s="18" t="s">
        <v>3318</v>
      </c>
      <c r="S101" s="19"/>
    </row>
    <row r="102" spans="8:19" x14ac:dyDescent="0.3">
      <c r="H102" s="19" t="s">
        <v>3311</v>
      </c>
      <c r="S102" s="18"/>
    </row>
    <row r="103" spans="8:19" x14ac:dyDescent="0.3">
      <c r="H103" s="18" t="s">
        <v>3316</v>
      </c>
      <c r="S103" s="19"/>
    </row>
    <row r="104" spans="8:19" x14ac:dyDescent="0.3">
      <c r="H104" s="19" t="s">
        <v>3318</v>
      </c>
      <c r="S104" s="18"/>
    </row>
    <row r="105" spans="8:19" x14ac:dyDescent="0.3">
      <c r="H105" s="18" t="s">
        <v>3311</v>
      </c>
      <c r="S105" s="19"/>
    </row>
    <row r="106" spans="8:19" x14ac:dyDescent="0.3">
      <c r="H106" s="19" t="s">
        <v>3318</v>
      </c>
      <c r="S106" s="18"/>
    </row>
    <row r="107" spans="8:19" x14ac:dyDescent="0.3">
      <c r="H107" s="18" t="s">
        <v>3318</v>
      </c>
      <c r="S107" s="19"/>
    </row>
    <row r="108" spans="8:19" x14ac:dyDescent="0.3">
      <c r="H108" s="19" t="s">
        <v>3318</v>
      </c>
      <c r="S108" s="18"/>
    </row>
    <row r="109" spans="8:19" x14ac:dyDescent="0.3">
      <c r="H109" s="18" t="s">
        <v>3318</v>
      </c>
      <c r="S109" s="19"/>
    </row>
    <row r="110" spans="8:19" x14ac:dyDescent="0.3">
      <c r="H110" s="19" t="s">
        <v>3318</v>
      </c>
      <c r="S110" s="18"/>
    </row>
    <row r="111" spans="8:19" x14ac:dyDescent="0.3">
      <c r="H111" s="18" t="s">
        <v>3318</v>
      </c>
      <c r="S111" s="19"/>
    </row>
    <row r="112" spans="8:19" x14ac:dyDescent="0.3">
      <c r="H112" s="19" t="s">
        <v>3316</v>
      </c>
      <c r="S112" s="18"/>
    </row>
    <row r="113" spans="8:19" x14ac:dyDescent="0.3">
      <c r="H113" s="18" t="s">
        <v>3318</v>
      </c>
      <c r="S113" s="19"/>
    </row>
    <row r="114" spans="8:19" x14ac:dyDescent="0.3">
      <c r="H114" s="19" t="s">
        <v>3311</v>
      </c>
      <c r="S114" s="18"/>
    </row>
    <row r="115" spans="8:19" x14ac:dyDescent="0.3">
      <c r="H115" s="18" t="s">
        <v>3311</v>
      </c>
      <c r="S115" s="19"/>
    </row>
    <row r="116" spans="8:19" x14ac:dyDescent="0.3">
      <c r="H116" s="19" t="s">
        <v>3316</v>
      </c>
      <c r="S116" s="18"/>
    </row>
    <row r="117" spans="8:19" x14ac:dyDescent="0.3">
      <c r="H117" s="18" t="s">
        <v>3316</v>
      </c>
      <c r="S117" s="19"/>
    </row>
    <row r="118" spans="8:19" x14ac:dyDescent="0.3">
      <c r="H118" s="19" t="s">
        <v>3316</v>
      </c>
      <c r="S118" s="18"/>
    </row>
    <row r="119" spans="8:19" x14ac:dyDescent="0.3">
      <c r="H119" s="18" t="s">
        <v>3318</v>
      </c>
      <c r="S119" s="19"/>
    </row>
    <row r="120" spans="8:19" x14ac:dyDescent="0.3">
      <c r="H120" s="19" t="s">
        <v>3316</v>
      </c>
      <c r="S120" s="18"/>
    </row>
    <row r="121" spans="8:19" x14ac:dyDescent="0.3">
      <c r="H121" s="18" t="s">
        <v>3316</v>
      </c>
      <c r="S121" s="19"/>
    </row>
    <row r="122" spans="8:19" x14ac:dyDescent="0.3">
      <c r="H122" s="19" t="s">
        <v>3316</v>
      </c>
      <c r="S122" s="18"/>
    </row>
    <row r="123" spans="8:19" x14ac:dyDescent="0.3">
      <c r="H123" s="18" t="s">
        <v>3316</v>
      </c>
      <c r="S123" s="19"/>
    </row>
    <row r="124" spans="8:19" x14ac:dyDescent="0.3">
      <c r="H124" s="19" t="s">
        <v>3318</v>
      </c>
      <c r="S124" s="18"/>
    </row>
    <row r="125" spans="8:19" x14ac:dyDescent="0.3">
      <c r="H125" s="18" t="s">
        <v>3311</v>
      </c>
      <c r="S125" s="19"/>
    </row>
    <row r="126" spans="8:19" x14ac:dyDescent="0.3">
      <c r="H126" s="19" t="s">
        <v>3311</v>
      </c>
      <c r="S126" s="18"/>
    </row>
    <row r="127" spans="8:19" x14ac:dyDescent="0.3">
      <c r="H127" s="18" t="s">
        <v>3316</v>
      </c>
      <c r="S127" s="19"/>
    </row>
    <row r="128" spans="8:19" x14ac:dyDescent="0.3">
      <c r="H128" s="19" t="s">
        <v>3311</v>
      </c>
      <c r="S128" s="18"/>
    </row>
    <row r="129" spans="8:19" x14ac:dyDescent="0.3">
      <c r="H129" s="18" t="s">
        <v>3311</v>
      </c>
      <c r="S129" s="19"/>
    </row>
    <row r="130" spans="8:19" x14ac:dyDescent="0.3">
      <c r="H130" s="19" t="s">
        <v>3316</v>
      </c>
      <c r="S130" s="18"/>
    </row>
    <row r="131" spans="8:19" x14ac:dyDescent="0.3">
      <c r="H131" s="18" t="s">
        <v>3316</v>
      </c>
      <c r="S131" s="19"/>
    </row>
    <row r="132" spans="8:19" x14ac:dyDescent="0.3">
      <c r="H132" s="19" t="s">
        <v>3316</v>
      </c>
      <c r="S132" s="18"/>
    </row>
    <row r="133" spans="8:19" x14ac:dyDescent="0.3">
      <c r="H133" s="18" t="s">
        <v>3318</v>
      </c>
      <c r="S133" s="19"/>
    </row>
    <row r="134" spans="8:19" x14ac:dyDescent="0.3">
      <c r="H134" s="19" t="s">
        <v>3318</v>
      </c>
      <c r="S134" s="18"/>
    </row>
    <row r="135" spans="8:19" x14ac:dyDescent="0.3">
      <c r="H135" s="18" t="s">
        <v>3316</v>
      </c>
      <c r="S135" s="19"/>
    </row>
    <row r="136" spans="8:19" x14ac:dyDescent="0.3">
      <c r="H136" s="19" t="s">
        <v>3316</v>
      </c>
      <c r="S136" s="18"/>
    </row>
    <row r="137" spans="8:19" x14ac:dyDescent="0.3">
      <c r="H137" s="18" t="s">
        <v>3316</v>
      </c>
      <c r="S137" s="19"/>
    </row>
    <row r="138" spans="8:19" x14ac:dyDescent="0.3">
      <c r="H138" s="19" t="s">
        <v>3318</v>
      </c>
      <c r="S138" s="18"/>
    </row>
    <row r="139" spans="8:19" x14ac:dyDescent="0.3">
      <c r="H139" s="18" t="s">
        <v>3318</v>
      </c>
      <c r="S139" s="19"/>
    </row>
    <row r="140" spans="8:19" x14ac:dyDescent="0.3">
      <c r="H140" s="19" t="s">
        <v>3318</v>
      </c>
      <c r="S140" s="18"/>
    </row>
    <row r="141" spans="8:19" x14ac:dyDescent="0.3">
      <c r="H141" s="18" t="s">
        <v>3318</v>
      </c>
      <c r="S141" s="19"/>
    </row>
    <row r="142" spans="8:19" x14ac:dyDescent="0.3">
      <c r="H142" s="19" t="s">
        <v>3318</v>
      </c>
      <c r="S142" s="18"/>
    </row>
    <row r="143" spans="8:19" x14ac:dyDescent="0.3">
      <c r="H143" s="18" t="s">
        <v>3318</v>
      </c>
      <c r="S143" s="19"/>
    </row>
    <row r="144" spans="8:19" x14ac:dyDescent="0.3">
      <c r="H144" s="19" t="s">
        <v>3318</v>
      </c>
      <c r="S144" s="18"/>
    </row>
    <row r="145" spans="8:19" x14ac:dyDescent="0.3">
      <c r="H145" s="18" t="s">
        <v>3316</v>
      </c>
      <c r="S145" s="19"/>
    </row>
    <row r="146" spans="8:19" x14ac:dyDescent="0.3">
      <c r="H146" s="19" t="s">
        <v>3311</v>
      </c>
      <c r="S146" s="18"/>
    </row>
    <row r="147" spans="8:19" x14ac:dyDescent="0.3">
      <c r="H147" s="18" t="s">
        <v>3318</v>
      </c>
      <c r="S147" s="19"/>
    </row>
    <row r="148" spans="8:19" x14ac:dyDescent="0.3">
      <c r="H148" s="19" t="s">
        <v>3316</v>
      </c>
      <c r="S148" s="18"/>
    </row>
    <row r="149" spans="8:19" x14ac:dyDescent="0.3">
      <c r="H149" s="18" t="s">
        <v>3316</v>
      </c>
      <c r="S149" s="19"/>
    </row>
    <row r="150" spans="8:19" x14ac:dyDescent="0.3">
      <c r="H150" s="19" t="s">
        <v>3316</v>
      </c>
      <c r="S150" s="18"/>
    </row>
    <row r="151" spans="8:19" x14ac:dyDescent="0.3">
      <c r="H151" s="18" t="s">
        <v>3318</v>
      </c>
      <c r="S151" s="19"/>
    </row>
    <row r="152" spans="8:19" x14ac:dyDescent="0.3">
      <c r="H152" s="19" t="s">
        <v>3316</v>
      </c>
      <c r="S152" s="18"/>
    </row>
    <row r="153" spans="8:19" x14ac:dyDescent="0.3">
      <c r="H153" s="18" t="s">
        <v>3311</v>
      </c>
      <c r="S153" s="19"/>
    </row>
    <row r="154" spans="8:19" x14ac:dyDescent="0.3">
      <c r="H154" s="19" t="s">
        <v>3316</v>
      </c>
      <c r="S154" s="18"/>
    </row>
    <row r="155" spans="8:19" x14ac:dyDescent="0.3">
      <c r="H155" s="18" t="s">
        <v>3316</v>
      </c>
      <c r="S155" s="19"/>
    </row>
    <row r="156" spans="8:19" x14ac:dyDescent="0.3">
      <c r="H156" s="19" t="s">
        <v>3318</v>
      </c>
      <c r="S156" s="18"/>
    </row>
    <row r="157" spans="8:19" x14ac:dyDescent="0.3">
      <c r="H157" s="18" t="s">
        <v>3316</v>
      </c>
      <c r="S157" s="19"/>
    </row>
    <row r="158" spans="8:19" x14ac:dyDescent="0.3">
      <c r="H158" s="19" t="s">
        <v>3311</v>
      </c>
      <c r="S158" s="18"/>
    </row>
    <row r="159" spans="8:19" x14ac:dyDescent="0.3">
      <c r="H159" s="18" t="s">
        <v>3318</v>
      </c>
      <c r="S159" s="19"/>
    </row>
    <row r="160" spans="8:19" x14ac:dyDescent="0.3">
      <c r="H160" s="19" t="s">
        <v>3318</v>
      </c>
      <c r="S160" s="18"/>
    </row>
    <row r="161" spans="8:19" x14ac:dyDescent="0.3">
      <c r="H161" s="18" t="s">
        <v>3316</v>
      </c>
      <c r="S161" s="19"/>
    </row>
    <row r="162" spans="8:19" x14ac:dyDescent="0.3">
      <c r="H162" s="19" t="s">
        <v>3316</v>
      </c>
      <c r="S162" s="18"/>
    </row>
    <row r="163" spans="8:19" x14ac:dyDescent="0.3">
      <c r="H163" s="18" t="s">
        <v>3311</v>
      </c>
      <c r="S163" s="19"/>
    </row>
    <row r="164" spans="8:19" x14ac:dyDescent="0.3">
      <c r="H164" s="19" t="s">
        <v>3316</v>
      </c>
      <c r="S164" s="18"/>
    </row>
    <row r="165" spans="8:19" x14ac:dyDescent="0.3">
      <c r="H165" s="18" t="s">
        <v>3318</v>
      </c>
      <c r="S165" s="19"/>
    </row>
    <row r="166" spans="8:19" x14ac:dyDescent="0.3">
      <c r="H166" s="19" t="s">
        <v>3311</v>
      </c>
      <c r="S166" s="18"/>
    </row>
    <row r="167" spans="8:19" x14ac:dyDescent="0.3">
      <c r="H167" s="18" t="s">
        <v>3318</v>
      </c>
      <c r="S167" s="19"/>
    </row>
    <row r="168" spans="8:19" x14ac:dyDescent="0.3">
      <c r="H168" s="19" t="s">
        <v>3316</v>
      </c>
      <c r="S168" s="18"/>
    </row>
    <row r="169" spans="8:19" x14ac:dyDescent="0.3">
      <c r="H169" s="18" t="s">
        <v>3318</v>
      </c>
      <c r="S169" s="19"/>
    </row>
    <row r="170" spans="8:19" x14ac:dyDescent="0.3">
      <c r="H170" s="19" t="s">
        <v>3318</v>
      </c>
      <c r="S170" s="18"/>
    </row>
    <row r="171" spans="8:19" x14ac:dyDescent="0.3">
      <c r="H171" s="18" t="s">
        <v>3316</v>
      </c>
      <c r="S171" s="19"/>
    </row>
    <row r="172" spans="8:19" x14ac:dyDescent="0.3">
      <c r="H172" s="19" t="s">
        <v>3311</v>
      </c>
      <c r="S172" s="18"/>
    </row>
    <row r="173" spans="8:19" x14ac:dyDescent="0.3">
      <c r="H173" s="18" t="s">
        <v>3311</v>
      </c>
      <c r="S173" s="19"/>
    </row>
    <row r="174" spans="8:19" x14ac:dyDescent="0.3">
      <c r="H174" s="19" t="s">
        <v>3318</v>
      </c>
      <c r="S174" s="18"/>
    </row>
    <row r="175" spans="8:19" x14ac:dyDescent="0.3">
      <c r="H175" s="18" t="s">
        <v>3316</v>
      </c>
      <c r="S175" s="19"/>
    </row>
    <row r="176" spans="8:19" x14ac:dyDescent="0.3">
      <c r="H176" s="19" t="s">
        <v>3316</v>
      </c>
      <c r="S176" s="18"/>
    </row>
    <row r="177" spans="8:19" x14ac:dyDescent="0.3">
      <c r="H177" s="18" t="s">
        <v>3311</v>
      </c>
      <c r="S177" s="19"/>
    </row>
    <row r="178" spans="8:19" x14ac:dyDescent="0.3">
      <c r="H178" s="19" t="s">
        <v>3316</v>
      </c>
      <c r="S178" s="18"/>
    </row>
    <row r="179" spans="8:19" x14ac:dyDescent="0.3">
      <c r="H179" s="18" t="s">
        <v>3311</v>
      </c>
      <c r="S179" s="19"/>
    </row>
    <row r="180" spans="8:19" x14ac:dyDescent="0.3">
      <c r="H180" s="19" t="s">
        <v>3318</v>
      </c>
      <c r="S180" s="18"/>
    </row>
    <row r="181" spans="8:19" x14ac:dyDescent="0.3">
      <c r="H181" s="18" t="s">
        <v>3316</v>
      </c>
      <c r="S181" s="19"/>
    </row>
    <row r="182" spans="8:19" x14ac:dyDescent="0.3">
      <c r="H182" s="19" t="s">
        <v>3318</v>
      </c>
      <c r="S182" s="18"/>
    </row>
    <row r="183" spans="8:19" x14ac:dyDescent="0.3">
      <c r="H183" s="18" t="s">
        <v>3311</v>
      </c>
      <c r="S183" s="19"/>
    </row>
    <row r="184" spans="8:19" x14ac:dyDescent="0.3">
      <c r="H184" s="19" t="s">
        <v>3316</v>
      </c>
      <c r="S184" s="18"/>
    </row>
    <row r="185" spans="8:19" x14ac:dyDescent="0.3">
      <c r="H185" s="18" t="s">
        <v>3316</v>
      </c>
      <c r="S185" s="19"/>
    </row>
    <row r="186" spans="8:19" x14ac:dyDescent="0.3">
      <c r="H186" s="19" t="s">
        <v>3318</v>
      </c>
      <c r="S186" s="18"/>
    </row>
    <row r="187" spans="8:19" x14ac:dyDescent="0.3">
      <c r="H187" s="18" t="s">
        <v>3318</v>
      </c>
      <c r="S187" s="19"/>
    </row>
    <row r="188" spans="8:19" x14ac:dyDescent="0.3">
      <c r="H188" s="19" t="s">
        <v>3316</v>
      </c>
      <c r="S188" s="18"/>
    </row>
    <row r="189" spans="8:19" x14ac:dyDescent="0.3">
      <c r="H189" s="18" t="s">
        <v>3318</v>
      </c>
      <c r="S189" s="19"/>
    </row>
    <row r="190" spans="8:19" x14ac:dyDescent="0.3">
      <c r="H190" s="19" t="s">
        <v>3311</v>
      </c>
      <c r="S190" s="18"/>
    </row>
    <row r="191" spans="8:19" x14ac:dyDescent="0.3">
      <c r="H191" s="18" t="s">
        <v>3318</v>
      </c>
      <c r="S191" s="19"/>
    </row>
    <row r="192" spans="8:19" x14ac:dyDescent="0.3">
      <c r="H192" s="19" t="s">
        <v>3318</v>
      </c>
      <c r="S192" s="18"/>
    </row>
    <row r="193" spans="8:19" x14ac:dyDescent="0.3">
      <c r="H193" s="18" t="s">
        <v>3316</v>
      </c>
      <c r="S193" s="19"/>
    </row>
    <row r="194" spans="8:19" x14ac:dyDescent="0.3">
      <c r="H194" s="19" t="s">
        <v>3316</v>
      </c>
      <c r="S194" s="18"/>
    </row>
    <row r="195" spans="8:19" x14ac:dyDescent="0.3">
      <c r="H195" s="18" t="s">
        <v>3316</v>
      </c>
      <c r="S195" s="19"/>
    </row>
    <row r="196" spans="8:19" x14ac:dyDescent="0.3">
      <c r="H196" s="19" t="s">
        <v>3318</v>
      </c>
      <c r="S196" s="18"/>
    </row>
    <row r="197" spans="8:19" x14ac:dyDescent="0.3">
      <c r="H197" s="18" t="s">
        <v>3316</v>
      </c>
      <c r="S197" s="19"/>
    </row>
    <row r="198" spans="8:19" x14ac:dyDescent="0.3">
      <c r="H198" s="19" t="s">
        <v>3316</v>
      </c>
      <c r="S198" s="18"/>
    </row>
    <row r="199" spans="8:19" x14ac:dyDescent="0.3">
      <c r="H199" s="18" t="s">
        <v>3318</v>
      </c>
      <c r="S199" s="19"/>
    </row>
    <row r="200" spans="8:19" x14ac:dyDescent="0.3">
      <c r="H200" s="19" t="s">
        <v>3316</v>
      </c>
      <c r="S200" s="18"/>
    </row>
    <row r="201" spans="8:19" x14ac:dyDescent="0.3">
      <c r="H201" s="18" t="s">
        <v>3316</v>
      </c>
      <c r="S201" s="19"/>
    </row>
    <row r="202" spans="8:19" x14ac:dyDescent="0.3">
      <c r="H202" s="19" t="s">
        <v>3311</v>
      </c>
      <c r="S202" s="18"/>
    </row>
    <row r="203" spans="8:19" x14ac:dyDescent="0.3">
      <c r="H203" s="18" t="s">
        <v>3316</v>
      </c>
      <c r="S203" s="19"/>
    </row>
    <row r="204" spans="8:19" x14ac:dyDescent="0.3">
      <c r="H204" s="19" t="s">
        <v>3318</v>
      </c>
      <c r="S204" s="18"/>
    </row>
    <row r="205" spans="8:19" x14ac:dyDescent="0.3">
      <c r="H205" s="18" t="s">
        <v>3316</v>
      </c>
      <c r="S205" s="19"/>
    </row>
    <row r="206" spans="8:19" x14ac:dyDescent="0.3">
      <c r="H206" s="19" t="s">
        <v>3316</v>
      </c>
      <c r="S206" s="18"/>
    </row>
    <row r="207" spans="8:19" x14ac:dyDescent="0.3">
      <c r="H207" s="18" t="s">
        <v>3318</v>
      </c>
      <c r="S207" s="19"/>
    </row>
    <row r="208" spans="8:19" x14ac:dyDescent="0.3">
      <c r="H208" s="19" t="s">
        <v>3316</v>
      </c>
      <c r="S208" s="18"/>
    </row>
    <row r="209" spans="8:19" x14ac:dyDescent="0.3">
      <c r="H209" s="18" t="s">
        <v>3311</v>
      </c>
      <c r="S209" s="19"/>
    </row>
    <row r="210" spans="8:19" x14ac:dyDescent="0.3">
      <c r="H210" s="19" t="s">
        <v>3311</v>
      </c>
      <c r="S210" s="18"/>
    </row>
    <row r="211" spans="8:19" x14ac:dyDescent="0.3">
      <c r="H211" s="18" t="s">
        <v>3318</v>
      </c>
      <c r="S211" s="19"/>
    </row>
    <row r="212" spans="8:19" x14ac:dyDescent="0.3">
      <c r="H212" s="19" t="s">
        <v>3316</v>
      </c>
      <c r="S212" s="18"/>
    </row>
    <row r="213" spans="8:19" x14ac:dyDescent="0.3">
      <c r="H213" s="18" t="s">
        <v>3318</v>
      </c>
      <c r="S213" s="19"/>
    </row>
    <row r="214" spans="8:19" x14ac:dyDescent="0.3">
      <c r="H214" s="19" t="s">
        <v>3318</v>
      </c>
      <c r="S214" s="18"/>
    </row>
    <row r="215" spans="8:19" x14ac:dyDescent="0.3">
      <c r="H215" s="18" t="s">
        <v>3316</v>
      </c>
      <c r="S215" s="19"/>
    </row>
    <row r="216" spans="8:19" x14ac:dyDescent="0.3">
      <c r="H216" s="19" t="s">
        <v>3316</v>
      </c>
      <c r="S216" s="18"/>
    </row>
    <row r="217" spans="8:19" x14ac:dyDescent="0.3">
      <c r="H217" s="18" t="s">
        <v>3316</v>
      </c>
      <c r="S217" s="19"/>
    </row>
    <row r="218" spans="8:19" x14ac:dyDescent="0.3">
      <c r="H218" s="19" t="s">
        <v>3318</v>
      </c>
      <c r="S218" s="18"/>
    </row>
    <row r="219" spans="8:19" x14ac:dyDescent="0.3">
      <c r="H219" s="18" t="s">
        <v>3318</v>
      </c>
      <c r="S219" s="19"/>
    </row>
    <row r="220" spans="8:19" x14ac:dyDescent="0.3">
      <c r="H220" s="19" t="s">
        <v>3318</v>
      </c>
      <c r="S220" s="18"/>
    </row>
    <row r="221" spans="8:19" x14ac:dyDescent="0.3">
      <c r="H221" s="18" t="s">
        <v>3316</v>
      </c>
      <c r="S221" s="19"/>
    </row>
    <row r="222" spans="8:19" x14ac:dyDescent="0.3">
      <c r="H222" s="19" t="s">
        <v>3311</v>
      </c>
      <c r="S222" s="18"/>
    </row>
    <row r="223" spans="8:19" x14ac:dyDescent="0.3">
      <c r="H223" s="18" t="s">
        <v>3311</v>
      </c>
      <c r="S223" s="19"/>
    </row>
    <row r="224" spans="8:19" x14ac:dyDescent="0.3">
      <c r="H224" s="19" t="s">
        <v>3318</v>
      </c>
      <c r="S224" s="18"/>
    </row>
    <row r="225" spans="8:19" x14ac:dyDescent="0.3">
      <c r="H225" s="18" t="s">
        <v>3316</v>
      </c>
      <c r="S225" s="19"/>
    </row>
    <row r="226" spans="8:19" x14ac:dyDescent="0.3">
      <c r="H226" s="19" t="s">
        <v>3316</v>
      </c>
      <c r="S226" s="18"/>
    </row>
    <row r="227" spans="8:19" x14ac:dyDescent="0.3">
      <c r="H227" s="18" t="s">
        <v>3318</v>
      </c>
      <c r="S227" s="19"/>
    </row>
    <row r="228" spans="8:19" x14ac:dyDescent="0.3">
      <c r="H228" s="19" t="s">
        <v>3311</v>
      </c>
      <c r="S228" s="18"/>
    </row>
    <row r="229" spans="8:19" x14ac:dyDescent="0.3">
      <c r="H229" s="18" t="s">
        <v>3316</v>
      </c>
      <c r="S229" s="19"/>
    </row>
    <row r="230" spans="8:19" x14ac:dyDescent="0.3">
      <c r="H230" s="19" t="s">
        <v>3318</v>
      </c>
      <c r="S230" s="18"/>
    </row>
    <row r="231" spans="8:19" x14ac:dyDescent="0.3">
      <c r="H231" s="18" t="s">
        <v>3316</v>
      </c>
      <c r="S231" s="19"/>
    </row>
    <row r="232" spans="8:19" x14ac:dyDescent="0.3">
      <c r="H232" s="19" t="s">
        <v>3316</v>
      </c>
      <c r="S232" s="18"/>
    </row>
    <row r="233" spans="8:19" x14ac:dyDescent="0.3">
      <c r="H233" s="18" t="s">
        <v>3316</v>
      </c>
      <c r="S233" s="19"/>
    </row>
    <row r="234" spans="8:19" x14ac:dyDescent="0.3">
      <c r="H234" s="19" t="s">
        <v>3311</v>
      </c>
      <c r="S234" s="18"/>
    </row>
    <row r="235" spans="8:19" x14ac:dyDescent="0.3">
      <c r="H235" s="18" t="s">
        <v>3311</v>
      </c>
      <c r="S235" s="19"/>
    </row>
    <row r="236" spans="8:19" x14ac:dyDescent="0.3">
      <c r="H236" s="19" t="s">
        <v>3318</v>
      </c>
      <c r="S236" s="18"/>
    </row>
    <row r="237" spans="8:19" x14ac:dyDescent="0.3">
      <c r="H237" s="18" t="s">
        <v>3316</v>
      </c>
      <c r="S237" s="19"/>
    </row>
    <row r="238" spans="8:19" x14ac:dyDescent="0.3">
      <c r="H238" s="19" t="s">
        <v>3318</v>
      </c>
      <c r="S238" s="18"/>
    </row>
    <row r="239" spans="8:19" x14ac:dyDescent="0.3">
      <c r="H239" s="18" t="s">
        <v>3311</v>
      </c>
      <c r="S239" s="19"/>
    </row>
    <row r="240" spans="8:19" x14ac:dyDescent="0.3">
      <c r="H240" s="19" t="s">
        <v>3316</v>
      </c>
      <c r="S240" s="18"/>
    </row>
    <row r="241" spans="8:19" x14ac:dyDescent="0.3">
      <c r="H241" s="18" t="s">
        <v>3316</v>
      </c>
      <c r="S241" s="19"/>
    </row>
    <row r="242" spans="8:19" x14ac:dyDescent="0.3">
      <c r="H242" s="19" t="s">
        <v>3318</v>
      </c>
      <c r="S242" s="18"/>
    </row>
    <row r="243" spans="8:19" x14ac:dyDescent="0.3">
      <c r="H243" s="18" t="s">
        <v>3318</v>
      </c>
      <c r="S243" s="19"/>
    </row>
    <row r="244" spans="8:19" x14ac:dyDescent="0.3">
      <c r="H244" s="19" t="s">
        <v>3318</v>
      </c>
      <c r="S244" s="18"/>
    </row>
    <row r="245" spans="8:19" x14ac:dyDescent="0.3">
      <c r="H245" s="18" t="s">
        <v>3311</v>
      </c>
      <c r="S245" s="19"/>
    </row>
    <row r="246" spans="8:19" x14ac:dyDescent="0.3">
      <c r="H246" s="19" t="s">
        <v>3316</v>
      </c>
      <c r="S246" s="18"/>
    </row>
    <row r="247" spans="8:19" x14ac:dyDescent="0.3">
      <c r="H247" s="18" t="s">
        <v>3318</v>
      </c>
      <c r="S247" s="19"/>
    </row>
    <row r="248" spans="8:19" x14ac:dyDescent="0.3">
      <c r="H248" s="19" t="s">
        <v>3318</v>
      </c>
      <c r="S248" s="18"/>
    </row>
    <row r="249" spans="8:19" x14ac:dyDescent="0.3">
      <c r="H249" s="18" t="s">
        <v>3316</v>
      </c>
      <c r="S249" s="19"/>
    </row>
    <row r="250" spans="8:19" x14ac:dyDescent="0.3">
      <c r="H250" s="19" t="s">
        <v>3318</v>
      </c>
      <c r="S250" s="18"/>
    </row>
    <row r="251" spans="8:19" x14ac:dyDescent="0.3">
      <c r="H251" s="18" t="s">
        <v>3311</v>
      </c>
      <c r="S251" s="19"/>
    </row>
    <row r="252" spans="8:19" x14ac:dyDescent="0.3">
      <c r="H252" s="19" t="s">
        <v>3316</v>
      </c>
      <c r="S252" s="18"/>
    </row>
    <row r="253" spans="8:19" x14ac:dyDescent="0.3">
      <c r="H253" s="18" t="s">
        <v>3318</v>
      </c>
      <c r="S253" s="19"/>
    </row>
    <row r="254" spans="8:19" x14ac:dyDescent="0.3">
      <c r="H254" s="19" t="s">
        <v>3311</v>
      </c>
      <c r="S254" s="18"/>
    </row>
    <row r="255" spans="8:19" x14ac:dyDescent="0.3">
      <c r="H255" s="18" t="s">
        <v>3318</v>
      </c>
      <c r="S255" s="19"/>
    </row>
    <row r="256" spans="8:19" x14ac:dyDescent="0.3">
      <c r="H256" s="19" t="s">
        <v>3311</v>
      </c>
      <c r="S256" s="18"/>
    </row>
    <row r="257" spans="8:19" x14ac:dyDescent="0.3">
      <c r="H257" s="18" t="s">
        <v>3311</v>
      </c>
      <c r="S257" s="19"/>
    </row>
    <row r="258" spans="8:19" x14ac:dyDescent="0.3">
      <c r="H258" s="19" t="s">
        <v>3311</v>
      </c>
      <c r="S258" s="18"/>
    </row>
    <row r="259" spans="8:19" x14ac:dyDescent="0.3">
      <c r="H259" s="18" t="s">
        <v>3318</v>
      </c>
      <c r="S259" s="19"/>
    </row>
    <row r="260" spans="8:19" x14ac:dyDescent="0.3">
      <c r="H260" s="19" t="s">
        <v>3316</v>
      </c>
      <c r="S260" s="18"/>
    </row>
    <row r="261" spans="8:19" x14ac:dyDescent="0.3">
      <c r="H261" s="18" t="s">
        <v>3318</v>
      </c>
      <c r="S261" s="19"/>
    </row>
    <row r="262" spans="8:19" x14ac:dyDescent="0.3">
      <c r="H262" s="19" t="s">
        <v>3311</v>
      </c>
      <c r="S262" s="18"/>
    </row>
    <row r="263" spans="8:19" x14ac:dyDescent="0.3">
      <c r="H263" s="18" t="s">
        <v>3316</v>
      </c>
      <c r="S263" s="19"/>
    </row>
    <row r="264" spans="8:19" x14ac:dyDescent="0.3">
      <c r="H264" s="19" t="s">
        <v>3316</v>
      </c>
      <c r="S264" s="18"/>
    </row>
    <row r="265" spans="8:19" x14ac:dyDescent="0.3">
      <c r="H265" s="18" t="s">
        <v>3316</v>
      </c>
      <c r="S265" s="19"/>
    </row>
    <row r="266" spans="8:19" x14ac:dyDescent="0.3">
      <c r="H266" s="19" t="s">
        <v>3311</v>
      </c>
      <c r="S266" s="18"/>
    </row>
    <row r="267" spans="8:19" x14ac:dyDescent="0.3">
      <c r="H267" s="18" t="s">
        <v>3318</v>
      </c>
      <c r="S267" s="19"/>
    </row>
    <row r="268" spans="8:19" x14ac:dyDescent="0.3">
      <c r="H268" s="19" t="s">
        <v>3316</v>
      </c>
      <c r="S268" s="18"/>
    </row>
    <row r="269" spans="8:19" x14ac:dyDescent="0.3">
      <c r="H269" s="18" t="s">
        <v>3311</v>
      </c>
      <c r="S269" s="19"/>
    </row>
    <row r="270" spans="8:19" x14ac:dyDescent="0.3">
      <c r="H270" s="19" t="s">
        <v>3316</v>
      </c>
      <c r="S270" s="18"/>
    </row>
    <row r="271" spans="8:19" x14ac:dyDescent="0.3">
      <c r="H271" s="18" t="s">
        <v>3318</v>
      </c>
      <c r="S271" s="19"/>
    </row>
    <row r="272" spans="8:19" x14ac:dyDescent="0.3">
      <c r="H272" s="19" t="s">
        <v>3318</v>
      </c>
      <c r="S272" s="18"/>
    </row>
    <row r="273" spans="8:19" x14ac:dyDescent="0.3">
      <c r="H273" s="18" t="s">
        <v>3318</v>
      </c>
      <c r="S273" s="19"/>
    </row>
    <row r="274" spans="8:19" x14ac:dyDescent="0.3">
      <c r="H274" s="19" t="s">
        <v>3311</v>
      </c>
      <c r="S274" s="18"/>
    </row>
    <row r="275" spans="8:19" x14ac:dyDescent="0.3">
      <c r="H275" s="18" t="s">
        <v>3316</v>
      </c>
      <c r="S275" s="19"/>
    </row>
    <row r="276" spans="8:19" x14ac:dyDescent="0.3">
      <c r="H276" s="19" t="s">
        <v>3311</v>
      </c>
      <c r="S276" s="18"/>
    </row>
    <row r="277" spans="8:19" x14ac:dyDescent="0.3">
      <c r="H277" s="18" t="s">
        <v>3316</v>
      </c>
      <c r="S277" s="19"/>
    </row>
    <row r="278" spans="8:19" x14ac:dyDescent="0.3">
      <c r="H278" s="19" t="s">
        <v>3311</v>
      </c>
      <c r="S278" s="18"/>
    </row>
    <row r="279" spans="8:19" x14ac:dyDescent="0.3">
      <c r="H279" s="18" t="s">
        <v>3316</v>
      </c>
      <c r="S279" s="19"/>
    </row>
    <row r="280" spans="8:19" x14ac:dyDescent="0.3">
      <c r="H280" s="19" t="s">
        <v>3311</v>
      </c>
      <c r="S280" s="18"/>
    </row>
    <row r="281" spans="8:19" x14ac:dyDescent="0.3">
      <c r="H281" s="18" t="s">
        <v>3311</v>
      </c>
      <c r="S281" s="19"/>
    </row>
    <row r="282" spans="8:19" x14ac:dyDescent="0.3">
      <c r="H282" s="19" t="s">
        <v>3316</v>
      </c>
      <c r="S282" s="18"/>
    </row>
    <row r="283" spans="8:19" x14ac:dyDescent="0.3">
      <c r="H283" s="18" t="s">
        <v>3316</v>
      </c>
      <c r="S283" s="19"/>
    </row>
    <row r="284" spans="8:19" x14ac:dyDescent="0.3">
      <c r="H284" s="19" t="s">
        <v>3318</v>
      </c>
      <c r="S284" s="18"/>
    </row>
    <row r="285" spans="8:19" x14ac:dyDescent="0.3">
      <c r="H285" s="18" t="s">
        <v>3311</v>
      </c>
      <c r="S285" s="19"/>
    </row>
    <row r="286" spans="8:19" x14ac:dyDescent="0.3">
      <c r="H286" s="19" t="s">
        <v>3318</v>
      </c>
      <c r="S286" s="18"/>
    </row>
    <row r="287" spans="8:19" x14ac:dyDescent="0.3">
      <c r="H287" s="18" t="s">
        <v>3316</v>
      </c>
      <c r="S287" s="19"/>
    </row>
    <row r="288" spans="8:19" x14ac:dyDescent="0.3">
      <c r="H288" s="19" t="s">
        <v>3318</v>
      </c>
      <c r="S288" s="18"/>
    </row>
    <row r="289" spans="8:19" x14ac:dyDescent="0.3">
      <c r="H289" s="18" t="s">
        <v>3316</v>
      </c>
      <c r="S289" s="19"/>
    </row>
    <row r="290" spans="8:19" x14ac:dyDescent="0.3">
      <c r="H290" s="19" t="s">
        <v>3318</v>
      </c>
      <c r="S290" s="18"/>
    </row>
    <row r="291" spans="8:19" x14ac:dyDescent="0.3">
      <c r="H291" s="18" t="s">
        <v>3316</v>
      </c>
      <c r="S291" s="19"/>
    </row>
    <row r="292" spans="8:19" x14ac:dyDescent="0.3">
      <c r="H292" s="19" t="s">
        <v>3316</v>
      </c>
      <c r="S292" s="18"/>
    </row>
    <row r="293" spans="8:19" x14ac:dyDescent="0.3">
      <c r="H293" s="18" t="s">
        <v>3316</v>
      </c>
      <c r="S293" s="19"/>
    </row>
    <row r="294" spans="8:19" x14ac:dyDescent="0.3">
      <c r="H294" s="19" t="s">
        <v>3318</v>
      </c>
      <c r="S294" s="18"/>
    </row>
    <row r="295" spans="8:19" x14ac:dyDescent="0.3">
      <c r="H295" s="18" t="s">
        <v>3316</v>
      </c>
      <c r="S295" s="19"/>
    </row>
    <row r="296" spans="8:19" x14ac:dyDescent="0.3">
      <c r="H296" s="19" t="s">
        <v>3316</v>
      </c>
      <c r="S296" s="18"/>
    </row>
    <row r="297" spans="8:19" x14ac:dyDescent="0.3">
      <c r="H297" s="18" t="s">
        <v>3318</v>
      </c>
      <c r="S297" s="19"/>
    </row>
    <row r="298" spans="8:19" x14ac:dyDescent="0.3">
      <c r="H298" s="19" t="s">
        <v>3318</v>
      </c>
      <c r="S298" s="18"/>
    </row>
    <row r="299" spans="8:19" x14ac:dyDescent="0.3">
      <c r="H299" s="18" t="s">
        <v>3316</v>
      </c>
      <c r="S299" s="19"/>
    </row>
    <row r="300" spans="8:19" x14ac:dyDescent="0.3">
      <c r="H300" s="19" t="s">
        <v>3318</v>
      </c>
      <c r="S300" s="18"/>
    </row>
    <row r="301" spans="8:19" x14ac:dyDescent="0.3">
      <c r="H301" s="18" t="s">
        <v>3316</v>
      </c>
      <c r="S301" s="19"/>
    </row>
    <row r="302" spans="8:19" x14ac:dyDescent="0.3">
      <c r="H302" s="19" t="s">
        <v>3311</v>
      </c>
      <c r="S302" s="18"/>
    </row>
    <row r="303" spans="8:19" x14ac:dyDescent="0.3">
      <c r="H303" s="18" t="s">
        <v>3318</v>
      </c>
      <c r="S303" s="19"/>
    </row>
    <row r="304" spans="8:19" x14ac:dyDescent="0.3">
      <c r="H304" s="19" t="s">
        <v>3311</v>
      </c>
      <c r="S304" s="18"/>
    </row>
    <row r="305" spans="8:19" x14ac:dyDescent="0.3">
      <c r="H305" s="18" t="s">
        <v>3318</v>
      </c>
      <c r="S305" s="19"/>
    </row>
    <row r="306" spans="8:19" x14ac:dyDescent="0.3">
      <c r="H306" s="19" t="s">
        <v>3311</v>
      </c>
      <c r="S306" s="18"/>
    </row>
    <row r="307" spans="8:19" x14ac:dyDescent="0.3">
      <c r="H307" s="18" t="s">
        <v>3316</v>
      </c>
      <c r="S307" s="19"/>
    </row>
    <row r="308" spans="8:19" x14ac:dyDescent="0.3">
      <c r="H308" s="19" t="s">
        <v>3311</v>
      </c>
      <c r="S308" s="18"/>
    </row>
    <row r="309" spans="8:19" x14ac:dyDescent="0.3">
      <c r="H309" s="18" t="s">
        <v>3316</v>
      </c>
      <c r="S309" s="19"/>
    </row>
    <row r="310" spans="8:19" x14ac:dyDescent="0.3">
      <c r="H310" s="19" t="s">
        <v>3318</v>
      </c>
      <c r="S310" s="18"/>
    </row>
    <row r="311" spans="8:19" x14ac:dyDescent="0.3">
      <c r="H311" s="18" t="s">
        <v>3316</v>
      </c>
      <c r="S311" s="19"/>
    </row>
    <row r="312" spans="8:19" x14ac:dyDescent="0.3">
      <c r="H312" s="19" t="s">
        <v>3318</v>
      </c>
      <c r="S312" s="18"/>
    </row>
    <row r="313" spans="8:19" x14ac:dyDescent="0.3">
      <c r="H313" s="18" t="s">
        <v>3318</v>
      </c>
      <c r="S313" s="19"/>
    </row>
    <row r="314" spans="8:19" x14ac:dyDescent="0.3">
      <c r="H314" s="19" t="s">
        <v>3316</v>
      </c>
      <c r="S314" s="18"/>
    </row>
    <row r="315" spans="8:19" x14ac:dyDescent="0.3">
      <c r="H315" s="18" t="s">
        <v>3311</v>
      </c>
      <c r="S315" s="19"/>
    </row>
    <row r="316" spans="8:19" x14ac:dyDescent="0.3">
      <c r="H316" s="19" t="s">
        <v>3316</v>
      </c>
      <c r="S316" s="18"/>
    </row>
    <row r="317" spans="8:19" x14ac:dyDescent="0.3">
      <c r="H317" s="18" t="s">
        <v>3316</v>
      </c>
      <c r="S317" s="19"/>
    </row>
    <row r="318" spans="8:19" x14ac:dyDescent="0.3">
      <c r="H318" s="19" t="s">
        <v>3316</v>
      </c>
      <c r="S318" s="18"/>
    </row>
    <row r="319" spans="8:19" x14ac:dyDescent="0.3">
      <c r="H319" s="18" t="s">
        <v>3316</v>
      </c>
      <c r="S319" s="19"/>
    </row>
    <row r="320" spans="8:19" x14ac:dyDescent="0.3">
      <c r="H320" s="19" t="s">
        <v>3316</v>
      </c>
      <c r="S320" s="18"/>
    </row>
    <row r="321" spans="8:19" x14ac:dyDescent="0.3">
      <c r="H321" s="18" t="s">
        <v>3318</v>
      </c>
      <c r="S321" s="19"/>
    </row>
    <row r="322" spans="8:19" x14ac:dyDescent="0.3">
      <c r="H322" s="19" t="s">
        <v>3318</v>
      </c>
      <c r="S322" s="18"/>
    </row>
    <row r="323" spans="8:19" x14ac:dyDescent="0.3">
      <c r="H323" s="18" t="s">
        <v>3311</v>
      </c>
      <c r="S323" s="19"/>
    </row>
    <row r="324" spans="8:19" x14ac:dyDescent="0.3">
      <c r="H324" s="19" t="s">
        <v>3318</v>
      </c>
      <c r="S324" s="18"/>
    </row>
    <row r="325" spans="8:19" x14ac:dyDescent="0.3">
      <c r="H325" s="18" t="s">
        <v>3316</v>
      </c>
      <c r="S325" s="19"/>
    </row>
    <row r="326" spans="8:19" x14ac:dyDescent="0.3">
      <c r="H326" s="19" t="s">
        <v>3316</v>
      </c>
      <c r="S326" s="18"/>
    </row>
    <row r="327" spans="8:19" x14ac:dyDescent="0.3">
      <c r="H327" s="18" t="s">
        <v>3311</v>
      </c>
      <c r="S327" s="19"/>
    </row>
    <row r="328" spans="8:19" x14ac:dyDescent="0.3">
      <c r="H328" s="19" t="s">
        <v>3316</v>
      </c>
      <c r="S328" s="18"/>
    </row>
    <row r="329" spans="8:19" x14ac:dyDescent="0.3">
      <c r="H329" s="18" t="s">
        <v>3318</v>
      </c>
      <c r="S329" s="19"/>
    </row>
    <row r="330" spans="8:19" x14ac:dyDescent="0.3">
      <c r="H330" s="19" t="s">
        <v>3311</v>
      </c>
      <c r="S330" s="18"/>
    </row>
    <row r="331" spans="8:19" x14ac:dyDescent="0.3">
      <c r="H331" s="18" t="s">
        <v>3311</v>
      </c>
      <c r="S331" s="19"/>
    </row>
    <row r="332" spans="8:19" x14ac:dyDescent="0.3">
      <c r="H332" s="19" t="s">
        <v>3316</v>
      </c>
      <c r="S332" s="18"/>
    </row>
    <row r="333" spans="8:19" x14ac:dyDescent="0.3">
      <c r="H333" s="18" t="s">
        <v>3318</v>
      </c>
      <c r="S333" s="19"/>
    </row>
    <row r="334" spans="8:19" x14ac:dyDescent="0.3">
      <c r="H334" s="19" t="s">
        <v>3316</v>
      </c>
      <c r="S334" s="18"/>
    </row>
    <row r="335" spans="8:19" x14ac:dyDescent="0.3">
      <c r="H335" s="18" t="s">
        <v>3316</v>
      </c>
      <c r="S335" s="19"/>
    </row>
    <row r="336" spans="8:19" x14ac:dyDescent="0.3">
      <c r="H336" s="19" t="s">
        <v>3318</v>
      </c>
      <c r="S336" s="18"/>
    </row>
    <row r="337" spans="8:19" x14ac:dyDescent="0.3">
      <c r="H337" s="18" t="s">
        <v>3318</v>
      </c>
      <c r="S337" s="19"/>
    </row>
    <row r="338" spans="8:19" x14ac:dyDescent="0.3">
      <c r="H338" s="19" t="s">
        <v>3316</v>
      </c>
      <c r="S338" s="18"/>
    </row>
    <row r="339" spans="8:19" x14ac:dyDescent="0.3">
      <c r="H339" s="18" t="s">
        <v>3316</v>
      </c>
      <c r="S339" s="19"/>
    </row>
    <row r="340" spans="8:19" x14ac:dyDescent="0.3">
      <c r="H340" s="19" t="s">
        <v>3316</v>
      </c>
      <c r="S340" s="18"/>
    </row>
    <row r="341" spans="8:19" x14ac:dyDescent="0.3">
      <c r="H341" s="18" t="s">
        <v>3318</v>
      </c>
      <c r="S341" s="19"/>
    </row>
    <row r="342" spans="8:19" x14ac:dyDescent="0.3">
      <c r="H342" s="19" t="s">
        <v>3316</v>
      </c>
      <c r="S342" s="18"/>
    </row>
    <row r="343" spans="8:19" x14ac:dyDescent="0.3">
      <c r="H343" s="18" t="s">
        <v>3318</v>
      </c>
      <c r="S343" s="19"/>
    </row>
    <row r="344" spans="8:19" x14ac:dyDescent="0.3">
      <c r="H344" s="19" t="s">
        <v>3316</v>
      </c>
      <c r="S344" s="18"/>
    </row>
    <row r="345" spans="8:19" x14ac:dyDescent="0.3">
      <c r="H345" s="18" t="s">
        <v>3316</v>
      </c>
      <c r="S345" s="19"/>
    </row>
    <row r="346" spans="8:19" x14ac:dyDescent="0.3">
      <c r="H346" s="19" t="s">
        <v>3316</v>
      </c>
      <c r="S346" s="18"/>
    </row>
    <row r="347" spans="8:19" x14ac:dyDescent="0.3">
      <c r="H347" s="18" t="s">
        <v>3316</v>
      </c>
      <c r="S347" s="19"/>
    </row>
    <row r="348" spans="8:19" x14ac:dyDescent="0.3">
      <c r="H348" s="19" t="s">
        <v>3316</v>
      </c>
      <c r="S348" s="18"/>
    </row>
    <row r="349" spans="8:19" x14ac:dyDescent="0.3">
      <c r="H349" s="18" t="s">
        <v>3318</v>
      </c>
      <c r="S349" s="19"/>
    </row>
    <row r="350" spans="8:19" x14ac:dyDescent="0.3">
      <c r="H350" s="19" t="s">
        <v>3311</v>
      </c>
      <c r="S350" s="18"/>
    </row>
    <row r="351" spans="8:19" x14ac:dyDescent="0.3">
      <c r="H351" s="18" t="s">
        <v>3316</v>
      </c>
      <c r="S351" s="19"/>
    </row>
    <row r="352" spans="8:19" x14ac:dyDescent="0.3">
      <c r="H352" s="19" t="s">
        <v>3318</v>
      </c>
      <c r="S352" s="18"/>
    </row>
    <row r="353" spans="8:19" x14ac:dyDescent="0.3">
      <c r="H353" s="18" t="s">
        <v>3318</v>
      </c>
      <c r="S353" s="19"/>
    </row>
    <row r="354" spans="8:19" x14ac:dyDescent="0.3">
      <c r="H354" s="19" t="s">
        <v>3316</v>
      </c>
      <c r="S354" s="18"/>
    </row>
    <row r="355" spans="8:19" x14ac:dyDescent="0.3">
      <c r="H355" s="18" t="s">
        <v>3316</v>
      </c>
      <c r="S355" s="19"/>
    </row>
    <row r="356" spans="8:19" x14ac:dyDescent="0.3">
      <c r="H356" s="19" t="s">
        <v>3311</v>
      </c>
      <c r="S356" s="18"/>
    </row>
    <row r="357" spans="8:19" x14ac:dyDescent="0.3">
      <c r="H357" s="18" t="s">
        <v>3316</v>
      </c>
      <c r="S357" s="19"/>
    </row>
    <row r="358" spans="8:19" x14ac:dyDescent="0.3">
      <c r="H358" s="19" t="s">
        <v>3316</v>
      </c>
      <c r="S358" s="18"/>
    </row>
    <row r="359" spans="8:19" x14ac:dyDescent="0.3">
      <c r="H359" s="18" t="s">
        <v>3318</v>
      </c>
      <c r="S359" s="19"/>
    </row>
    <row r="360" spans="8:19" x14ac:dyDescent="0.3">
      <c r="H360" s="19" t="s">
        <v>3318</v>
      </c>
      <c r="S360" s="18"/>
    </row>
    <row r="361" spans="8:19" x14ac:dyDescent="0.3">
      <c r="H361" s="18" t="s">
        <v>3316</v>
      </c>
      <c r="S361" s="19"/>
    </row>
    <row r="362" spans="8:19" x14ac:dyDescent="0.3">
      <c r="H362" s="19" t="s">
        <v>3311</v>
      </c>
      <c r="S362" s="18"/>
    </row>
    <row r="363" spans="8:19" x14ac:dyDescent="0.3">
      <c r="H363" s="18" t="s">
        <v>3318</v>
      </c>
      <c r="S363" s="19"/>
    </row>
    <row r="364" spans="8:19" x14ac:dyDescent="0.3">
      <c r="H364" s="19" t="s">
        <v>3316</v>
      </c>
      <c r="S364" s="18"/>
    </row>
    <row r="365" spans="8:19" x14ac:dyDescent="0.3">
      <c r="H365" s="18" t="s">
        <v>3311</v>
      </c>
      <c r="S365" s="19"/>
    </row>
    <row r="366" spans="8:19" x14ac:dyDescent="0.3">
      <c r="S366" s="18"/>
    </row>
    <row r="367" spans="8:19" x14ac:dyDescent="0.3">
      <c r="S367" s="19"/>
    </row>
    <row r="368" spans="8:19" x14ac:dyDescent="0.3">
      <c r="S368" s="18"/>
    </row>
    <row r="369" spans="19:19" x14ac:dyDescent="0.3">
      <c r="S369" s="19"/>
    </row>
    <row r="370" spans="19:19" x14ac:dyDescent="0.3">
      <c r="S370" s="18"/>
    </row>
    <row r="371" spans="19:19" x14ac:dyDescent="0.3">
      <c r="S371" s="19"/>
    </row>
    <row r="372" spans="19:19" x14ac:dyDescent="0.3">
      <c r="S372" s="18"/>
    </row>
    <row r="373" spans="19:19" x14ac:dyDescent="0.3">
      <c r="S373" s="19"/>
    </row>
    <row r="374" spans="19:19" x14ac:dyDescent="0.3">
      <c r="S374" s="18"/>
    </row>
    <row r="375" spans="19:19" x14ac:dyDescent="0.3">
      <c r="S375" s="19"/>
    </row>
    <row r="376" spans="19:19" x14ac:dyDescent="0.3">
      <c r="S376" s="18"/>
    </row>
    <row r="377" spans="19:19" x14ac:dyDescent="0.3">
      <c r="S377" s="19"/>
    </row>
    <row r="378" spans="19:19" x14ac:dyDescent="0.3">
      <c r="S378" s="18"/>
    </row>
    <row r="379" spans="19:19" x14ac:dyDescent="0.3">
      <c r="S379" s="19"/>
    </row>
    <row r="380" spans="19:19" x14ac:dyDescent="0.3">
      <c r="S380" s="18"/>
    </row>
    <row r="381" spans="19:19" x14ac:dyDescent="0.3">
      <c r="S381" s="19"/>
    </row>
    <row r="382" spans="19:19" x14ac:dyDescent="0.3">
      <c r="S382" s="18"/>
    </row>
    <row r="383" spans="19:19" x14ac:dyDescent="0.3">
      <c r="S383" s="19"/>
    </row>
    <row r="384" spans="19:19" x14ac:dyDescent="0.3">
      <c r="S384" s="18"/>
    </row>
    <row r="385" spans="19:19" x14ac:dyDescent="0.3">
      <c r="S385" s="19"/>
    </row>
    <row r="386" spans="19:19" x14ac:dyDescent="0.3">
      <c r="S386" s="18"/>
    </row>
    <row r="387" spans="19:19" x14ac:dyDescent="0.3">
      <c r="S387" s="19"/>
    </row>
    <row r="388" spans="19:19" x14ac:dyDescent="0.3">
      <c r="S388" s="18"/>
    </row>
    <row r="389" spans="19:19" x14ac:dyDescent="0.3">
      <c r="S389" s="19"/>
    </row>
    <row r="390" spans="19:19" x14ac:dyDescent="0.3">
      <c r="S390" s="18"/>
    </row>
    <row r="391" spans="19:19" x14ac:dyDescent="0.3">
      <c r="S391" s="19"/>
    </row>
    <row r="392" spans="19:19" x14ac:dyDescent="0.3">
      <c r="S392" s="18"/>
    </row>
    <row r="393" spans="19:19" x14ac:dyDescent="0.3">
      <c r="S393" s="19"/>
    </row>
    <row r="394" spans="19:19" x14ac:dyDescent="0.3">
      <c r="S394" s="18"/>
    </row>
    <row r="395" spans="19:19" x14ac:dyDescent="0.3">
      <c r="S395" s="19"/>
    </row>
    <row r="396" spans="19:19" x14ac:dyDescent="0.3">
      <c r="S396" s="18"/>
    </row>
    <row r="397" spans="19:19" x14ac:dyDescent="0.3">
      <c r="S397" s="19"/>
    </row>
    <row r="398" spans="19:19" x14ac:dyDescent="0.3">
      <c r="S398" s="18"/>
    </row>
    <row r="399" spans="19:19" x14ac:dyDescent="0.3">
      <c r="S399" s="19"/>
    </row>
    <row r="400" spans="19:19" x14ac:dyDescent="0.3">
      <c r="S400" s="18"/>
    </row>
    <row r="401" spans="19:19" x14ac:dyDescent="0.3">
      <c r="S401" s="19"/>
    </row>
    <row r="402" spans="19:19" x14ac:dyDescent="0.3">
      <c r="S402" s="18"/>
    </row>
    <row r="403" spans="19:19" x14ac:dyDescent="0.3">
      <c r="S403" s="19"/>
    </row>
    <row r="404" spans="19:19" x14ac:dyDescent="0.3">
      <c r="S404" s="18"/>
    </row>
    <row r="405" spans="19:19" x14ac:dyDescent="0.3">
      <c r="S405" s="19"/>
    </row>
    <row r="406" spans="19:19" x14ac:dyDescent="0.3">
      <c r="S406" s="18"/>
    </row>
    <row r="407" spans="19:19" x14ac:dyDescent="0.3">
      <c r="S407" s="19"/>
    </row>
    <row r="408" spans="19:19" x14ac:dyDescent="0.3">
      <c r="S408" s="18"/>
    </row>
    <row r="409" spans="19:19" x14ac:dyDescent="0.3">
      <c r="S409" s="19"/>
    </row>
    <row r="410" spans="19:19" x14ac:dyDescent="0.3">
      <c r="S410" s="18"/>
    </row>
    <row r="411" spans="19:19" x14ac:dyDescent="0.3">
      <c r="S411" s="19"/>
    </row>
    <row r="412" spans="19:19" x14ac:dyDescent="0.3">
      <c r="S412" s="18"/>
    </row>
    <row r="413" spans="19:19" x14ac:dyDescent="0.3">
      <c r="S413" s="19"/>
    </row>
    <row r="414" spans="19:19" x14ac:dyDescent="0.3">
      <c r="S414" s="18"/>
    </row>
    <row r="415" spans="19:19" x14ac:dyDescent="0.3">
      <c r="S415" s="19"/>
    </row>
    <row r="416" spans="19:19" x14ac:dyDescent="0.3">
      <c r="S416" s="18"/>
    </row>
    <row r="417" spans="19:19" x14ac:dyDescent="0.3">
      <c r="S417" s="19"/>
    </row>
    <row r="418" spans="19:19" x14ac:dyDescent="0.3">
      <c r="S418" s="18"/>
    </row>
    <row r="419" spans="19:19" x14ac:dyDescent="0.3">
      <c r="S419" s="19"/>
    </row>
    <row r="420" spans="19:19" x14ac:dyDescent="0.3">
      <c r="S420" s="18"/>
    </row>
    <row r="421" spans="19:19" x14ac:dyDescent="0.3">
      <c r="S421" s="19"/>
    </row>
    <row r="422" spans="19:19" x14ac:dyDescent="0.3">
      <c r="S422" s="18"/>
    </row>
    <row r="423" spans="19:19" x14ac:dyDescent="0.3">
      <c r="S423" s="19"/>
    </row>
    <row r="424" spans="19:19" x14ac:dyDescent="0.3">
      <c r="S424" s="18"/>
    </row>
    <row r="425" spans="19:19" x14ac:dyDescent="0.3">
      <c r="S425" s="19"/>
    </row>
    <row r="426" spans="19:19" x14ac:dyDescent="0.3">
      <c r="S426" s="18"/>
    </row>
    <row r="427" spans="19:19" x14ac:dyDescent="0.3">
      <c r="S427" s="19"/>
    </row>
    <row r="428" spans="19:19" x14ac:dyDescent="0.3">
      <c r="S428" s="18"/>
    </row>
    <row r="429" spans="19:19" x14ac:dyDescent="0.3">
      <c r="S429" s="19"/>
    </row>
    <row r="430" spans="19:19" x14ac:dyDescent="0.3">
      <c r="S430" s="18"/>
    </row>
    <row r="431" spans="19:19" x14ac:dyDescent="0.3">
      <c r="S431" s="19"/>
    </row>
    <row r="432" spans="19:19" x14ac:dyDescent="0.3">
      <c r="S432" s="18"/>
    </row>
    <row r="433" spans="19:19" x14ac:dyDescent="0.3">
      <c r="S433" s="19"/>
    </row>
    <row r="434" spans="19:19" x14ac:dyDescent="0.3">
      <c r="S434" s="18"/>
    </row>
    <row r="435" spans="19:19" x14ac:dyDescent="0.3">
      <c r="S435" s="19"/>
    </row>
    <row r="436" spans="19:19" x14ac:dyDescent="0.3">
      <c r="S436" s="18"/>
    </row>
    <row r="437" spans="19:19" x14ac:dyDescent="0.3">
      <c r="S437" s="19"/>
    </row>
    <row r="438" spans="19:19" x14ac:dyDescent="0.3">
      <c r="S438" s="18"/>
    </row>
    <row r="439" spans="19:19" x14ac:dyDescent="0.3">
      <c r="S439" s="19"/>
    </row>
    <row r="440" spans="19:19" x14ac:dyDescent="0.3">
      <c r="S440" s="18"/>
    </row>
    <row r="441" spans="19:19" x14ac:dyDescent="0.3">
      <c r="S441" s="19"/>
    </row>
    <row r="442" spans="19:19" x14ac:dyDescent="0.3">
      <c r="S442" s="18"/>
    </row>
    <row r="443" spans="19:19" x14ac:dyDescent="0.3">
      <c r="S443" s="19"/>
    </row>
    <row r="444" spans="19:19" x14ac:dyDescent="0.3">
      <c r="S444" s="18"/>
    </row>
    <row r="445" spans="19:19" x14ac:dyDescent="0.3">
      <c r="S445" s="19"/>
    </row>
    <row r="446" spans="19:19" x14ac:dyDescent="0.3">
      <c r="S446" s="18"/>
    </row>
    <row r="447" spans="19:19" x14ac:dyDescent="0.3">
      <c r="S447" s="19"/>
    </row>
    <row r="448" spans="19:19" x14ac:dyDescent="0.3">
      <c r="S448" s="18"/>
    </row>
    <row r="449" spans="19:19" x14ac:dyDescent="0.3">
      <c r="S449" s="19"/>
    </row>
    <row r="450" spans="19:19" x14ac:dyDescent="0.3">
      <c r="S450" s="18"/>
    </row>
    <row r="451" spans="19:19" x14ac:dyDescent="0.3">
      <c r="S451" s="19"/>
    </row>
    <row r="452" spans="19:19" x14ac:dyDescent="0.3">
      <c r="S452" s="18"/>
    </row>
    <row r="453" spans="19:19" x14ac:dyDescent="0.3">
      <c r="S453" s="19"/>
    </row>
    <row r="454" spans="19:19" x14ac:dyDescent="0.3">
      <c r="S454" s="18"/>
    </row>
    <row r="455" spans="19:19" x14ac:dyDescent="0.3">
      <c r="S455" s="19"/>
    </row>
    <row r="456" spans="19:19" x14ac:dyDescent="0.3">
      <c r="S456" s="18"/>
    </row>
    <row r="457" spans="19:19" x14ac:dyDescent="0.3">
      <c r="S457" s="19"/>
    </row>
    <row r="458" spans="19:19" x14ac:dyDescent="0.3">
      <c r="S458" s="18"/>
    </row>
    <row r="459" spans="19:19" x14ac:dyDescent="0.3">
      <c r="S459" s="19"/>
    </row>
    <row r="460" spans="19:19" x14ac:dyDescent="0.3">
      <c r="S460" s="18"/>
    </row>
    <row r="461" spans="19:19" x14ac:dyDescent="0.3">
      <c r="S461" s="19"/>
    </row>
    <row r="462" spans="19:19" x14ac:dyDescent="0.3">
      <c r="S462" s="18"/>
    </row>
    <row r="463" spans="19:19" x14ac:dyDescent="0.3">
      <c r="S463" s="19"/>
    </row>
    <row r="464" spans="19:19" x14ac:dyDescent="0.3">
      <c r="S464" s="18"/>
    </row>
    <row r="465" spans="19:19" x14ac:dyDescent="0.3">
      <c r="S465" s="19"/>
    </row>
    <row r="466" spans="19:19" x14ac:dyDescent="0.3">
      <c r="S466" s="18"/>
    </row>
    <row r="467" spans="19:19" x14ac:dyDescent="0.3">
      <c r="S467" s="19"/>
    </row>
    <row r="468" spans="19:19" x14ac:dyDescent="0.3">
      <c r="S468" s="18"/>
    </row>
    <row r="469" spans="19:19" x14ac:dyDescent="0.3">
      <c r="S469" s="19"/>
    </row>
    <row r="470" spans="19:19" x14ac:dyDescent="0.3">
      <c r="S470" s="18"/>
    </row>
    <row r="471" spans="19:19" x14ac:dyDescent="0.3">
      <c r="S471" s="19"/>
    </row>
    <row r="472" spans="19:19" x14ac:dyDescent="0.3">
      <c r="S472" s="18"/>
    </row>
    <row r="473" spans="19:19" x14ac:dyDescent="0.3">
      <c r="S473" s="19"/>
    </row>
    <row r="474" spans="19:19" x14ac:dyDescent="0.3">
      <c r="S474" s="18"/>
    </row>
    <row r="475" spans="19:19" x14ac:dyDescent="0.3">
      <c r="S475" s="19"/>
    </row>
    <row r="476" spans="19:19" x14ac:dyDescent="0.3">
      <c r="S476" s="18"/>
    </row>
    <row r="477" spans="19:19" x14ac:dyDescent="0.3">
      <c r="S477" s="19"/>
    </row>
    <row r="478" spans="19:19" x14ac:dyDescent="0.3">
      <c r="S478" s="18"/>
    </row>
    <row r="479" spans="19:19" x14ac:dyDescent="0.3">
      <c r="S479" s="19"/>
    </row>
    <row r="480" spans="19:19" x14ac:dyDescent="0.3">
      <c r="S480" s="18"/>
    </row>
    <row r="481" spans="19:19" x14ac:dyDescent="0.3">
      <c r="S481" s="19"/>
    </row>
    <row r="482" spans="19:19" x14ac:dyDescent="0.3">
      <c r="S482" s="18"/>
    </row>
    <row r="483" spans="19:19" x14ac:dyDescent="0.3">
      <c r="S483" s="19"/>
    </row>
    <row r="484" spans="19:19" x14ac:dyDescent="0.3">
      <c r="S484" s="18"/>
    </row>
    <row r="485" spans="19:19" x14ac:dyDescent="0.3">
      <c r="S485" s="19"/>
    </row>
    <row r="486" spans="19:19" x14ac:dyDescent="0.3">
      <c r="S486" s="18"/>
    </row>
    <row r="487" spans="19:19" x14ac:dyDescent="0.3">
      <c r="S487" s="19"/>
    </row>
    <row r="488" spans="19:19" x14ac:dyDescent="0.3">
      <c r="S488" s="18"/>
    </row>
    <row r="489" spans="19:19" x14ac:dyDescent="0.3">
      <c r="S489" s="19"/>
    </row>
    <row r="490" spans="19:19" x14ac:dyDescent="0.3">
      <c r="S490" s="18"/>
    </row>
    <row r="491" spans="19:19" x14ac:dyDescent="0.3">
      <c r="S491" s="19"/>
    </row>
    <row r="492" spans="19:19" x14ac:dyDescent="0.3">
      <c r="S492" s="18"/>
    </row>
    <row r="493" spans="19:19" x14ac:dyDescent="0.3">
      <c r="S493" s="19"/>
    </row>
    <row r="494" spans="19:19" x14ac:dyDescent="0.3">
      <c r="S494" s="18"/>
    </row>
    <row r="495" spans="19:19" x14ac:dyDescent="0.3">
      <c r="S495" s="19"/>
    </row>
    <row r="496" spans="19:19" x14ac:dyDescent="0.3">
      <c r="S496" s="18"/>
    </row>
    <row r="497" spans="19:19" x14ac:dyDescent="0.3">
      <c r="S497" s="19"/>
    </row>
    <row r="498" spans="19:19" x14ac:dyDescent="0.3">
      <c r="S498" s="18"/>
    </row>
    <row r="499" spans="19:19" x14ac:dyDescent="0.3">
      <c r="S499" s="19"/>
    </row>
    <row r="500" spans="19:19" x14ac:dyDescent="0.3">
      <c r="S500" s="18"/>
    </row>
    <row r="501" spans="19:19" x14ac:dyDescent="0.3">
      <c r="S501" s="19"/>
    </row>
    <row r="502" spans="19:19" x14ac:dyDescent="0.3">
      <c r="S502" s="18"/>
    </row>
    <row r="503" spans="19:19" x14ac:dyDescent="0.3">
      <c r="S503" s="19"/>
    </row>
    <row r="504" spans="19:19" x14ac:dyDescent="0.3">
      <c r="S504" s="18"/>
    </row>
    <row r="505" spans="19:19" x14ac:dyDescent="0.3">
      <c r="S505" s="19"/>
    </row>
    <row r="506" spans="19:19" x14ac:dyDescent="0.3">
      <c r="S506" s="18"/>
    </row>
    <row r="507" spans="19:19" x14ac:dyDescent="0.3">
      <c r="S507" s="19"/>
    </row>
    <row r="508" spans="19:19" x14ac:dyDescent="0.3">
      <c r="S508" s="18"/>
    </row>
    <row r="509" spans="19:19" x14ac:dyDescent="0.3">
      <c r="S509" s="19"/>
    </row>
    <row r="510" spans="19:19" x14ac:dyDescent="0.3">
      <c r="S510" s="18"/>
    </row>
    <row r="511" spans="19:19" x14ac:dyDescent="0.3">
      <c r="S511" s="19"/>
    </row>
    <row r="512" spans="19:19" x14ac:dyDescent="0.3">
      <c r="S512" s="18"/>
    </row>
    <row r="513" spans="19:19" x14ac:dyDescent="0.3">
      <c r="S513" s="19"/>
    </row>
    <row r="514" spans="19:19" x14ac:dyDescent="0.3">
      <c r="S514" s="18"/>
    </row>
    <row r="515" spans="19:19" x14ac:dyDescent="0.3">
      <c r="S515" s="19"/>
    </row>
    <row r="516" spans="19:19" x14ac:dyDescent="0.3">
      <c r="S516" s="18"/>
    </row>
    <row r="517" spans="19:19" x14ac:dyDescent="0.3">
      <c r="S517" s="19"/>
    </row>
    <row r="518" spans="19:19" x14ac:dyDescent="0.3">
      <c r="S518" s="18"/>
    </row>
    <row r="519" spans="19:19" x14ac:dyDescent="0.3">
      <c r="S519" s="19"/>
    </row>
    <row r="520" spans="19:19" x14ac:dyDescent="0.3">
      <c r="S520" s="18"/>
    </row>
    <row r="521" spans="19:19" x14ac:dyDescent="0.3">
      <c r="S521" s="19"/>
    </row>
    <row r="522" spans="19:19" x14ac:dyDescent="0.3">
      <c r="S522" s="18"/>
    </row>
    <row r="523" spans="19:19" x14ac:dyDescent="0.3">
      <c r="S523" s="19"/>
    </row>
    <row r="524" spans="19:19" x14ac:dyDescent="0.3">
      <c r="S524" s="18"/>
    </row>
    <row r="525" spans="19:19" x14ac:dyDescent="0.3">
      <c r="S525" s="19"/>
    </row>
    <row r="526" spans="19:19" x14ac:dyDescent="0.3">
      <c r="S526" s="18"/>
    </row>
    <row r="527" spans="19:19" x14ac:dyDescent="0.3">
      <c r="S527" s="19"/>
    </row>
    <row r="528" spans="19:19" x14ac:dyDescent="0.3">
      <c r="S528" s="18"/>
    </row>
    <row r="529" spans="19:19" x14ac:dyDescent="0.3">
      <c r="S529" s="19"/>
    </row>
    <row r="530" spans="19:19" x14ac:dyDescent="0.3">
      <c r="S530" s="18"/>
    </row>
    <row r="531" spans="19:19" x14ac:dyDescent="0.3">
      <c r="S531" s="19"/>
    </row>
    <row r="532" spans="19:19" x14ac:dyDescent="0.3">
      <c r="S532" s="18"/>
    </row>
    <row r="533" spans="19:19" x14ac:dyDescent="0.3">
      <c r="S533" s="19"/>
    </row>
    <row r="534" spans="19:19" x14ac:dyDescent="0.3">
      <c r="S534" s="18"/>
    </row>
    <row r="535" spans="19:19" x14ac:dyDescent="0.3">
      <c r="S535" s="19"/>
    </row>
    <row r="536" spans="19:19" x14ac:dyDescent="0.3">
      <c r="S536" s="18"/>
    </row>
    <row r="537" spans="19:19" x14ac:dyDescent="0.3">
      <c r="S537" s="19"/>
    </row>
    <row r="538" spans="19:19" x14ac:dyDescent="0.3">
      <c r="S538" s="18"/>
    </row>
    <row r="539" spans="19:19" x14ac:dyDescent="0.3">
      <c r="S539" s="19"/>
    </row>
    <row r="540" spans="19:19" x14ac:dyDescent="0.3">
      <c r="S540" s="18"/>
    </row>
    <row r="541" spans="19:19" x14ac:dyDescent="0.3">
      <c r="S541" s="19"/>
    </row>
    <row r="542" spans="19:19" x14ac:dyDescent="0.3">
      <c r="S542" s="18"/>
    </row>
    <row r="543" spans="19:19" x14ac:dyDescent="0.3">
      <c r="S543" s="19"/>
    </row>
    <row r="544" spans="19:19" x14ac:dyDescent="0.3">
      <c r="S544" s="18"/>
    </row>
    <row r="545" spans="19:19" x14ac:dyDescent="0.3">
      <c r="S545" s="19"/>
    </row>
    <row r="546" spans="19:19" x14ac:dyDescent="0.3">
      <c r="S546" s="18"/>
    </row>
    <row r="547" spans="19:19" x14ac:dyDescent="0.3">
      <c r="S547" s="19"/>
    </row>
    <row r="548" spans="19:19" x14ac:dyDescent="0.3">
      <c r="S548" s="18"/>
    </row>
    <row r="549" spans="19:19" x14ac:dyDescent="0.3">
      <c r="S549" s="19"/>
    </row>
    <row r="550" spans="19:19" x14ac:dyDescent="0.3">
      <c r="S550" s="18"/>
    </row>
    <row r="551" spans="19:19" x14ac:dyDescent="0.3">
      <c r="S551" s="19"/>
    </row>
    <row r="552" spans="19:19" x14ac:dyDescent="0.3">
      <c r="S552" s="18"/>
    </row>
    <row r="553" spans="19:19" x14ac:dyDescent="0.3">
      <c r="S553" s="19"/>
    </row>
    <row r="554" spans="19:19" x14ac:dyDescent="0.3">
      <c r="S554" s="18"/>
    </row>
    <row r="555" spans="19:19" x14ac:dyDescent="0.3">
      <c r="S555" s="19"/>
    </row>
    <row r="556" spans="19:19" x14ac:dyDescent="0.3">
      <c r="S556" s="18"/>
    </row>
    <row r="557" spans="19:19" x14ac:dyDescent="0.3">
      <c r="S557" s="19"/>
    </row>
    <row r="558" spans="19:19" x14ac:dyDescent="0.3">
      <c r="S558" s="18"/>
    </row>
    <row r="559" spans="19:19" x14ac:dyDescent="0.3">
      <c r="S559" s="19"/>
    </row>
    <row r="560" spans="19:19" x14ac:dyDescent="0.3">
      <c r="S560" s="18"/>
    </row>
    <row r="561" spans="19:19" x14ac:dyDescent="0.3">
      <c r="S561" s="19"/>
    </row>
    <row r="562" spans="19:19" x14ac:dyDescent="0.3">
      <c r="S562" s="18"/>
    </row>
    <row r="563" spans="19:19" x14ac:dyDescent="0.3">
      <c r="S563" s="19"/>
    </row>
    <row r="564" spans="19:19" x14ac:dyDescent="0.3">
      <c r="S564" s="18"/>
    </row>
    <row r="565" spans="19:19" x14ac:dyDescent="0.3">
      <c r="S565" s="19"/>
    </row>
    <row r="566" spans="19:19" x14ac:dyDescent="0.3">
      <c r="S566" s="18"/>
    </row>
    <row r="567" spans="19:19" x14ac:dyDescent="0.3">
      <c r="S567" s="19"/>
    </row>
    <row r="568" spans="19:19" x14ac:dyDescent="0.3">
      <c r="S568" s="18"/>
    </row>
    <row r="569" spans="19:19" x14ac:dyDescent="0.3">
      <c r="S569" s="19"/>
    </row>
    <row r="570" spans="19:19" x14ac:dyDescent="0.3">
      <c r="S570" s="18"/>
    </row>
    <row r="571" spans="19:19" x14ac:dyDescent="0.3">
      <c r="S571" s="19"/>
    </row>
    <row r="572" spans="19:19" x14ac:dyDescent="0.3">
      <c r="S572" s="18"/>
    </row>
    <row r="573" spans="19:19" x14ac:dyDescent="0.3">
      <c r="S573" s="19"/>
    </row>
    <row r="574" spans="19:19" x14ac:dyDescent="0.3">
      <c r="S574" s="18"/>
    </row>
    <row r="575" spans="19:19" x14ac:dyDescent="0.3">
      <c r="S575" s="19"/>
    </row>
    <row r="576" spans="19:19" x14ac:dyDescent="0.3">
      <c r="S576" s="18"/>
    </row>
    <row r="577" spans="19:19" x14ac:dyDescent="0.3">
      <c r="S577" s="19"/>
    </row>
    <row r="578" spans="19:19" x14ac:dyDescent="0.3">
      <c r="S578" s="18"/>
    </row>
    <row r="579" spans="19:19" x14ac:dyDescent="0.3">
      <c r="S579" s="19"/>
    </row>
    <row r="580" spans="19:19" x14ac:dyDescent="0.3">
      <c r="S580" s="18"/>
    </row>
    <row r="581" spans="19:19" x14ac:dyDescent="0.3">
      <c r="S581" s="19"/>
    </row>
    <row r="582" spans="19:19" x14ac:dyDescent="0.3">
      <c r="S582" s="18"/>
    </row>
    <row r="583" spans="19:19" x14ac:dyDescent="0.3">
      <c r="S583" s="19"/>
    </row>
    <row r="584" spans="19:19" x14ac:dyDescent="0.3">
      <c r="S584" s="18"/>
    </row>
    <row r="585" spans="19:19" x14ac:dyDescent="0.3">
      <c r="S585" s="19"/>
    </row>
    <row r="586" spans="19:19" x14ac:dyDescent="0.3">
      <c r="S586" s="18"/>
    </row>
    <row r="587" spans="19:19" x14ac:dyDescent="0.3">
      <c r="S587" s="19"/>
    </row>
    <row r="588" spans="19:19" x14ac:dyDescent="0.3">
      <c r="S588" s="18"/>
    </row>
    <row r="589" spans="19:19" x14ac:dyDescent="0.3">
      <c r="S589" s="19"/>
    </row>
    <row r="590" spans="19:19" x14ac:dyDescent="0.3">
      <c r="S590" s="18"/>
    </row>
    <row r="591" spans="19:19" x14ac:dyDescent="0.3">
      <c r="S591" s="19"/>
    </row>
    <row r="592" spans="19:19" x14ac:dyDescent="0.3">
      <c r="S592" s="18"/>
    </row>
    <row r="593" spans="19:19" x14ac:dyDescent="0.3">
      <c r="S593" s="19"/>
    </row>
    <row r="594" spans="19:19" x14ac:dyDescent="0.3">
      <c r="S594" s="18"/>
    </row>
    <row r="595" spans="19:19" x14ac:dyDescent="0.3">
      <c r="S595" s="19"/>
    </row>
    <row r="596" spans="19:19" x14ac:dyDescent="0.3">
      <c r="S596" s="18"/>
    </row>
    <row r="597" spans="19:19" x14ac:dyDescent="0.3">
      <c r="S597" s="19"/>
    </row>
    <row r="598" spans="19:19" x14ac:dyDescent="0.3">
      <c r="S598" s="18"/>
    </row>
    <row r="599" spans="19:19" x14ac:dyDescent="0.3">
      <c r="S599" s="19"/>
    </row>
    <row r="600" spans="19:19" x14ac:dyDescent="0.3">
      <c r="S600" s="18"/>
    </row>
    <row r="601" spans="19:19" x14ac:dyDescent="0.3">
      <c r="S601" s="19"/>
    </row>
    <row r="602" spans="19:19" x14ac:dyDescent="0.3">
      <c r="S602" s="18"/>
    </row>
    <row r="603" spans="19:19" x14ac:dyDescent="0.3">
      <c r="S603" s="19"/>
    </row>
    <row r="604" spans="19:19" x14ac:dyDescent="0.3">
      <c r="S604" s="18"/>
    </row>
    <row r="605" spans="19:19" x14ac:dyDescent="0.3">
      <c r="S605" s="19"/>
    </row>
    <row r="606" spans="19:19" x14ac:dyDescent="0.3">
      <c r="S606" s="18"/>
    </row>
    <row r="607" spans="19:19" x14ac:dyDescent="0.3">
      <c r="S607" s="19"/>
    </row>
    <row r="608" spans="19:19" x14ac:dyDescent="0.3">
      <c r="S608" s="18"/>
    </row>
    <row r="609" spans="19:19" x14ac:dyDescent="0.3">
      <c r="S609" s="19"/>
    </row>
    <row r="610" spans="19:19" x14ac:dyDescent="0.3">
      <c r="S610" s="18"/>
    </row>
    <row r="611" spans="19:19" x14ac:dyDescent="0.3">
      <c r="S611" s="19"/>
    </row>
    <row r="612" spans="19:19" x14ac:dyDescent="0.3">
      <c r="S612" s="18"/>
    </row>
    <row r="613" spans="19:19" x14ac:dyDescent="0.3">
      <c r="S613" s="19"/>
    </row>
    <row r="614" spans="19:19" x14ac:dyDescent="0.3">
      <c r="S614" s="18"/>
    </row>
    <row r="615" spans="19:19" x14ac:dyDescent="0.3">
      <c r="S615" s="19"/>
    </row>
    <row r="616" spans="19:19" x14ac:dyDescent="0.3">
      <c r="S616" s="18"/>
    </row>
    <row r="617" spans="19:19" x14ac:dyDescent="0.3">
      <c r="S617" s="19"/>
    </row>
    <row r="618" spans="19:19" x14ac:dyDescent="0.3">
      <c r="S618" s="18"/>
    </row>
    <row r="619" spans="19:19" x14ac:dyDescent="0.3">
      <c r="S619" s="19"/>
    </row>
    <row r="620" spans="19:19" x14ac:dyDescent="0.3">
      <c r="S620" s="18"/>
    </row>
    <row r="621" spans="19:19" x14ac:dyDescent="0.3">
      <c r="S621" s="19"/>
    </row>
    <row r="622" spans="19:19" x14ac:dyDescent="0.3">
      <c r="S622" s="18"/>
    </row>
    <row r="623" spans="19:19" x14ac:dyDescent="0.3">
      <c r="S623" s="19"/>
    </row>
    <row r="624" spans="19:19" x14ac:dyDescent="0.3">
      <c r="S624" s="18"/>
    </row>
    <row r="625" spans="19:19" x14ac:dyDescent="0.3">
      <c r="S625" s="19"/>
    </row>
    <row r="626" spans="19:19" x14ac:dyDescent="0.3">
      <c r="S626" s="18"/>
    </row>
    <row r="627" spans="19:19" x14ac:dyDescent="0.3">
      <c r="S627" s="19"/>
    </row>
    <row r="628" spans="19:19" x14ac:dyDescent="0.3">
      <c r="S628" s="18"/>
    </row>
    <row r="629" spans="19:19" x14ac:dyDescent="0.3">
      <c r="S629" s="19"/>
    </row>
    <row r="630" spans="19:19" x14ac:dyDescent="0.3">
      <c r="S630" s="18"/>
    </row>
    <row r="631" spans="19:19" x14ac:dyDescent="0.3">
      <c r="S631" s="19"/>
    </row>
    <row r="632" spans="19:19" x14ac:dyDescent="0.3">
      <c r="S632" s="18"/>
    </row>
    <row r="633" spans="19:19" x14ac:dyDescent="0.3">
      <c r="S633" s="19"/>
    </row>
    <row r="634" spans="19:19" x14ac:dyDescent="0.3">
      <c r="S634" s="18"/>
    </row>
    <row r="635" spans="19:19" x14ac:dyDescent="0.3">
      <c r="S635" s="19"/>
    </row>
    <row r="636" spans="19:19" x14ac:dyDescent="0.3">
      <c r="S636" s="18"/>
    </row>
    <row r="637" spans="19:19" x14ac:dyDescent="0.3">
      <c r="S637" s="19"/>
    </row>
    <row r="638" spans="19:19" x14ac:dyDescent="0.3">
      <c r="S638" s="18"/>
    </row>
    <row r="639" spans="19:19" x14ac:dyDescent="0.3">
      <c r="S639" s="19"/>
    </row>
    <row r="640" spans="19:19" x14ac:dyDescent="0.3">
      <c r="S640" s="18"/>
    </row>
    <row r="641" spans="19:19" x14ac:dyDescent="0.3">
      <c r="S641" s="19"/>
    </row>
    <row r="642" spans="19:19" x14ac:dyDescent="0.3">
      <c r="S642" s="18"/>
    </row>
    <row r="643" spans="19:19" x14ac:dyDescent="0.3">
      <c r="S643" s="19"/>
    </row>
    <row r="644" spans="19:19" x14ac:dyDescent="0.3">
      <c r="S644" s="18"/>
    </row>
    <row r="645" spans="19:19" x14ac:dyDescent="0.3">
      <c r="S645" s="19"/>
    </row>
    <row r="646" spans="19:19" x14ac:dyDescent="0.3">
      <c r="S646" s="18"/>
    </row>
    <row r="647" spans="19:19" x14ac:dyDescent="0.3">
      <c r="S647" s="19"/>
    </row>
    <row r="648" spans="19:19" x14ac:dyDescent="0.3">
      <c r="S648" s="18"/>
    </row>
    <row r="649" spans="19:19" x14ac:dyDescent="0.3">
      <c r="S649" s="19"/>
    </row>
    <row r="650" spans="19:19" x14ac:dyDescent="0.3">
      <c r="S650" s="18"/>
    </row>
    <row r="651" spans="19:19" x14ac:dyDescent="0.3">
      <c r="S651" s="19"/>
    </row>
    <row r="652" spans="19:19" x14ac:dyDescent="0.3">
      <c r="S652" s="18"/>
    </row>
    <row r="653" spans="19:19" x14ac:dyDescent="0.3">
      <c r="S653" s="19"/>
    </row>
    <row r="654" spans="19:19" x14ac:dyDescent="0.3">
      <c r="S654" s="18"/>
    </row>
    <row r="655" spans="19:19" x14ac:dyDescent="0.3">
      <c r="S655" s="19"/>
    </row>
    <row r="656" spans="19:19" x14ac:dyDescent="0.3">
      <c r="S656" s="18"/>
    </row>
    <row r="657" spans="19:19" x14ac:dyDescent="0.3">
      <c r="S657" s="19"/>
    </row>
    <row r="658" spans="19:19" x14ac:dyDescent="0.3">
      <c r="S658" s="18"/>
    </row>
    <row r="659" spans="19:19" x14ac:dyDescent="0.3">
      <c r="S659" s="19"/>
    </row>
    <row r="660" spans="19:19" x14ac:dyDescent="0.3">
      <c r="S660" s="18"/>
    </row>
    <row r="661" spans="19:19" x14ac:dyDescent="0.3">
      <c r="S661" s="19"/>
    </row>
    <row r="662" spans="19:19" x14ac:dyDescent="0.3">
      <c r="S662" s="18"/>
    </row>
    <row r="663" spans="19:19" x14ac:dyDescent="0.3">
      <c r="S663" s="19"/>
    </row>
    <row r="664" spans="19:19" x14ac:dyDescent="0.3">
      <c r="S664" s="18"/>
    </row>
    <row r="665" spans="19:19" x14ac:dyDescent="0.3">
      <c r="S665" s="19"/>
    </row>
    <row r="666" spans="19:19" x14ac:dyDescent="0.3">
      <c r="S666" s="18"/>
    </row>
    <row r="667" spans="19:19" x14ac:dyDescent="0.3">
      <c r="S667" s="19"/>
    </row>
    <row r="668" spans="19:19" x14ac:dyDescent="0.3">
      <c r="S668" s="18"/>
    </row>
    <row r="669" spans="19:19" x14ac:dyDescent="0.3">
      <c r="S669" s="19"/>
    </row>
    <row r="670" spans="19:19" x14ac:dyDescent="0.3">
      <c r="S670" s="18"/>
    </row>
    <row r="671" spans="19:19" x14ac:dyDescent="0.3">
      <c r="S671" s="19"/>
    </row>
    <row r="672" spans="19:19" x14ac:dyDescent="0.3">
      <c r="S672" s="18"/>
    </row>
    <row r="673" spans="19:19" x14ac:dyDescent="0.3">
      <c r="S673" s="19"/>
    </row>
    <row r="674" spans="19:19" x14ac:dyDescent="0.3">
      <c r="S674" s="18"/>
    </row>
    <row r="675" spans="19:19" x14ac:dyDescent="0.3">
      <c r="S675" s="19"/>
    </row>
    <row r="676" spans="19:19" x14ac:dyDescent="0.3">
      <c r="S676" s="18"/>
    </row>
    <row r="677" spans="19:19" x14ac:dyDescent="0.3">
      <c r="S677" s="19"/>
    </row>
    <row r="678" spans="19:19" x14ac:dyDescent="0.3">
      <c r="S678" s="18"/>
    </row>
    <row r="679" spans="19:19" x14ac:dyDescent="0.3">
      <c r="S679" s="19"/>
    </row>
    <row r="680" spans="19:19" x14ac:dyDescent="0.3">
      <c r="S680" s="18"/>
    </row>
    <row r="681" spans="19:19" x14ac:dyDescent="0.3">
      <c r="S681" s="19"/>
    </row>
    <row r="682" spans="19:19" x14ac:dyDescent="0.3">
      <c r="S682" s="18"/>
    </row>
    <row r="683" spans="19:19" x14ac:dyDescent="0.3">
      <c r="S683" s="19"/>
    </row>
    <row r="684" spans="19:19" x14ac:dyDescent="0.3">
      <c r="S684" s="18"/>
    </row>
    <row r="685" spans="19:19" x14ac:dyDescent="0.3">
      <c r="S685" s="19"/>
    </row>
    <row r="686" spans="19:19" x14ac:dyDescent="0.3">
      <c r="S686" s="18"/>
    </row>
    <row r="687" spans="19:19" x14ac:dyDescent="0.3">
      <c r="S687" s="19"/>
    </row>
    <row r="688" spans="19:19" x14ac:dyDescent="0.3">
      <c r="S688" s="18"/>
    </row>
    <row r="689" spans="19:19" x14ac:dyDescent="0.3">
      <c r="S689" s="19"/>
    </row>
    <row r="690" spans="19:19" x14ac:dyDescent="0.3">
      <c r="S690" s="18"/>
    </row>
    <row r="691" spans="19:19" x14ac:dyDescent="0.3">
      <c r="S691" s="19"/>
    </row>
    <row r="692" spans="19:19" x14ac:dyDescent="0.3">
      <c r="S692" s="18"/>
    </row>
    <row r="693" spans="19:19" x14ac:dyDescent="0.3">
      <c r="S693" s="19"/>
    </row>
    <row r="694" spans="19:19" x14ac:dyDescent="0.3">
      <c r="S694" s="18"/>
    </row>
    <row r="695" spans="19:19" x14ac:dyDescent="0.3">
      <c r="S695" s="19"/>
    </row>
    <row r="696" spans="19:19" x14ac:dyDescent="0.3">
      <c r="S696" s="18"/>
    </row>
    <row r="697" spans="19:19" x14ac:dyDescent="0.3">
      <c r="S697" s="19"/>
    </row>
    <row r="698" spans="19:19" x14ac:dyDescent="0.3">
      <c r="S698" s="18"/>
    </row>
    <row r="699" spans="19:19" x14ac:dyDescent="0.3">
      <c r="S699" s="19"/>
    </row>
    <row r="700" spans="19:19" x14ac:dyDescent="0.3">
      <c r="S700" s="18"/>
    </row>
    <row r="701" spans="19:19" x14ac:dyDescent="0.3">
      <c r="S701" s="19"/>
    </row>
    <row r="702" spans="19:19" x14ac:dyDescent="0.3">
      <c r="S702" s="18"/>
    </row>
    <row r="703" spans="19:19" x14ac:dyDescent="0.3">
      <c r="S703" s="19"/>
    </row>
    <row r="704" spans="19:19" x14ac:dyDescent="0.3">
      <c r="S704" s="18"/>
    </row>
    <row r="705" spans="19:19" x14ac:dyDescent="0.3">
      <c r="S705" s="19"/>
    </row>
    <row r="706" spans="19:19" x14ac:dyDescent="0.3">
      <c r="S706" s="18"/>
    </row>
    <row r="707" spans="19:19" x14ac:dyDescent="0.3">
      <c r="S707" s="19"/>
    </row>
    <row r="708" spans="19:19" x14ac:dyDescent="0.3">
      <c r="S708" s="18"/>
    </row>
    <row r="709" spans="19:19" x14ac:dyDescent="0.3">
      <c r="S709" s="19"/>
    </row>
    <row r="710" spans="19:19" x14ac:dyDescent="0.3">
      <c r="S710" s="18"/>
    </row>
    <row r="711" spans="19:19" x14ac:dyDescent="0.3">
      <c r="S711" s="19"/>
    </row>
    <row r="712" spans="19:19" x14ac:dyDescent="0.3">
      <c r="S712" s="18"/>
    </row>
    <row r="713" spans="19:19" x14ac:dyDescent="0.3">
      <c r="S713" s="19"/>
    </row>
    <row r="714" spans="19:19" x14ac:dyDescent="0.3">
      <c r="S714" s="18"/>
    </row>
    <row r="715" spans="19:19" x14ac:dyDescent="0.3">
      <c r="S715" s="19"/>
    </row>
    <row r="716" spans="19:19" x14ac:dyDescent="0.3">
      <c r="S716" s="18"/>
    </row>
    <row r="717" spans="19:19" x14ac:dyDescent="0.3">
      <c r="S717" s="19"/>
    </row>
    <row r="718" spans="19:19" x14ac:dyDescent="0.3">
      <c r="S718" s="18"/>
    </row>
    <row r="719" spans="19:19" x14ac:dyDescent="0.3">
      <c r="S719" s="19"/>
    </row>
    <row r="720" spans="19:19" x14ac:dyDescent="0.3">
      <c r="S720" s="18"/>
    </row>
    <row r="721" spans="19:19" x14ac:dyDescent="0.3">
      <c r="S721" s="19"/>
    </row>
    <row r="722" spans="19:19" x14ac:dyDescent="0.3">
      <c r="S722" s="18"/>
    </row>
    <row r="723" spans="19:19" x14ac:dyDescent="0.3">
      <c r="S723" s="19"/>
    </row>
    <row r="724" spans="19:19" x14ac:dyDescent="0.3">
      <c r="S724" s="18"/>
    </row>
    <row r="725" spans="19:19" x14ac:dyDescent="0.3">
      <c r="S725" s="19"/>
    </row>
    <row r="726" spans="19:19" x14ac:dyDescent="0.3">
      <c r="S726" s="18"/>
    </row>
    <row r="727" spans="19:19" x14ac:dyDescent="0.3">
      <c r="S727" s="19"/>
    </row>
    <row r="728" spans="19:19" x14ac:dyDescent="0.3">
      <c r="S728" s="18"/>
    </row>
    <row r="729" spans="19:19" x14ac:dyDescent="0.3">
      <c r="S729" s="19"/>
    </row>
    <row r="730" spans="19:19" x14ac:dyDescent="0.3">
      <c r="S730" s="18"/>
    </row>
    <row r="731" spans="19:19" x14ac:dyDescent="0.3">
      <c r="S731" s="19"/>
    </row>
    <row r="732" spans="19:19" x14ac:dyDescent="0.3">
      <c r="S732" s="18"/>
    </row>
    <row r="733" spans="19:19" x14ac:dyDescent="0.3">
      <c r="S733" s="19"/>
    </row>
    <row r="734" spans="19:19" x14ac:dyDescent="0.3">
      <c r="S734" s="18"/>
    </row>
    <row r="735" spans="19:19" x14ac:dyDescent="0.3">
      <c r="S735" s="19"/>
    </row>
    <row r="736" spans="19:19" x14ac:dyDescent="0.3">
      <c r="S736" s="18"/>
    </row>
    <row r="737" spans="19:19" x14ac:dyDescent="0.3">
      <c r="S737" s="19"/>
    </row>
    <row r="738" spans="19:19" x14ac:dyDescent="0.3">
      <c r="S738" s="18"/>
    </row>
    <row r="739" spans="19:19" x14ac:dyDescent="0.3">
      <c r="S739" s="19"/>
    </row>
    <row r="740" spans="19:19" x14ac:dyDescent="0.3">
      <c r="S740" s="18"/>
    </row>
    <row r="741" spans="19:19" x14ac:dyDescent="0.3">
      <c r="S741" s="19"/>
    </row>
    <row r="742" spans="19:19" x14ac:dyDescent="0.3">
      <c r="S742" s="18"/>
    </row>
    <row r="743" spans="19:19" x14ac:dyDescent="0.3">
      <c r="S743" s="19"/>
    </row>
    <row r="744" spans="19:19" x14ac:dyDescent="0.3">
      <c r="S744" s="18"/>
    </row>
    <row r="745" spans="19:19" x14ac:dyDescent="0.3">
      <c r="S745" s="19"/>
    </row>
    <row r="746" spans="19:19" x14ac:dyDescent="0.3">
      <c r="S746" s="18"/>
    </row>
    <row r="747" spans="19:19" x14ac:dyDescent="0.3">
      <c r="S747" s="19"/>
    </row>
    <row r="748" spans="19:19" x14ac:dyDescent="0.3">
      <c r="S748" s="18"/>
    </row>
    <row r="749" spans="19:19" x14ac:dyDescent="0.3">
      <c r="S749" s="19"/>
    </row>
    <row r="750" spans="19:19" x14ac:dyDescent="0.3">
      <c r="S750" s="18"/>
    </row>
    <row r="751" spans="19:19" x14ac:dyDescent="0.3">
      <c r="S751" s="19"/>
    </row>
    <row r="752" spans="19:19" x14ac:dyDescent="0.3">
      <c r="S752" s="18"/>
    </row>
    <row r="753" spans="19:19" x14ac:dyDescent="0.3">
      <c r="S753" s="19"/>
    </row>
    <row r="754" spans="19:19" x14ac:dyDescent="0.3">
      <c r="S754" s="18"/>
    </row>
    <row r="755" spans="19:19" x14ac:dyDescent="0.3">
      <c r="S755" s="19"/>
    </row>
    <row r="756" spans="19:19" x14ac:dyDescent="0.3">
      <c r="S756" s="18"/>
    </row>
    <row r="757" spans="19:19" x14ac:dyDescent="0.3">
      <c r="S757" s="19"/>
    </row>
    <row r="758" spans="19:19" x14ac:dyDescent="0.3">
      <c r="S758" s="18"/>
    </row>
    <row r="759" spans="19:19" x14ac:dyDescent="0.3">
      <c r="S759" s="19"/>
    </row>
    <row r="760" spans="19:19" x14ac:dyDescent="0.3">
      <c r="S760" s="18"/>
    </row>
    <row r="761" spans="19:19" x14ac:dyDescent="0.3">
      <c r="S761" s="19"/>
    </row>
    <row r="762" spans="19:19" x14ac:dyDescent="0.3">
      <c r="S762" s="18"/>
    </row>
    <row r="763" spans="19:19" x14ac:dyDescent="0.3">
      <c r="S763" s="19"/>
    </row>
    <row r="764" spans="19:19" x14ac:dyDescent="0.3">
      <c r="S764" s="18"/>
    </row>
    <row r="765" spans="19:19" x14ac:dyDescent="0.3">
      <c r="S765" s="19"/>
    </row>
    <row r="766" spans="19:19" x14ac:dyDescent="0.3">
      <c r="S766" s="18"/>
    </row>
    <row r="767" spans="19:19" x14ac:dyDescent="0.3">
      <c r="S767" s="19"/>
    </row>
    <row r="768" spans="19:19" x14ac:dyDescent="0.3">
      <c r="S768" s="18"/>
    </row>
    <row r="769" spans="19:19" x14ac:dyDescent="0.3">
      <c r="S769" s="19"/>
    </row>
    <row r="770" spans="19:19" x14ac:dyDescent="0.3">
      <c r="S770" s="18"/>
    </row>
    <row r="771" spans="19:19" x14ac:dyDescent="0.3">
      <c r="S771" s="19"/>
    </row>
    <row r="772" spans="19:19" x14ac:dyDescent="0.3">
      <c r="S772" s="18"/>
    </row>
    <row r="773" spans="19:19" x14ac:dyDescent="0.3">
      <c r="S773" s="19"/>
    </row>
    <row r="774" spans="19:19" x14ac:dyDescent="0.3">
      <c r="S774" s="18"/>
    </row>
    <row r="775" spans="19:19" x14ac:dyDescent="0.3">
      <c r="S775" s="19"/>
    </row>
    <row r="776" spans="19:19" x14ac:dyDescent="0.3">
      <c r="S776" s="18"/>
    </row>
    <row r="777" spans="19:19" x14ac:dyDescent="0.3">
      <c r="S777" s="19"/>
    </row>
    <row r="778" spans="19:19" x14ac:dyDescent="0.3">
      <c r="S778" s="18"/>
    </row>
    <row r="779" spans="19:19" x14ac:dyDescent="0.3">
      <c r="S779" s="19"/>
    </row>
    <row r="780" spans="19:19" x14ac:dyDescent="0.3">
      <c r="S780" s="18"/>
    </row>
    <row r="781" spans="19:19" x14ac:dyDescent="0.3">
      <c r="S781" s="19"/>
    </row>
    <row r="782" spans="19:19" x14ac:dyDescent="0.3">
      <c r="S782" s="18"/>
    </row>
    <row r="783" spans="19:19" x14ac:dyDescent="0.3">
      <c r="S783" s="19"/>
    </row>
    <row r="784" spans="19:19" x14ac:dyDescent="0.3">
      <c r="S784" s="18"/>
    </row>
    <row r="785" spans="19:19" x14ac:dyDescent="0.3">
      <c r="S785" s="19"/>
    </row>
    <row r="786" spans="19:19" x14ac:dyDescent="0.3">
      <c r="S786" s="18"/>
    </row>
    <row r="787" spans="19:19" x14ac:dyDescent="0.3">
      <c r="S787" s="19"/>
    </row>
    <row r="788" spans="19:19" x14ac:dyDescent="0.3">
      <c r="S788" s="18"/>
    </row>
    <row r="789" spans="19:19" x14ac:dyDescent="0.3">
      <c r="S789" s="19"/>
    </row>
    <row r="790" spans="19:19" x14ac:dyDescent="0.3">
      <c r="S790" s="18"/>
    </row>
    <row r="791" spans="19:19" x14ac:dyDescent="0.3">
      <c r="S791" s="19"/>
    </row>
    <row r="792" spans="19:19" x14ac:dyDescent="0.3">
      <c r="S792" s="18"/>
    </row>
    <row r="793" spans="19:19" x14ac:dyDescent="0.3">
      <c r="S793" s="19"/>
    </row>
    <row r="794" spans="19:19" x14ac:dyDescent="0.3">
      <c r="S794" s="18"/>
    </row>
    <row r="795" spans="19:19" x14ac:dyDescent="0.3">
      <c r="S795" s="19"/>
    </row>
    <row r="796" spans="19:19" x14ac:dyDescent="0.3">
      <c r="S796" s="18"/>
    </row>
    <row r="797" spans="19:19" x14ac:dyDescent="0.3">
      <c r="S797" s="19"/>
    </row>
    <row r="798" spans="19:19" x14ac:dyDescent="0.3">
      <c r="S798" s="18"/>
    </row>
    <row r="799" spans="19:19" x14ac:dyDescent="0.3">
      <c r="S799" s="19"/>
    </row>
    <row r="800" spans="19:19" x14ac:dyDescent="0.3">
      <c r="S800" s="18"/>
    </row>
    <row r="801" spans="19:19" x14ac:dyDescent="0.3">
      <c r="S801" s="19"/>
    </row>
    <row r="802" spans="19:19" x14ac:dyDescent="0.3">
      <c r="S802" s="18"/>
    </row>
    <row r="803" spans="19:19" x14ac:dyDescent="0.3">
      <c r="S803" s="19"/>
    </row>
    <row r="804" spans="19:19" x14ac:dyDescent="0.3">
      <c r="S804" s="18"/>
    </row>
    <row r="805" spans="19:19" x14ac:dyDescent="0.3">
      <c r="S805" s="19"/>
    </row>
    <row r="806" spans="19:19" x14ac:dyDescent="0.3">
      <c r="S806" s="18"/>
    </row>
    <row r="807" spans="19:19" x14ac:dyDescent="0.3">
      <c r="S807" s="19"/>
    </row>
    <row r="808" spans="19:19" x14ac:dyDescent="0.3">
      <c r="S808" s="18"/>
    </row>
    <row r="809" spans="19:19" x14ac:dyDescent="0.3">
      <c r="S809" s="19"/>
    </row>
    <row r="810" spans="19:19" x14ac:dyDescent="0.3">
      <c r="S810" s="18"/>
    </row>
    <row r="811" spans="19:19" x14ac:dyDescent="0.3">
      <c r="S811" s="19"/>
    </row>
    <row r="812" spans="19:19" x14ac:dyDescent="0.3">
      <c r="S812" s="18"/>
    </row>
    <row r="813" spans="19:19" x14ac:dyDescent="0.3">
      <c r="S813" s="19"/>
    </row>
    <row r="814" spans="19:19" x14ac:dyDescent="0.3">
      <c r="S814" s="18"/>
    </row>
    <row r="815" spans="19:19" x14ac:dyDescent="0.3">
      <c r="S815" s="19"/>
    </row>
    <row r="816" spans="19:19" x14ac:dyDescent="0.3">
      <c r="S816" s="18"/>
    </row>
    <row r="817" spans="19:19" x14ac:dyDescent="0.3">
      <c r="S817" s="19"/>
    </row>
    <row r="818" spans="19:19" x14ac:dyDescent="0.3">
      <c r="S818" s="18"/>
    </row>
    <row r="819" spans="19:19" x14ac:dyDescent="0.3">
      <c r="S819" s="19"/>
    </row>
    <row r="820" spans="19:19" x14ac:dyDescent="0.3">
      <c r="S820" s="18"/>
    </row>
    <row r="821" spans="19:19" x14ac:dyDescent="0.3">
      <c r="S821" s="19"/>
    </row>
    <row r="822" spans="19:19" x14ac:dyDescent="0.3">
      <c r="S822" s="18"/>
    </row>
    <row r="823" spans="19:19" x14ac:dyDescent="0.3">
      <c r="S823" s="19"/>
    </row>
    <row r="824" spans="19:19" x14ac:dyDescent="0.3">
      <c r="S824" s="18"/>
    </row>
    <row r="825" spans="19:19" x14ac:dyDescent="0.3">
      <c r="S825" s="19"/>
    </row>
    <row r="826" spans="19:19" x14ac:dyDescent="0.3">
      <c r="S826" s="18"/>
    </row>
    <row r="827" spans="19:19" x14ac:dyDescent="0.3">
      <c r="S827" s="19"/>
    </row>
    <row r="828" spans="19:19" x14ac:dyDescent="0.3">
      <c r="S828" s="18"/>
    </row>
    <row r="829" spans="19:19" x14ac:dyDescent="0.3">
      <c r="S829" s="19"/>
    </row>
    <row r="830" spans="19:19" x14ac:dyDescent="0.3">
      <c r="S830" s="18"/>
    </row>
    <row r="831" spans="19:19" x14ac:dyDescent="0.3">
      <c r="S831" s="19"/>
    </row>
    <row r="832" spans="19:19" x14ac:dyDescent="0.3">
      <c r="S832" s="18"/>
    </row>
    <row r="833" spans="19:19" x14ac:dyDescent="0.3">
      <c r="S833" s="19"/>
    </row>
    <row r="834" spans="19:19" x14ac:dyDescent="0.3">
      <c r="S834" s="18"/>
    </row>
    <row r="835" spans="19:19" x14ac:dyDescent="0.3">
      <c r="S835" s="19"/>
    </row>
    <row r="836" spans="19:19" x14ac:dyDescent="0.3">
      <c r="S836" s="18"/>
    </row>
    <row r="837" spans="19:19" x14ac:dyDescent="0.3">
      <c r="S837" s="19"/>
    </row>
    <row r="838" spans="19:19" x14ac:dyDescent="0.3">
      <c r="S838" s="18"/>
    </row>
    <row r="839" spans="19:19" x14ac:dyDescent="0.3">
      <c r="S839" s="19"/>
    </row>
    <row r="840" spans="19:19" x14ac:dyDescent="0.3">
      <c r="S840" s="18"/>
    </row>
    <row r="841" spans="19:19" x14ac:dyDescent="0.3">
      <c r="S841" s="19"/>
    </row>
    <row r="842" spans="19:19" x14ac:dyDescent="0.3">
      <c r="S842" s="18"/>
    </row>
    <row r="843" spans="19:19" x14ac:dyDescent="0.3">
      <c r="S843" s="19"/>
    </row>
    <row r="844" spans="19:19" x14ac:dyDescent="0.3">
      <c r="S844" s="18"/>
    </row>
    <row r="845" spans="19:19" x14ac:dyDescent="0.3">
      <c r="S845" s="19"/>
    </row>
    <row r="846" spans="19:19" x14ac:dyDescent="0.3">
      <c r="S846" s="18"/>
    </row>
    <row r="847" spans="19:19" x14ac:dyDescent="0.3">
      <c r="S847" s="19"/>
    </row>
    <row r="848" spans="19:19" x14ac:dyDescent="0.3">
      <c r="S848" s="18"/>
    </row>
    <row r="849" spans="19:19" x14ac:dyDescent="0.3">
      <c r="S849" s="19"/>
    </row>
    <row r="850" spans="19:19" x14ac:dyDescent="0.3">
      <c r="S850" s="18"/>
    </row>
    <row r="851" spans="19:19" x14ac:dyDescent="0.3">
      <c r="S851" s="19"/>
    </row>
    <row r="852" spans="19:19" x14ac:dyDescent="0.3">
      <c r="S852" s="18"/>
    </row>
    <row r="853" spans="19:19" x14ac:dyDescent="0.3">
      <c r="S853" s="19"/>
    </row>
    <row r="854" spans="19:19" x14ac:dyDescent="0.3">
      <c r="S854" s="18"/>
    </row>
    <row r="855" spans="19:19" x14ac:dyDescent="0.3">
      <c r="S855" s="19"/>
    </row>
    <row r="856" spans="19:19" x14ac:dyDescent="0.3">
      <c r="S856" s="18"/>
    </row>
    <row r="857" spans="19:19" x14ac:dyDescent="0.3">
      <c r="S857" s="19"/>
    </row>
    <row r="858" spans="19:19" x14ac:dyDescent="0.3">
      <c r="S858" s="18"/>
    </row>
    <row r="859" spans="19:19" x14ac:dyDescent="0.3">
      <c r="S859" s="19"/>
    </row>
    <row r="860" spans="19:19" x14ac:dyDescent="0.3">
      <c r="S860" s="18"/>
    </row>
    <row r="861" spans="19:19" x14ac:dyDescent="0.3">
      <c r="S861" s="19"/>
    </row>
    <row r="862" spans="19:19" x14ac:dyDescent="0.3">
      <c r="S862" s="18"/>
    </row>
    <row r="863" spans="19:19" x14ac:dyDescent="0.3">
      <c r="S863" s="19"/>
    </row>
    <row r="864" spans="19:19" x14ac:dyDescent="0.3">
      <c r="S864" s="18"/>
    </row>
    <row r="865" spans="19:19" x14ac:dyDescent="0.3">
      <c r="S865" s="19"/>
    </row>
    <row r="866" spans="19:19" x14ac:dyDescent="0.3">
      <c r="S866" s="18"/>
    </row>
    <row r="867" spans="19:19" x14ac:dyDescent="0.3">
      <c r="S867" s="19"/>
    </row>
    <row r="868" spans="19:19" x14ac:dyDescent="0.3">
      <c r="S868" s="18"/>
    </row>
    <row r="869" spans="19:19" x14ac:dyDescent="0.3">
      <c r="S869" s="19"/>
    </row>
    <row r="870" spans="19:19" x14ac:dyDescent="0.3">
      <c r="S870" s="18"/>
    </row>
    <row r="871" spans="19:19" x14ac:dyDescent="0.3">
      <c r="S871" s="19"/>
    </row>
    <row r="872" spans="19:19" x14ac:dyDescent="0.3">
      <c r="S872" s="18"/>
    </row>
    <row r="873" spans="19:19" x14ac:dyDescent="0.3">
      <c r="S873" s="19"/>
    </row>
    <row r="874" spans="19:19" x14ac:dyDescent="0.3">
      <c r="S874" s="18"/>
    </row>
    <row r="875" spans="19:19" x14ac:dyDescent="0.3">
      <c r="S875" s="19"/>
    </row>
    <row r="876" spans="19:19" x14ac:dyDescent="0.3">
      <c r="S876" s="18"/>
    </row>
    <row r="877" spans="19:19" x14ac:dyDescent="0.3">
      <c r="S877" s="19"/>
    </row>
    <row r="878" spans="19:19" x14ac:dyDescent="0.3">
      <c r="S878" s="18"/>
    </row>
    <row r="879" spans="19:19" x14ac:dyDescent="0.3">
      <c r="S879" s="19"/>
    </row>
    <row r="880" spans="19:19" x14ac:dyDescent="0.3">
      <c r="S880" s="18"/>
    </row>
    <row r="881" spans="19:19" x14ac:dyDescent="0.3">
      <c r="S881" s="19"/>
    </row>
    <row r="882" spans="19:19" x14ac:dyDescent="0.3">
      <c r="S882" s="18"/>
    </row>
    <row r="883" spans="19:19" x14ac:dyDescent="0.3">
      <c r="S883" s="19"/>
    </row>
    <row r="884" spans="19:19" x14ac:dyDescent="0.3">
      <c r="S884" s="18"/>
    </row>
    <row r="885" spans="19:19" x14ac:dyDescent="0.3">
      <c r="S885" s="19"/>
    </row>
    <row r="886" spans="19:19" x14ac:dyDescent="0.3">
      <c r="S886" s="18"/>
    </row>
    <row r="887" spans="19:19" x14ac:dyDescent="0.3">
      <c r="S887" s="19"/>
    </row>
    <row r="888" spans="19:19" x14ac:dyDescent="0.3">
      <c r="S888" s="18"/>
    </row>
    <row r="889" spans="19:19" x14ac:dyDescent="0.3">
      <c r="S889" s="19"/>
    </row>
    <row r="890" spans="19:19" x14ac:dyDescent="0.3">
      <c r="S890" s="18"/>
    </row>
    <row r="891" spans="19:19" x14ac:dyDescent="0.3">
      <c r="S891" s="19"/>
    </row>
    <row r="892" spans="19:19" x14ac:dyDescent="0.3">
      <c r="S892" s="18"/>
    </row>
    <row r="893" spans="19:19" x14ac:dyDescent="0.3">
      <c r="S893" s="19"/>
    </row>
    <row r="894" spans="19:19" x14ac:dyDescent="0.3">
      <c r="S894" s="18"/>
    </row>
    <row r="895" spans="19:19" x14ac:dyDescent="0.3">
      <c r="S895" s="19"/>
    </row>
    <row r="896" spans="19:19" x14ac:dyDescent="0.3">
      <c r="S896" s="18"/>
    </row>
    <row r="897" spans="19:19" x14ac:dyDescent="0.3">
      <c r="S897" s="19"/>
    </row>
    <row r="898" spans="19:19" x14ac:dyDescent="0.3">
      <c r="S898" s="18"/>
    </row>
    <row r="899" spans="19:19" x14ac:dyDescent="0.3">
      <c r="S899" s="19"/>
    </row>
    <row r="900" spans="19:19" x14ac:dyDescent="0.3">
      <c r="S900" s="18"/>
    </row>
    <row r="901" spans="19:19" x14ac:dyDescent="0.3">
      <c r="S901" s="19"/>
    </row>
    <row r="902" spans="19:19" x14ac:dyDescent="0.3">
      <c r="S902" s="18"/>
    </row>
    <row r="903" spans="19:19" x14ac:dyDescent="0.3">
      <c r="S903" s="19"/>
    </row>
    <row r="904" spans="19:19" x14ac:dyDescent="0.3">
      <c r="S904" s="18"/>
    </row>
    <row r="905" spans="19:19" x14ac:dyDescent="0.3">
      <c r="S905" s="19"/>
    </row>
    <row r="906" spans="19:19" x14ac:dyDescent="0.3">
      <c r="S906" s="18"/>
    </row>
    <row r="907" spans="19:19" x14ac:dyDescent="0.3">
      <c r="S907" s="19"/>
    </row>
    <row r="908" spans="19:19" x14ac:dyDescent="0.3">
      <c r="S908" s="18"/>
    </row>
    <row r="909" spans="19:19" x14ac:dyDescent="0.3">
      <c r="S909" s="19"/>
    </row>
    <row r="910" spans="19:19" x14ac:dyDescent="0.3">
      <c r="S910" s="18"/>
    </row>
    <row r="911" spans="19:19" x14ac:dyDescent="0.3">
      <c r="S911" s="19"/>
    </row>
    <row r="912" spans="19:19" x14ac:dyDescent="0.3">
      <c r="S912" s="18"/>
    </row>
    <row r="913" spans="19:19" x14ac:dyDescent="0.3">
      <c r="S913" s="19"/>
    </row>
    <row r="914" spans="19:19" x14ac:dyDescent="0.3">
      <c r="S914" s="18"/>
    </row>
    <row r="915" spans="19:19" x14ac:dyDescent="0.3">
      <c r="S915" s="19"/>
    </row>
    <row r="916" spans="19:19" x14ac:dyDescent="0.3">
      <c r="S916" s="18"/>
    </row>
    <row r="917" spans="19:19" x14ac:dyDescent="0.3">
      <c r="S917" s="19"/>
    </row>
    <row r="918" spans="19:19" x14ac:dyDescent="0.3">
      <c r="S918" s="18"/>
    </row>
    <row r="919" spans="19:19" x14ac:dyDescent="0.3">
      <c r="S919" s="19"/>
    </row>
    <row r="920" spans="19:19" x14ac:dyDescent="0.3">
      <c r="S920" s="18"/>
    </row>
    <row r="921" spans="19:19" x14ac:dyDescent="0.3">
      <c r="S921" s="19"/>
    </row>
    <row r="922" spans="19:19" x14ac:dyDescent="0.3">
      <c r="S922" s="18"/>
    </row>
    <row r="923" spans="19:19" x14ac:dyDescent="0.3">
      <c r="S923" s="19"/>
    </row>
    <row r="924" spans="19:19" x14ac:dyDescent="0.3">
      <c r="S924" s="18"/>
    </row>
    <row r="925" spans="19:19" x14ac:dyDescent="0.3">
      <c r="S925" s="19"/>
    </row>
    <row r="926" spans="19:19" x14ac:dyDescent="0.3">
      <c r="S926" s="18"/>
    </row>
    <row r="927" spans="19:19" x14ac:dyDescent="0.3">
      <c r="S927" s="19"/>
    </row>
    <row r="928" spans="19:19" x14ac:dyDescent="0.3">
      <c r="S928" s="18"/>
    </row>
    <row r="929" spans="19:19" x14ac:dyDescent="0.3">
      <c r="S929" s="19"/>
    </row>
    <row r="930" spans="19:19" x14ac:dyDescent="0.3">
      <c r="S930" s="18"/>
    </row>
    <row r="931" spans="19:19" x14ac:dyDescent="0.3">
      <c r="S931" s="19"/>
    </row>
    <row r="932" spans="19:19" x14ac:dyDescent="0.3">
      <c r="S932" s="18"/>
    </row>
    <row r="933" spans="19:19" x14ac:dyDescent="0.3">
      <c r="S933" s="19"/>
    </row>
    <row r="934" spans="19:19" x14ac:dyDescent="0.3">
      <c r="S934" s="18"/>
    </row>
    <row r="935" spans="19:19" x14ac:dyDescent="0.3">
      <c r="S935" s="19"/>
    </row>
    <row r="936" spans="19:19" x14ac:dyDescent="0.3">
      <c r="S936" s="18"/>
    </row>
    <row r="937" spans="19:19" x14ac:dyDescent="0.3">
      <c r="S937" s="19"/>
    </row>
    <row r="938" spans="19:19" x14ac:dyDescent="0.3">
      <c r="S938" s="18"/>
    </row>
    <row r="939" spans="19:19" x14ac:dyDescent="0.3">
      <c r="S939" s="19"/>
    </row>
    <row r="940" spans="19:19" x14ac:dyDescent="0.3">
      <c r="S940" s="18"/>
    </row>
    <row r="941" spans="19:19" x14ac:dyDescent="0.3">
      <c r="S941" s="19"/>
    </row>
    <row r="942" spans="19:19" x14ac:dyDescent="0.3">
      <c r="S942" s="18"/>
    </row>
    <row r="943" spans="19:19" x14ac:dyDescent="0.3">
      <c r="S943" s="19"/>
    </row>
    <row r="944" spans="19:19" x14ac:dyDescent="0.3">
      <c r="S944" s="18"/>
    </row>
    <row r="945" spans="19:19" x14ac:dyDescent="0.3">
      <c r="S945" s="19"/>
    </row>
    <row r="946" spans="19:19" x14ac:dyDescent="0.3">
      <c r="S946" s="18"/>
    </row>
    <row r="947" spans="19:19" x14ac:dyDescent="0.3">
      <c r="S947" s="19"/>
    </row>
    <row r="948" spans="19:19" x14ac:dyDescent="0.3">
      <c r="S948" s="18"/>
    </row>
    <row r="949" spans="19:19" x14ac:dyDescent="0.3">
      <c r="S949" s="19"/>
    </row>
    <row r="950" spans="19:19" x14ac:dyDescent="0.3">
      <c r="S950" s="18"/>
    </row>
    <row r="951" spans="19:19" x14ac:dyDescent="0.3">
      <c r="S951" s="19"/>
    </row>
    <row r="952" spans="19:19" x14ac:dyDescent="0.3">
      <c r="S952" s="18"/>
    </row>
    <row r="953" spans="19:19" x14ac:dyDescent="0.3">
      <c r="S953" s="19"/>
    </row>
    <row r="954" spans="19:19" x14ac:dyDescent="0.3">
      <c r="S954" s="18"/>
    </row>
    <row r="955" spans="19:19" x14ac:dyDescent="0.3">
      <c r="S955" s="19"/>
    </row>
    <row r="956" spans="19:19" x14ac:dyDescent="0.3">
      <c r="S956" s="18"/>
    </row>
    <row r="957" spans="19:19" x14ac:dyDescent="0.3">
      <c r="S957" s="19"/>
    </row>
    <row r="958" spans="19:19" x14ac:dyDescent="0.3">
      <c r="S958" s="18"/>
    </row>
    <row r="959" spans="19:19" x14ac:dyDescent="0.3">
      <c r="S959" s="19"/>
    </row>
    <row r="960" spans="19:19" x14ac:dyDescent="0.3">
      <c r="S960" s="18"/>
    </row>
    <row r="961" spans="19:19" x14ac:dyDescent="0.3">
      <c r="S961" s="19"/>
    </row>
    <row r="962" spans="19:19" x14ac:dyDescent="0.3">
      <c r="S962" s="18"/>
    </row>
    <row r="963" spans="19:19" x14ac:dyDescent="0.3">
      <c r="S963" s="19"/>
    </row>
    <row r="964" spans="19:19" x14ac:dyDescent="0.3">
      <c r="S964" s="18"/>
    </row>
    <row r="965" spans="19:19" x14ac:dyDescent="0.3">
      <c r="S965" s="19"/>
    </row>
    <row r="966" spans="19:19" x14ac:dyDescent="0.3">
      <c r="S966" s="18"/>
    </row>
    <row r="967" spans="19:19" x14ac:dyDescent="0.3">
      <c r="S967" s="19"/>
    </row>
    <row r="968" spans="19:19" x14ac:dyDescent="0.3">
      <c r="S968" s="18"/>
    </row>
    <row r="969" spans="19:19" x14ac:dyDescent="0.3">
      <c r="S969" s="19"/>
    </row>
    <row r="970" spans="19:19" x14ac:dyDescent="0.3">
      <c r="S970" s="18"/>
    </row>
    <row r="971" spans="19:19" x14ac:dyDescent="0.3">
      <c r="S971" s="19"/>
    </row>
    <row r="972" spans="19:19" x14ac:dyDescent="0.3">
      <c r="S972" s="18"/>
    </row>
    <row r="973" spans="19:19" x14ac:dyDescent="0.3">
      <c r="S973" s="19"/>
    </row>
    <row r="974" spans="19:19" x14ac:dyDescent="0.3">
      <c r="S974" s="18"/>
    </row>
    <row r="975" spans="19:19" x14ac:dyDescent="0.3">
      <c r="S975" s="19"/>
    </row>
    <row r="976" spans="19:19" x14ac:dyDescent="0.3">
      <c r="S976" s="18"/>
    </row>
    <row r="977" spans="19:19" x14ac:dyDescent="0.3">
      <c r="S977" s="19"/>
    </row>
    <row r="978" spans="19:19" x14ac:dyDescent="0.3">
      <c r="S978" s="18"/>
    </row>
    <row r="979" spans="19:19" x14ac:dyDescent="0.3">
      <c r="S979" s="19"/>
    </row>
    <row r="980" spans="19:19" x14ac:dyDescent="0.3">
      <c r="S980" s="18"/>
    </row>
    <row r="981" spans="19:19" x14ac:dyDescent="0.3">
      <c r="S981" s="19"/>
    </row>
    <row r="982" spans="19:19" x14ac:dyDescent="0.3">
      <c r="S982" s="18"/>
    </row>
    <row r="983" spans="19:19" x14ac:dyDescent="0.3">
      <c r="S983" s="19"/>
    </row>
    <row r="984" spans="19:19" x14ac:dyDescent="0.3">
      <c r="S984" s="18"/>
    </row>
    <row r="985" spans="19:19" x14ac:dyDescent="0.3">
      <c r="S985" s="19"/>
    </row>
    <row r="986" spans="19:19" x14ac:dyDescent="0.3">
      <c r="S986" s="18"/>
    </row>
    <row r="987" spans="19:19" x14ac:dyDescent="0.3">
      <c r="S987" s="19"/>
    </row>
    <row r="988" spans="19:19" x14ac:dyDescent="0.3">
      <c r="S988" s="18"/>
    </row>
    <row r="989" spans="19:19" x14ac:dyDescent="0.3">
      <c r="S989" s="19"/>
    </row>
    <row r="990" spans="19:19" x14ac:dyDescent="0.3">
      <c r="S990" s="18"/>
    </row>
    <row r="991" spans="19:19" x14ac:dyDescent="0.3">
      <c r="S991" s="19"/>
    </row>
    <row r="992" spans="19:19" x14ac:dyDescent="0.3">
      <c r="S992" s="18"/>
    </row>
    <row r="993" spans="19:19" x14ac:dyDescent="0.3">
      <c r="S993" s="19"/>
    </row>
    <row r="994" spans="19:19" x14ac:dyDescent="0.3">
      <c r="S994" s="18"/>
    </row>
    <row r="995" spans="19:19" x14ac:dyDescent="0.3">
      <c r="S995" s="19"/>
    </row>
    <row r="996" spans="19:19" x14ac:dyDescent="0.3">
      <c r="S996" s="18"/>
    </row>
    <row r="997" spans="19:19" x14ac:dyDescent="0.3">
      <c r="S997" s="19"/>
    </row>
    <row r="998" spans="19:19" x14ac:dyDescent="0.3">
      <c r="S998" s="18"/>
    </row>
    <row r="999" spans="19:19" x14ac:dyDescent="0.3">
      <c r="S999" s="19"/>
    </row>
    <row r="1000" spans="19:19" x14ac:dyDescent="0.3">
      <c r="S1000" s="18"/>
    </row>
    <row r="1001" spans="19:19" x14ac:dyDescent="0.3">
      <c r="S1001" s="19"/>
    </row>
    <row r="1002" spans="19:19" x14ac:dyDescent="0.3">
      <c r="S1002" s="18"/>
    </row>
    <row r="1003" spans="19:19" x14ac:dyDescent="0.3">
      <c r="S1003" s="19"/>
    </row>
    <row r="1004" spans="19:19" x14ac:dyDescent="0.3">
      <c r="S1004" s="18"/>
    </row>
    <row r="1005" spans="19:19" x14ac:dyDescent="0.3">
      <c r="S1005" s="19"/>
    </row>
    <row r="1006" spans="19:19" x14ac:dyDescent="0.3">
      <c r="S1006" s="18"/>
    </row>
    <row r="1007" spans="19:19" x14ac:dyDescent="0.3">
      <c r="S1007" s="19"/>
    </row>
    <row r="1008" spans="19:19" x14ac:dyDescent="0.3">
      <c r="S1008" s="18"/>
    </row>
    <row r="1009" spans="19:19" x14ac:dyDescent="0.3">
      <c r="S1009" s="19"/>
    </row>
    <row r="1010" spans="19:19" x14ac:dyDescent="0.3">
      <c r="S1010" s="18"/>
    </row>
    <row r="1011" spans="19:19" x14ac:dyDescent="0.3">
      <c r="S1011" s="19"/>
    </row>
    <row r="1012" spans="19:19" x14ac:dyDescent="0.3">
      <c r="S1012" s="18"/>
    </row>
    <row r="1013" spans="19:19" x14ac:dyDescent="0.3">
      <c r="S1013" s="19"/>
    </row>
    <row r="1014" spans="19:19" x14ac:dyDescent="0.3">
      <c r="S1014" s="18"/>
    </row>
    <row r="1015" spans="19:19" x14ac:dyDescent="0.3">
      <c r="S1015" s="19"/>
    </row>
    <row r="1016" spans="19:19" x14ac:dyDescent="0.3">
      <c r="S1016" s="18"/>
    </row>
    <row r="1017" spans="19:19" x14ac:dyDescent="0.3">
      <c r="S1017" s="19"/>
    </row>
    <row r="1018" spans="19:19" x14ac:dyDescent="0.3">
      <c r="S1018" s="18"/>
    </row>
    <row r="1019" spans="19:19" x14ac:dyDescent="0.3">
      <c r="S1019" s="19"/>
    </row>
    <row r="1020" spans="19:19" x14ac:dyDescent="0.3">
      <c r="S1020" s="18"/>
    </row>
    <row r="1021" spans="19:19" x14ac:dyDescent="0.3">
      <c r="S1021" s="19"/>
    </row>
    <row r="1022" spans="19:19" x14ac:dyDescent="0.3">
      <c r="S1022" s="18"/>
    </row>
    <row r="1023" spans="19:19" x14ac:dyDescent="0.3">
      <c r="S1023" s="19"/>
    </row>
    <row r="1024" spans="19:19" x14ac:dyDescent="0.3">
      <c r="S1024" s="18"/>
    </row>
    <row r="1025" spans="19:19" x14ac:dyDescent="0.3">
      <c r="S1025" s="19"/>
    </row>
    <row r="1026" spans="19:19" x14ac:dyDescent="0.3">
      <c r="S1026" s="18"/>
    </row>
    <row r="1027" spans="19:19" x14ac:dyDescent="0.3">
      <c r="S1027" s="19"/>
    </row>
    <row r="1028" spans="19:19" x14ac:dyDescent="0.3">
      <c r="S1028" s="18"/>
    </row>
    <row r="1029" spans="19:19" x14ac:dyDescent="0.3">
      <c r="S1029" s="19"/>
    </row>
    <row r="1030" spans="19:19" x14ac:dyDescent="0.3">
      <c r="S1030" s="18"/>
    </row>
    <row r="1031" spans="19:19" x14ac:dyDescent="0.3">
      <c r="S1031" s="19"/>
    </row>
    <row r="1032" spans="19:19" x14ac:dyDescent="0.3">
      <c r="S1032" s="18"/>
    </row>
    <row r="1033" spans="19:19" x14ac:dyDescent="0.3">
      <c r="S1033" s="19"/>
    </row>
    <row r="1034" spans="19:19" x14ac:dyDescent="0.3">
      <c r="S1034" s="18"/>
    </row>
    <row r="1035" spans="19:19" x14ac:dyDescent="0.3">
      <c r="S1035" s="19"/>
    </row>
    <row r="1036" spans="19:19" x14ac:dyDescent="0.3">
      <c r="S1036" s="18"/>
    </row>
    <row r="1037" spans="19:19" x14ac:dyDescent="0.3">
      <c r="S1037" s="19"/>
    </row>
    <row r="1038" spans="19:19" x14ac:dyDescent="0.3">
      <c r="S1038" s="18"/>
    </row>
    <row r="1039" spans="19:19" x14ac:dyDescent="0.3">
      <c r="S1039" s="19"/>
    </row>
    <row r="1040" spans="19:19" x14ac:dyDescent="0.3">
      <c r="S1040" s="18"/>
    </row>
    <row r="1041" spans="19:19" x14ac:dyDescent="0.3">
      <c r="S1041" s="19"/>
    </row>
    <row r="1042" spans="19:19" x14ac:dyDescent="0.3">
      <c r="S1042" s="18"/>
    </row>
    <row r="1043" spans="19:19" x14ac:dyDescent="0.3">
      <c r="S1043" s="19"/>
    </row>
    <row r="1044" spans="19:19" x14ac:dyDescent="0.3">
      <c r="S1044" s="18"/>
    </row>
    <row r="1045" spans="19:19" x14ac:dyDescent="0.3">
      <c r="S1045" s="19"/>
    </row>
    <row r="1046" spans="19:19" x14ac:dyDescent="0.3">
      <c r="S1046" s="18"/>
    </row>
    <row r="1047" spans="19:19" x14ac:dyDescent="0.3">
      <c r="S1047" s="19"/>
    </row>
    <row r="1048" spans="19:19" x14ac:dyDescent="0.3">
      <c r="S1048" s="18"/>
    </row>
    <row r="1049" spans="19:19" x14ac:dyDescent="0.3">
      <c r="S1049" s="19"/>
    </row>
    <row r="1050" spans="19:19" x14ac:dyDescent="0.3">
      <c r="S1050" s="18"/>
    </row>
    <row r="1051" spans="19:19" x14ac:dyDescent="0.3">
      <c r="S1051" s="19"/>
    </row>
    <row r="1052" spans="19:19" x14ac:dyDescent="0.3">
      <c r="S1052" s="18"/>
    </row>
    <row r="1053" spans="19:19" x14ac:dyDescent="0.3">
      <c r="S1053" s="19"/>
    </row>
    <row r="1054" spans="19:19" x14ac:dyDescent="0.3">
      <c r="S1054" s="18"/>
    </row>
    <row r="1055" spans="19:19" x14ac:dyDescent="0.3">
      <c r="S1055" s="19"/>
    </row>
    <row r="1056" spans="19:19" x14ac:dyDescent="0.3">
      <c r="S1056" s="18"/>
    </row>
    <row r="1057" spans="19:19" x14ac:dyDescent="0.3">
      <c r="S1057" s="19"/>
    </row>
    <row r="1058" spans="19:19" x14ac:dyDescent="0.3">
      <c r="S1058" s="18"/>
    </row>
    <row r="1059" spans="19:19" x14ac:dyDescent="0.3">
      <c r="S1059" s="19"/>
    </row>
    <row r="1060" spans="19:19" x14ac:dyDescent="0.3">
      <c r="S1060" s="18"/>
    </row>
    <row r="1061" spans="19:19" x14ac:dyDescent="0.3">
      <c r="S1061" s="19"/>
    </row>
    <row r="1062" spans="19:19" x14ac:dyDescent="0.3">
      <c r="S1062" s="18"/>
    </row>
    <row r="1063" spans="19:19" x14ac:dyDescent="0.3">
      <c r="S1063" s="19"/>
    </row>
    <row r="1064" spans="19:19" x14ac:dyDescent="0.3">
      <c r="S1064" s="18"/>
    </row>
    <row r="1065" spans="19:19" x14ac:dyDescent="0.3">
      <c r="S1065" s="19"/>
    </row>
    <row r="1066" spans="19:19" x14ac:dyDescent="0.3">
      <c r="S1066" s="18"/>
    </row>
    <row r="1067" spans="19:19" x14ac:dyDescent="0.3">
      <c r="S1067" s="19"/>
    </row>
    <row r="1068" spans="19:19" x14ac:dyDescent="0.3">
      <c r="S1068" s="18"/>
    </row>
    <row r="1069" spans="19:19" x14ac:dyDescent="0.3">
      <c r="S1069" s="19"/>
    </row>
    <row r="1070" spans="19:19" x14ac:dyDescent="0.3">
      <c r="S1070" s="18"/>
    </row>
    <row r="1071" spans="19:19" x14ac:dyDescent="0.3">
      <c r="S1071" s="19"/>
    </row>
    <row r="1072" spans="19:19" x14ac:dyDescent="0.3">
      <c r="S1072" s="18"/>
    </row>
    <row r="1073" spans="19:19" x14ac:dyDescent="0.3">
      <c r="S1073" s="19"/>
    </row>
    <row r="1074" spans="19:19" x14ac:dyDescent="0.3">
      <c r="S1074" s="18"/>
    </row>
    <row r="1075" spans="19:19" x14ac:dyDescent="0.3">
      <c r="S1075" s="19"/>
    </row>
    <row r="1076" spans="19:19" x14ac:dyDescent="0.3">
      <c r="S1076" s="18"/>
    </row>
    <row r="1077" spans="19:19" x14ac:dyDescent="0.3">
      <c r="S1077" s="19"/>
    </row>
    <row r="1078" spans="19:19" x14ac:dyDescent="0.3">
      <c r="S1078" s="18"/>
    </row>
    <row r="1079" spans="19:19" x14ac:dyDescent="0.3">
      <c r="S1079" s="19"/>
    </row>
    <row r="1080" spans="19:19" x14ac:dyDescent="0.3">
      <c r="S1080" s="18"/>
    </row>
    <row r="1081" spans="19:19" x14ac:dyDescent="0.3">
      <c r="S1081" s="19"/>
    </row>
    <row r="1082" spans="19:19" x14ac:dyDescent="0.3">
      <c r="S1082" s="18"/>
    </row>
    <row r="1083" spans="19:19" x14ac:dyDescent="0.3">
      <c r="S1083" s="19"/>
    </row>
    <row r="1084" spans="19:19" x14ac:dyDescent="0.3">
      <c r="S1084" s="18"/>
    </row>
    <row r="1085" spans="19:19" x14ac:dyDescent="0.3">
      <c r="S1085" s="19"/>
    </row>
    <row r="1086" spans="19:19" x14ac:dyDescent="0.3">
      <c r="S1086" s="18"/>
    </row>
    <row r="1087" spans="19:19" x14ac:dyDescent="0.3">
      <c r="S1087" s="19"/>
    </row>
    <row r="1088" spans="19:19" x14ac:dyDescent="0.3">
      <c r="S1088" s="18"/>
    </row>
    <row r="1089" spans="19:19" x14ac:dyDescent="0.3">
      <c r="S1089" s="19"/>
    </row>
    <row r="1090" spans="19:19" x14ac:dyDescent="0.3">
      <c r="S1090" s="18"/>
    </row>
    <row r="1091" spans="19:19" x14ac:dyDescent="0.3">
      <c r="S1091" s="19"/>
    </row>
    <row r="1092" spans="19:19" x14ac:dyDescent="0.3">
      <c r="S1092" s="18"/>
    </row>
    <row r="1093" spans="19:19" x14ac:dyDescent="0.3">
      <c r="S1093" s="19"/>
    </row>
    <row r="1094" spans="19:19" x14ac:dyDescent="0.3">
      <c r="S1094" s="18"/>
    </row>
    <row r="1095" spans="19:19" x14ac:dyDescent="0.3">
      <c r="S1095" s="19"/>
    </row>
    <row r="1096" spans="19:19" x14ac:dyDescent="0.3">
      <c r="S1096" s="18"/>
    </row>
    <row r="1097" spans="19:19" x14ac:dyDescent="0.3">
      <c r="S1097" s="19"/>
    </row>
    <row r="1098" spans="19:19" x14ac:dyDescent="0.3">
      <c r="S1098" s="18"/>
    </row>
    <row r="1099" spans="19:19" x14ac:dyDescent="0.3">
      <c r="S1099" s="19"/>
    </row>
    <row r="1100" spans="19:19" x14ac:dyDescent="0.3">
      <c r="S1100" s="18"/>
    </row>
    <row r="1101" spans="19:19" x14ac:dyDescent="0.3">
      <c r="S1101" s="19"/>
    </row>
    <row r="1102" spans="19:19" x14ac:dyDescent="0.3">
      <c r="S1102" s="18"/>
    </row>
    <row r="1103" spans="19:19" x14ac:dyDescent="0.3">
      <c r="S1103" s="19"/>
    </row>
    <row r="1104" spans="19:19" x14ac:dyDescent="0.3">
      <c r="S1104" s="18"/>
    </row>
    <row r="1105" spans="19:19" x14ac:dyDescent="0.3">
      <c r="S1105" s="19"/>
    </row>
    <row r="1106" spans="19:19" x14ac:dyDescent="0.3">
      <c r="S1106" s="18"/>
    </row>
    <row r="1107" spans="19:19" x14ac:dyDescent="0.3">
      <c r="S1107" s="19"/>
    </row>
    <row r="1108" spans="19:19" x14ac:dyDescent="0.3">
      <c r="S1108" s="18"/>
    </row>
    <row r="1109" spans="19:19" x14ac:dyDescent="0.3">
      <c r="S1109" s="19"/>
    </row>
    <row r="1110" spans="19:19" x14ac:dyDescent="0.3">
      <c r="S1110" s="18"/>
    </row>
    <row r="1111" spans="19:19" x14ac:dyDescent="0.3">
      <c r="S1111" s="19"/>
    </row>
    <row r="1112" spans="19:19" x14ac:dyDescent="0.3">
      <c r="S1112" s="18"/>
    </row>
    <row r="1113" spans="19:19" x14ac:dyDescent="0.3">
      <c r="S1113" s="19"/>
    </row>
    <row r="1114" spans="19:19" x14ac:dyDescent="0.3">
      <c r="S1114" s="18"/>
    </row>
    <row r="1115" spans="19:19" x14ac:dyDescent="0.3">
      <c r="S1115" s="19"/>
    </row>
    <row r="1116" spans="19:19" x14ac:dyDescent="0.3">
      <c r="S1116" s="18"/>
    </row>
    <row r="1117" spans="19:19" x14ac:dyDescent="0.3">
      <c r="S1117" s="19"/>
    </row>
    <row r="1118" spans="19:19" x14ac:dyDescent="0.3">
      <c r="S1118" s="18"/>
    </row>
    <row r="1119" spans="19:19" x14ac:dyDescent="0.3">
      <c r="S1119" s="19"/>
    </row>
    <row r="1120" spans="19:19" x14ac:dyDescent="0.3">
      <c r="S1120" s="18"/>
    </row>
    <row r="1121" spans="19:19" x14ac:dyDescent="0.3">
      <c r="S1121" s="19"/>
    </row>
    <row r="1122" spans="19:19" x14ac:dyDescent="0.3">
      <c r="S1122" s="18"/>
    </row>
    <row r="1123" spans="19:19" x14ac:dyDescent="0.3">
      <c r="S1123" s="19"/>
    </row>
    <row r="1124" spans="19:19" x14ac:dyDescent="0.3">
      <c r="S1124" s="18"/>
    </row>
    <row r="1125" spans="19:19" x14ac:dyDescent="0.3">
      <c r="S1125" s="19"/>
    </row>
    <row r="1126" spans="19:19" x14ac:dyDescent="0.3">
      <c r="S1126" s="18"/>
    </row>
    <row r="1127" spans="19:19" x14ac:dyDescent="0.3">
      <c r="S1127" s="19"/>
    </row>
    <row r="1128" spans="19:19" x14ac:dyDescent="0.3">
      <c r="S1128" s="18"/>
    </row>
    <row r="1129" spans="19:19" x14ac:dyDescent="0.3">
      <c r="S1129" s="19"/>
    </row>
    <row r="1130" spans="19:19" x14ac:dyDescent="0.3">
      <c r="S1130" s="18"/>
    </row>
    <row r="1131" spans="19:19" x14ac:dyDescent="0.3">
      <c r="S1131" s="19"/>
    </row>
    <row r="1132" spans="19:19" x14ac:dyDescent="0.3">
      <c r="S1132" s="18"/>
    </row>
    <row r="1133" spans="19:19" x14ac:dyDescent="0.3">
      <c r="S1133" s="19"/>
    </row>
    <row r="1134" spans="19:19" x14ac:dyDescent="0.3">
      <c r="S1134" s="18"/>
    </row>
    <row r="1135" spans="19:19" x14ac:dyDescent="0.3">
      <c r="S1135" s="19"/>
    </row>
    <row r="1136" spans="19:19" x14ac:dyDescent="0.3">
      <c r="S1136" s="18"/>
    </row>
    <row r="1137" spans="19:19" x14ac:dyDescent="0.3">
      <c r="S1137" s="19"/>
    </row>
    <row r="1138" spans="19:19" x14ac:dyDescent="0.3">
      <c r="S1138" s="18"/>
    </row>
    <row r="1139" spans="19:19" x14ac:dyDescent="0.3">
      <c r="S1139" s="19"/>
    </row>
    <row r="1140" spans="19:19" x14ac:dyDescent="0.3">
      <c r="S1140" s="18"/>
    </row>
    <row r="1141" spans="19:19" x14ac:dyDescent="0.3">
      <c r="S1141" s="19"/>
    </row>
    <row r="1142" spans="19:19" x14ac:dyDescent="0.3">
      <c r="S1142" s="18"/>
    </row>
    <row r="1143" spans="19:19" x14ac:dyDescent="0.3">
      <c r="S1143" s="19"/>
    </row>
    <row r="1144" spans="19:19" x14ac:dyDescent="0.3">
      <c r="S1144" s="18"/>
    </row>
    <row r="1145" spans="19:19" x14ac:dyDescent="0.3">
      <c r="S1145" s="19"/>
    </row>
    <row r="1146" spans="19:19" x14ac:dyDescent="0.3">
      <c r="S1146" s="18"/>
    </row>
    <row r="1147" spans="19:19" x14ac:dyDescent="0.3">
      <c r="S1147" s="19"/>
    </row>
    <row r="1148" spans="19:19" x14ac:dyDescent="0.3">
      <c r="S1148" s="18"/>
    </row>
    <row r="1149" spans="19:19" x14ac:dyDescent="0.3">
      <c r="S1149" s="19"/>
    </row>
    <row r="1150" spans="19:19" x14ac:dyDescent="0.3">
      <c r="S1150" s="18"/>
    </row>
    <row r="1151" spans="19:19" x14ac:dyDescent="0.3">
      <c r="S1151" s="19"/>
    </row>
    <row r="1152" spans="19:19" x14ac:dyDescent="0.3">
      <c r="S1152" s="18"/>
    </row>
    <row r="1153" spans="19:19" x14ac:dyDescent="0.3">
      <c r="S1153" s="19"/>
    </row>
    <row r="1154" spans="19:19" x14ac:dyDescent="0.3">
      <c r="S1154" s="18"/>
    </row>
    <row r="1155" spans="19:19" x14ac:dyDescent="0.3">
      <c r="S1155" s="19"/>
    </row>
    <row r="1156" spans="19:19" x14ac:dyDescent="0.3">
      <c r="S1156" s="18"/>
    </row>
    <row r="1157" spans="19:19" x14ac:dyDescent="0.3">
      <c r="S1157" s="19"/>
    </row>
    <row r="1158" spans="19:19" x14ac:dyDescent="0.3">
      <c r="S1158" s="18"/>
    </row>
    <row r="1159" spans="19:19" x14ac:dyDescent="0.3">
      <c r="S1159" s="19"/>
    </row>
    <row r="1160" spans="19:19" x14ac:dyDescent="0.3">
      <c r="S1160" s="18"/>
    </row>
    <row r="1161" spans="19:19" x14ac:dyDescent="0.3">
      <c r="S1161" s="19"/>
    </row>
    <row r="1162" spans="19:19" x14ac:dyDescent="0.3">
      <c r="S1162" s="18"/>
    </row>
    <row r="1163" spans="19:19" x14ac:dyDescent="0.3">
      <c r="S1163" s="19"/>
    </row>
    <row r="1164" spans="19:19" x14ac:dyDescent="0.3">
      <c r="S1164" s="18"/>
    </row>
    <row r="1165" spans="19:19" x14ac:dyDescent="0.3">
      <c r="S1165" s="19"/>
    </row>
    <row r="1166" spans="19:19" x14ac:dyDescent="0.3">
      <c r="S1166" s="18"/>
    </row>
    <row r="1167" spans="19:19" x14ac:dyDescent="0.3">
      <c r="S1167" s="19"/>
    </row>
    <row r="1168" spans="19:19" x14ac:dyDescent="0.3">
      <c r="S1168" s="18"/>
    </row>
    <row r="1169" spans="19:19" x14ac:dyDescent="0.3">
      <c r="S1169" s="19"/>
    </row>
    <row r="1170" spans="19:19" x14ac:dyDescent="0.3">
      <c r="S1170" s="18"/>
    </row>
    <row r="1171" spans="19:19" x14ac:dyDescent="0.3">
      <c r="S1171" s="19"/>
    </row>
    <row r="1172" spans="19:19" x14ac:dyDescent="0.3">
      <c r="S1172" s="18"/>
    </row>
    <row r="1173" spans="19:19" x14ac:dyDescent="0.3">
      <c r="S1173" s="19"/>
    </row>
    <row r="1174" spans="19:19" x14ac:dyDescent="0.3">
      <c r="S1174" s="18"/>
    </row>
    <row r="1175" spans="19:19" x14ac:dyDescent="0.3">
      <c r="S1175" s="19"/>
    </row>
    <row r="1176" spans="19:19" x14ac:dyDescent="0.3">
      <c r="S1176" s="18"/>
    </row>
    <row r="1177" spans="19:19" x14ac:dyDescent="0.3">
      <c r="S1177" s="19"/>
    </row>
    <row r="1178" spans="19:19" x14ac:dyDescent="0.3">
      <c r="S1178" s="18"/>
    </row>
    <row r="1179" spans="19:19" x14ac:dyDescent="0.3">
      <c r="S1179" s="19"/>
    </row>
    <row r="1180" spans="19:19" x14ac:dyDescent="0.3">
      <c r="S1180" s="18"/>
    </row>
    <row r="1181" spans="19:19" x14ac:dyDescent="0.3">
      <c r="S1181" s="19"/>
    </row>
    <row r="1182" spans="19:19" x14ac:dyDescent="0.3">
      <c r="S1182" s="18"/>
    </row>
    <row r="1183" spans="19:19" x14ac:dyDescent="0.3">
      <c r="S1183" s="19"/>
    </row>
    <row r="1184" spans="19:19" x14ac:dyDescent="0.3">
      <c r="S1184" s="18"/>
    </row>
    <row r="1185" spans="19:19" x14ac:dyDescent="0.3">
      <c r="S1185" s="19"/>
    </row>
    <row r="1186" spans="19:19" x14ac:dyDescent="0.3">
      <c r="S1186" s="18"/>
    </row>
    <row r="1187" spans="19:19" x14ac:dyDescent="0.3">
      <c r="S1187" s="19"/>
    </row>
    <row r="1188" spans="19:19" x14ac:dyDescent="0.3">
      <c r="S1188" s="18"/>
    </row>
    <row r="1189" spans="19:19" x14ac:dyDescent="0.3">
      <c r="S1189" s="19"/>
    </row>
    <row r="1190" spans="19:19" x14ac:dyDescent="0.3">
      <c r="S1190" s="18"/>
    </row>
    <row r="1191" spans="19:19" x14ac:dyDescent="0.3">
      <c r="S1191" s="19"/>
    </row>
    <row r="1192" spans="19:19" x14ac:dyDescent="0.3">
      <c r="S1192" s="18"/>
    </row>
    <row r="1193" spans="19:19" x14ac:dyDescent="0.3">
      <c r="S1193" s="19"/>
    </row>
    <row r="1194" spans="19:19" x14ac:dyDescent="0.3">
      <c r="S1194" s="18"/>
    </row>
    <row r="1195" spans="19:19" x14ac:dyDescent="0.3">
      <c r="S1195" s="19"/>
    </row>
    <row r="1196" spans="19:19" x14ac:dyDescent="0.3">
      <c r="S1196" s="18"/>
    </row>
    <row r="1197" spans="19:19" x14ac:dyDescent="0.3">
      <c r="S1197" s="19"/>
    </row>
    <row r="1198" spans="19:19" x14ac:dyDescent="0.3">
      <c r="S1198" s="18"/>
    </row>
    <row r="1199" spans="19:19" x14ac:dyDescent="0.3">
      <c r="S1199" s="19"/>
    </row>
    <row r="1200" spans="19:19" x14ac:dyDescent="0.3">
      <c r="S1200" s="18"/>
    </row>
    <row r="1201" spans="19:19" x14ac:dyDescent="0.3">
      <c r="S1201" s="19"/>
    </row>
    <row r="1202" spans="19:19" x14ac:dyDescent="0.3">
      <c r="S1202" s="18"/>
    </row>
    <row r="1203" spans="19:19" x14ac:dyDescent="0.3">
      <c r="S1203" s="19"/>
    </row>
    <row r="1204" spans="19:19" x14ac:dyDescent="0.3">
      <c r="S1204" s="18"/>
    </row>
    <row r="1205" spans="19:19" x14ac:dyDescent="0.3">
      <c r="S1205" s="19"/>
    </row>
    <row r="1206" spans="19:19" x14ac:dyDescent="0.3">
      <c r="S1206" s="18"/>
    </row>
    <row r="1207" spans="19:19" x14ac:dyDescent="0.3">
      <c r="S1207" s="19"/>
    </row>
    <row r="1208" spans="19:19" x14ac:dyDescent="0.3">
      <c r="S1208" s="18"/>
    </row>
    <row r="1209" spans="19:19" x14ac:dyDescent="0.3">
      <c r="S1209" s="19"/>
    </row>
    <row r="1210" spans="19:19" x14ac:dyDescent="0.3">
      <c r="S1210" s="18"/>
    </row>
    <row r="1211" spans="19:19" x14ac:dyDescent="0.3">
      <c r="S1211" s="19"/>
    </row>
    <row r="1212" spans="19:19" x14ac:dyDescent="0.3">
      <c r="S1212" s="18"/>
    </row>
    <row r="1213" spans="19:19" x14ac:dyDescent="0.3">
      <c r="S1213" s="19"/>
    </row>
    <row r="1214" spans="19:19" x14ac:dyDescent="0.3">
      <c r="S1214" s="18"/>
    </row>
    <row r="1215" spans="19:19" x14ac:dyDescent="0.3">
      <c r="S1215" s="19"/>
    </row>
    <row r="1216" spans="19:19" x14ac:dyDescent="0.3">
      <c r="S1216" s="18"/>
    </row>
    <row r="1217" spans="19:19" x14ac:dyDescent="0.3">
      <c r="S1217" s="19"/>
    </row>
    <row r="1218" spans="19:19" x14ac:dyDescent="0.3">
      <c r="S1218" s="18"/>
    </row>
    <row r="1219" spans="19:19" x14ac:dyDescent="0.3">
      <c r="S1219" s="19"/>
    </row>
    <row r="1220" spans="19:19" x14ac:dyDescent="0.3">
      <c r="S1220" s="18"/>
    </row>
    <row r="1221" spans="19:19" x14ac:dyDescent="0.3">
      <c r="S1221" s="19"/>
    </row>
    <row r="1222" spans="19:19" x14ac:dyDescent="0.3">
      <c r="S1222" s="18"/>
    </row>
    <row r="1223" spans="19:19" x14ac:dyDescent="0.3">
      <c r="S1223" s="19"/>
    </row>
    <row r="1224" spans="19:19" x14ac:dyDescent="0.3">
      <c r="S1224" s="18"/>
    </row>
    <row r="1225" spans="19:19" x14ac:dyDescent="0.3">
      <c r="S1225" s="19"/>
    </row>
    <row r="1226" spans="19:19" x14ac:dyDescent="0.3">
      <c r="S1226" s="18"/>
    </row>
    <row r="1227" spans="19:19" x14ac:dyDescent="0.3">
      <c r="S1227" s="19"/>
    </row>
    <row r="1228" spans="19:19" x14ac:dyDescent="0.3">
      <c r="S1228" s="18"/>
    </row>
    <row r="1229" spans="19:19" x14ac:dyDescent="0.3">
      <c r="S1229" s="19"/>
    </row>
    <row r="1230" spans="19:19" x14ac:dyDescent="0.3">
      <c r="S1230" s="18"/>
    </row>
    <row r="1231" spans="19:19" x14ac:dyDescent="0.3">
      <c r="S1231" s="19"/>
    </row>
    <row r="1232" spans="19:19" x14ac:dyDescent="0.3">
      <c r="S1232" s="18"/>
    </row>
    <row r="1233" spans="19:19" x14ac:dyDescent="0.3">
      <c r="S1233" s="19"/>
    </row>
    <row r="1234" spans="19:19" x14ac:dyDescent="0.3">
      <c r="S1234" s="18"/>
    </row>
    <row r="1235" spans="19:19" x14ac:dyDescent="0.3">
      <c r="S1235" s="19"/>
    </row>
    <row r="1236" spans="19:19" x14ac:dyDescent="0.3">
      <c r="S1236" s="18"/>
    </row>
    <row r="1237" spans="19:19" x14ac:dyDescent="0.3">
      <c r="S1237" s="19"/>
    </row>
    <row r="1238" spans="19:19" x14ac:dyDescent="0.3">
      <c r="S1238" s="18"/>
    </row>
    <row r="1239" spans="19:19" x14ac:dyDescent="0.3">
      <c r="S1239" s="19"/>
    </row>
    <row r="1240" spans="19:19" x14ac:dyDescent="0.3">
      <c r="S1240" s="18"/>
    </row>
    <row r="1241" spans="19:19" x14ac:dyDescent="0.3">
      <c r="S1241" s="19"/>
    </row>
    <row r="1242" spans="19:19" x14ac:dyDescent="0.3">
      <c r="S1242" s="18"/>
    </row>
    <row r="1243" spans="19:19" x14ac:dyDescent="0.3">
      <c r="S1243" s="19"/>
    </row>
    <row r="1244" spans="19:19" x14ac:dyDescent="0.3">
      <c r="S1244" s="18"/>
    </row>
    <row r="1245" spans="19:19" x14ac:dyDescent="0.3">
      <c r="S1245" s="19"/>
    </row>
    <row r="1246" spans="19:19" x14ac:dyDescent="0.3">
      <c r="S1246" s="18"/>
    </row>
    <row r="1247" spans="19:19" x14ac:dyDescent="0.3">
      <c r="S1247" s="19"/>
    </row>
    <row r="1248" spans="19:19" x14ac:dyDescent="0.3">
      <c r="S1248" s="18"/>
    </row>
    <row r="1249" spans="19:19" x14ac:dyDescent="0.3">
      <c r="S1249" s="19"/>
    </row>
    <row r="1250" spans="19:19" x14ac:dyDescent="0.3">
      <c r="S1250" s="18"/>
    </row>
    <row r="1251" spans="19:19" x14ac:dyDescent="0.3">
      <c r="S1251" s="19"/>
    </row>
    <row r="1252" spans="19:19" x14ac:dyDescent="0.3">
      <c r="S1252" s="18"/>
    </row>
    <row r="1253" spans="19:19" x14ac:dyDescent="0.3">
      <c r="S1253" s="19"/>
    </row>
    <row r="1254" spans="19:19" x14ac:dyDescent="0.3">
      <c r="S1254" s="18"/>
    </row>
    <row r="1255" spans="19:19" x14ac:dyDescent="0.3">
      <c r="S1255" s="19"/>
    </row>
    <row r="1256" spans="19:19" x14ac:dyDescent="0.3">
      <c r="S1256" s="18"/>
    </row>
    <row r="1257" spans="19:19" x14ac:dyDescent="0.3">
      <c r="S1257" s="19"/>
    </row>
    <row r="1258" spans="19:19" x14ac:dyDescent="0.3">
      <c r="S1258" s="18"/>
    </row>
    <row r="1259" spans="19:19" x14ac:dyDescent="0.3">
      <c r="S1259" s="19"/>
    </row>
    <row r="1260" spans="19:19" x14ac:dyDescent="0.3">
      <c r="S1260" s="18"/>
    </row>
    <row r="1261" spans="19:19" x14ac:dyDescent="0.3">
      <c r="S1261" s="19"/>
    </row>
    <row r="1262" spans="19:19" x14ac:dyDescent="0.3">
      <c r="S1262" s="18"/>
    </row>
    <row r="1263" spans="19:19" x14ac:dyDescent="0.3">
      <c r="S1263" s="19"/>
    </row>
    <row r="1264" spans="19:19" x14ac:dyDescent="0.3">
      <c r="S1264" s="18"/>
    </row>
    <row r="1265" spans="19:19" x14ac:dyDescent="0.3">
      <c r="S1265" s="19"/>
    </row>
    <row r="1266" spans="19:19" x14ac:dyDescent="0.3">
      <c r="S1266" s="18"/>
    </row>
    <row r="1267" spans="19:19" x14ac:dyDescent="0.3">
      <c r="S1267" s="19"/>
    </row>
    <row r="1268" spans="19:19" x14ac:dyDescent="0.3">
      <c r="S1268" s="18"/>
    </row>
    <row r="1269" spans="19:19" x14ac:dyDescent="0.3">
      <c r="S1269" s="19"/>
    </row>
    <row r="1270" spans="19:19" x14ac:dyDescent="0.3">
      <c r="S1270" s="18"/>
    </row>
    <row r="1271" spans="19:19" x14ac:dyDescent="0.3">
      <c r="S1271" s="19"/>
    </row>
    <row r="1272" spans="19:19" x14ac:dyDescent="0.3">
      <c r="S1272" s="18"/>
    </row>
    <row r="1273" spans="19:19" x14ac:dyDescent="0.3">
      <c r="S1273" s="19"/>
    </row>
    <row r="1274" spans="19:19" x14ac:dyDescent="0.3">
      <c r="S1274" s="18"/>
    </row>
    <row r="1275" spans="19:19" x14ac:dyDescent="0.3">
      <c r="S1275" s="19"/>
    </row>
    <row r="1276" spans="19:19" x14ac:dyDescent="0.3">
      <c r="S1276" s="18"/>
    </row>
    <row r="1277" spans="19:19" x14ac:dyDescent="0.3">
      <c r="S1277" s="19"/>
    </row>
    <row r="1278" spans="19:19" x14ac:dyDescent="0.3">
      <c r="S1278" s="18"/>
    </row>
    <row r="1279" spans="19:19" x14ac:dyDescent="0.3">
      <c r="S1279" s="19"/>
    </row>
    <row r="1280" spans="19:19" x14ac:dyDescent="0.3">
      <c r="S1280" s="18"/>
    </row>
    <row r="1281" spans="19:19" x14ac:dyDescent="0.3">
      <c r="S1281" s="19"/>
    </row>
    <row r="1282" spans="19:19" x14ac:dyDescent="0.3">
      <c r="S1282" s="18"/>
    </row>
    <row r="1283" spans="19:19" x14ac:dyDescent="0.3">
      <c r="S1283" s="19"/>
    </row>
    <row r="1284" spans="19:19" x14ac:dyDescent="0.3">
      <c r="S1284" s="18"/>
    </row>
    <row r="1285" spans="19:19" x14ac:dyDescent="0.3">
      <c r="S1285" s="19"/>
    </row>
    <row r="1286" spans="19:19" x14ac:dyDescent="0.3">
      <c r="S1286" s="18"/>
    </row>
    <row r="1287" spans="19:19" x14ac:dyDescent="0.3">
      <c r="S1287" s="19"/>
    </row>
    <row r="1288" spans="19:19" x14ac:dyDescent="0.3">
      <c r="S1288" s="18"/>
    </row>
    <row r="1289" spans="19:19" x14ac:dyDescent="0.3">
      <c r="S1289" s="19"/>
    </row>
    <row r="1290" spans="19:19" x14ac:dyDescent="0.3">
      <c r="S1290" s="18"/>
    </row>
    <row r="1291" spans="19:19" x14ac:dyDescent="0.3">
      <c r="S1291" s="19"/>
    </row>
    <row r="1292" spans="19:19" x14ac:dyDescent="0.3">
      <c r="S1292" s="18"/>
    </row>
    <row r="1293" spans="19:19" x14ac:dyDescent="0.3">
      <c r="S1293" s="19"/>
    </row>
    <row r="1294" spans="19:19" x14ac:dyDescent="0.3">
      <c r="S1294" s="18"/>
    </row>
    <row r="1295" spans="19:19" x14ac:dyDescent="0.3">
      <c r="S1295" s="19"/>
    </row>
    <row r="1296" spans="19:19" x14ac:dyDescent="0.3">
      <c r="S1296" s="18"/>
    </row>
    <row r="1297" spans="19:19" x14ac:dyDescent="0.3">
      <c r="S1297" s="19"/>
    </row>
    <row r="1298" spans="19:19" x14ac:dyDescent="0.3">
      <c r="S1298" s="18"/>
    </row>
    <row r="1299" spans="19:19" x14ac:dyDescent="0.3">
      <c r="S1299" s="19"/>
    </row>
    <row r="1300" spans="19:19" x14ac:dyDescent="0.3">
      <c r="S1300" s="18"/>
    </row>
    <row r="1301" spans="19:19" x14ac:dyDescent="0.3">
      <c r="S1301" s="19"/>
    </row>
    <row r="1302" spans="19:19" x14ac:dyDescent="0.3">
      <c r="S1302" s="18"/>
    </row>
    <row r="1303" spans="19:19" x14ac:dyDescent="0.3">
      <c r="S1303" s="19"/>
    </row>
    <row r="1304" spans="19:19" x14ac:dyDescent="0.3">
      <c r="S1304" s="18"/>
    </row>
    <row r="1305" spans="19:19" x14ac:dyDescent="0.3">
      <c r="S1305" s="19"/>
    </row>
    <row r="1306" spans="19:19" x14ac:dyDescent="0.3">
      <c r="S1306" s="18"/>
    </row>
    <row r="1307" spans="19:19" x14ac:dyDescent="0.3">
      <c r="S1307" s="19"/>
    </row>
    <row r="1308" spans="19:19" x14ac:dyDescent="0.3">
      <c r="S1308" s="18"/>
    </row>
    <row r="1309" spans="19:19" x14ac:dyDescent="0.3">
      <c r="S1309" s="19"/>
    </row>
    <row r="1310" spans="19:19" x14ac:dyDescent="0.3">
      <c r="S1310" s="18"/>
    </row>
    <row r="1311" spans="19:19" x14ac:dyDescent="0.3">
      <c r="S1311" s="19"/>
    </row>
    <row r="1312" spans="19:19" x14ac:dyDescent="0.3">
      <c r="S1312" s="18"/>
    </row>
    <row r="1313" spans="19:19" x14ac:dyDescent="0.3">
      <c r="S1313" s="19"/>
    </row>
    <row r="1314" spans="19:19" x14ac:dyDescent="0.3">
      <c r="S1314" s="18"/>
    </row>
    <row r="1315" spans="19:19" x14ac:dyDescent="0.3">
      <c r="S1315" s="19"/>
    </row>
    <row r="1316" spans="19:19" x14ac:dyDescent="0.3">
      <c r="S1316" s="18"/>
    </row>
    <row r="1317" spans="19:19" x14ac:dyDescent="0.3">
      <c r="S1317" s="19"/>
    </row>
    <row r="1318" spans="19:19" x14ac:dyDescent="0.3">
      <c r="S1318" s="18"/>
    </row>
    <row r="1319" spans="19:19" x14ac:dyDescent="0.3">
      <c r="S1319" s="19"/>
    </row>
    <row r="1320" spans="19:19" x14ac:dyDescent="0.3">
      <c r="S1320" s="18"/>
    </row>
    <row r="1321" spans="19:19" x14ac:dyDescent="0.3">
      <c r="S1321" s="19"/>
    </row>
    <row r="1322" spans="19:19" x14ac:dyDescent="0.3">
      <c r="S1322" s="18"/>
    </row>
    <row r="1323" spans="19:19" x14ac:dyDescent="0.3">
      <c r="S1323" s="19"/>
    </row>
    <row r="1324" spans="19:19" x14ac:dyDescent="0.3">
      <c r="S1324" s="18"/>
    </row>
    <row r="1325" spans="19:19" x14ac:dyDescent="0.3">
      <c r="S1325" s="19"/>
    </row>
    <row r="1326" spans="19:19" x14ac:dyDescent="0.3">
      <c r="S1326" s="18"/>
    </row>
    <row r="1327" spans="19:19" x14ac:dyDescent="0.3">
      <c r="S1327" s="19"/>
    </row>
    <row r="1328" spans="19:19" x14ac:dyDescent="0.3">
      <c r="S1328" s="18"/>
    </row>
    <row r="1329" spans="19:19" x14ac:dyDescent="0.3">
      <c r="S1329" s="19"/>
    </row>
    <row r="1330" spans="19:19" x14ac:dyDescent="0.3">
      <c r="S1330" s="18"/>
    </row>
    <row r="1331" spans="19:19" x14ac:dyDescent="0.3">
      <c r="S1331" s="19"/>
    </row>
    <row r="1332" spans="19:19" x14ac:dyDescent="0.3">
      <c r="S1332" s="18"/>
    </row>
    <row r="1333" spans="19:19" x14ac:dyDescent="0.3">
      <c r="S1333" s="19"/>
    </row>
    <row r="1334" spans="19:19" x14ac:dyDescent="0.3">
      <c r="S1334" s="18"/>
    </row>
    <row r="1335" spans="19:19" x14ac:dyDescent="0.3">
      <c r="S1335" s="19"/>
    </row>
    <row r="1336" spans="19:19" x14ac:dyDescent="0.3">
      <c r="S1336" s="18"/>
    </row>
    <row r="1337" spans="19:19" x14ac:dyDescent="0.3">
      <c r="S1337" s="19"/>
    </row>
    <row r="1338" spans="19:19" x14ac:dyDescent="0.3">
      <c r="S1338" s="18"/>
    </row>
    <row r="1339" spans="19:19" x14ac:dyDescent="0.3">
      <c r="S1339" s="19"/>
    </row>
    <row r="1340" spans="19:19" x14ac:dyDescent="0.3">
      <c r="S1340" s="18"/>
    </row>
    <row r="1341" spans="19:19" x14ac:dyDescent="0.3">
      <c r="S1341" s="19"/>
    </row>
    <row r="1342" spans="19:19" x14ac:dyDescent="0.3">
      <c r="S1342" s="18"/>
    </row>
    <row r="1343" spans="19:19" x14ac:dyDescent="0.3">
      <c r="S1343" s="19"/>
    </row>
    <row r="1344" spans="19:19" x14ac:dyDescent="0.3">
      <c r="S1344" s="18"/>
    </row>
    <row r="1345" spans="19:19" x14ac:dyDescent="0.3">
      <c r="S1345" s="19"/>
    </row>
    <row r="1346" spans="19:19" x14ac:dyDescent="0.3">
      <c r="S1346" s="18"/>
    </row>
    <row r="1347" spans="19:19" x14ac:dyDescent="0.3">
      <c r="S1347" s="19"/>
    </row>
    <row r="1348" spans="19:19" x14ac:dyDescent="0.3">
      <c r="S1348" s="18"/>
    </row>
    <row r="1349" spans="19:19" x14ac:dyDescent="0.3">
      <c r="S1349" s="19"/>
    </row>
    <row r="1350" spans="19:19" x14ac:dyDescent="0.3">
      <c r="S1350" s="18"/>
    </row>
    <row r="1351" spans="19:19" x14ac:dyDescent="0.3">
      <c r="S1351" s="19"/>
    </row>
    <row r="1352" spans="19:19" x14ac:dyDescent="0.3">
      <c r="S1352" s="18"/>
    </row>
    <row r="1353" spans="19:19" x14ac:dyDescent="0.3">
      <c r="S1353" s="19"/>
    </row>
    <row r="1354" spans="19:19" x14ac:dyDescent="0.3">
      <c r="S1354" s="18"/>
    </row>
    <row r="1355" spans="19:19" x14ac:dyDescent="0.3">
      <c r="S1355" s="19"/>
    </row>
    <row r="1356" spans="19:19" x14ac:dyDescent="0.3">
      <c r="S1356" s="18"/>
    </row>
    <row r="1357" spans="19:19" x14ac:dyDescent="0.3">
      <c r="S1357" s="19"/>
    </row>
    <row r="1358" spans="19:19" x14ac:dyDescent="0.3">
      <c r="S1358" s="18"/>
    </row>
    <row r="1359" spans="19:19" x14ac:dyDescent="0.3">
      <c r="S1359" s="19"/>
    </row>
    <row r="1360" spans="19:19" x14ac:dyDescent="0.3">
      <c r="S1360" s="18"/>
    </row>
    <row r="1361" spans="19:19" x14ac:dyDescent="0.3">
      <c r="S1361" s="19"/>
    </row>
    <row r="1362" spans="19:19" x14ac:dyDescent="0.3">
      <c r="S1362" s="18"/>
    </row>
    <row r="1363" spans="19:19" x14ac:dyDescent="0.3">
      <c r="S1363" s="19"/>
    </row>
    <row r="1364" spans="19:19" x14ac:dyDescent="0.3">
      <c r="S1364" s="18"/>
    </row>
    <row r="1365" spans="19:19" x14ac:dyDescent="0.3">
      <c r="S1365" s="19"/>
    </row>
    <row r="1366" spans="19:19" x14ac:dyDescent="0.3">
      <c r="S1366" s="18"/>
    </row>
    <row r="1367" spans="19:19" x14ac:dyDescent="0.3">
      <c r="S1367" s="19"/>
    </row>
    <row r="1368" spans="19:19" x14ac:dyDescent="0.3">
      <c r="S1368" s="18"/>
    </row>
    <row r="1369" spans="19:19" x14ac:dyDescent="0.3">
      <c r="S1369" s="19"/>
    </row>
    <row r="1370" spans="19:19" x14ac:dyDescent="0.3">
      <c r="S1370" s="18"/>
    </row>
    <row r="1371" spans="19:19" x14ac:dyDescent="0.3">
      <c r="S1371" s="19"/>
    </row>
    <row r="1372" spans="19:19" x14ac:dyDescent="0.3">
      <c r="S1372" s="18"/>
    </row>
    <row r="1373" spans="19:19" x14ac:dyDescent="0.3">
      <c r="S1373" s="19"/>
    </row>
    <row r="1374" spans="19:19" x14ac:dyDescent="0.3">
      <c r="S1374" s="18"/>
    </row>
    <row r="1375" spans="19:19" x14ac:dyDescent="0.3">
      <c r="S1375" s="19"/>
    </row>
    <row r="1376" spans="19:19" x14ac:dyDescent="0.3">
      <c r="S1376" s="18"/>
    </row>
    <row r="1377" spans="19:19" x14ac:dyDescent="0.3">
      <c r="S1377" s="19"/>
    </row>
    <row r="1378" spans="19:19" x14ac:dyDescent="0.3">
      <c r="S1378" s="18"/>
    </row>
    <row r="1379" spans="19:19" x14ac:dyDescent="0.3">
      <c r="S1379" s="19"/>
    </row>
    <row r="1380" spans="19:19" x14ac:dyDescent="0.3">
      <c r="S1380" s="18"/>
    </row>
    <row r="1381" spans="19:19" x14ac:dyDescent="0.3">
      <c r="S1381" s="19"/>
    </row>
    <row r="1382" spans="19:19" x14ac:dyDescent="0.3">
      <c r="S1382" s="18"/>
    </row>
    <row r="1383" spans="19:19" x14ac:dyDescent="0.3">
      <c r="S1383" s="19"/>
    </row>
    <row r="1384" spans="19:19" x14ac:dyDescent="0.3">
      <c r="S1384" s="18"/>
    </row>
    <row r="1385" spans="19:19" x14ac:dyDescent="0.3">
      <c r="S1385" s="19"/>
    </row>
    <row r="1386" spans="19:19" x14ac:dyDescent="0.3">
      <c r="S1386" s="18"/>
    </row>
    <row r="1387" spans="19:19" x14ac:dyDescent="0.3">
      <c r="S1387" s="19"/>
    </row>
    <row r="1388" spans="19:19" x14ac:dyDescent="0.3">
      <c r="S1388" s="18"/>
    </row>
    <row r="1389" spans="19:19" x14ac:dyDescent="0.3">
      <c r="S1389" s="19"/>
    </row>
    <row r="1390" spans="19:19" x14ac:dyDescent="0.3">
      <c r="S1390" s="18"/>
    </row>
    <row r="1391" spans="19:19" x14ac:dyDescent="0.3">
      <c r="S1391" s="19"/>
    </row>
    <row r="1392" spans="19:19" x14ac:dyDescent="0.3">
      <c r="S1392" s="18"/>
    </row>
    <row r="1393" spans="19:19" x14ac:dyDescent="0.3">
      <c r="S1393" s="19"/>
    </row>
    <row r="1394" spans="19:19" x14ac:dyDescent="0.3">
      <c r="S1394" s="18"/>
    </row>
    <row r="1395" spans="19:19" x14ac:dyDescent="0.3">
      <c r="S1395" s="19"/>
    </row>
    <row r="1396" spans="19:19" x14ac:dyDescent="0.3">
      <c r="S1396" s="18"/>
    </row>
    <row r="1397" spans="19:19" x14ac:dyDescent="0.3">
      <c r="S1397" s="19"/>
    </row>
    <row r="1398" spans="19:19" x14ac:dyDescent="0.3">
      <c r="S1398" s="18"/>
    </row>
    <row r="1399" spans="19:19" x14ac:dyDescent="0.3">
      <c r="S1399" s="19"/>
    </row>
    <row r="1400" spans="19:19" x14ac:dyDescent="0.3">
      <c r="S1400" s="18"/>
    </row>
    <row r="1401" spans="19:19" x14ac:dyDescent="0.3">
      <c r="S1401" s="19"/>
    </row>
    <row r="1402" spans="19:19" x14ac:dyDescent="0.3">
      <c r="S1402" s="18"/>
    </row>
    <row r="1403" spans="19:19" x14ac:dyDescent="0.3">
      <c r="S1403" s="19"/>
    </row>
    <row r="1404" spans="19:19" x14ac:dyDescent="0.3">
      <c r="S1404" s="18"/>
    </row>
    <row r="1405" spans="19:19" x14ac:dyDescent="0.3">
      <c r="S1405" s="19"/>
    </row>
    <row r="1406" spans="19:19" x14ac:dyDescent="0.3">
      <c r="S1406" s="18"/>
    </row>
    <row r="1407" spans="19:19" x14ac:dyDescent="0.3">
      <c r="S1407" s="19"/>
    </row>
    <row r="1408" spans="19:19" x14ac:dyDescent="0.3">
      <c r="S1408" s="18"/>
    </row>
    <row r="1409" spans="19:19" x14ac:dyDescent="0.3">
      <c r="S1409" s="19"/>
    </row>
    <row r="1410" spans="19:19" x14ac:dyDescent="0.3">
      <c r="S1410" s="18"/>
    </row>
    <row r="1411" spans="19:19" x14ac:dyDescent="0.3">
      <c r="S1411" s="19"/>
    </row>
    <row r="1412" spans="19:19" x14ac:dyDescent="0.3">
      <c r="S1412" s="18"/>
    </row>
    <row r="1413" spans="19:19" x14ac:dyDescent="0.3">
      <c r="S1413" s="19"/>
    </row>
    <row r="1414" spans="19:19" x14ac:dyDescent="0.3">
      <c r="S1414" s="18"/>
    </row>
    <row r="1415" spans="19:19" x14ac:dyDescent="0.3">
      <c r="S1415" s="19"/>
    </row>
    <row r="1416" spans="19:19" x14ac:dyDescent="0.3">
      <c r="S1416" s="18"/>
    </row>
    <row r="1417" spans="19:19" x14ac:dyDescent="0.3">
      <c r="S1417" s="19"/>
    </row>
    <row r="1418" spans="19:19" x14ac:dyDescent="0.3">
      <c r="S1418" s="18"/>
    </row>
    <row r="1419" spans="19:19" x14ac:dyDescent="0.3">
      <c r="S1419" s="19"/>
    </row>
    <row r="1420" spans="19:19" x14ac:dyDescent="0.3">
      <c r="S1420" s="18"/>
    </row>
    <row r="1421" spans="19:19" x14ac:dyDescent="0.3">
      <c r="S1421" s="19"/>
    </row>
    <row r="1422" spans="19:19" x14ac:dyDescent="0.3">
      <c r="S1422" s="18"/>
    </row>
    <row r="1423" spans="19:19" x14ac:dyDescent="0.3">
      <c r="S1423" s="19"/>
    </row>
    <row r="1424" spans="19:19" x14ac:dyDescent="0.3">
      <c r="S1424" s="18"/>
    </row>
    <row r="1425" spans="19:19" x14ac:dyDescent="0.3">
      <c r="S1425" s="19"/>
    </row>
    <row r="1426" spans="19:19" x14ac:dyDescent="0.3">
      <c r="S1426" s="18"/>
    </row>
    <row r="1427" spans="19:19" x14ac:dyDescent="0.3">
      <c r="S1427" s="19"/>
    </row>
    <row r="1428" spans="19:19" x14ac:dyDescent="0.3">
      <c r="S1428" s="18"/>
    </row>
    <row r="1429" spans="19:19" x14ac:dyDescent="0.3">
      <c r="S1429" s="19"/>
    </row>
    <row r="1430" spans="19:19" x14ac:dyDescent="0.3">
      <c r="S1430" s="18"/>
    </row>
    <row r="1431" spans="19:19" x14ac:dyDescent="0.3">
      <c r="S1431" s="19"/>
    </row>
    <row r="1432" spans="19:19" x14ac:dyDescent="0.3">
      <c r="S1432" s="18"/>
    </row>
    <row r="1433" spans="19:19" x14ac:dyDescent="0.3">
      <c r="S1433" s="19"/>
    </row>
    <row r="1434" spans="19:19" x14ac:dyDescent="0.3">
      <c r="S1434" s="18"/>
    </row>
    <row r="1435" spans="19:19" x14ac:dyDescent="0.3">
      <c r="S1435" s="19"/>
    </row>
    <row r="1436" spans="19:19" x14ac:dyDescent="0.3">
      <c r="S1436" s="18"/>
    </row>
    <row r="1437" spans="19:19" x14ac:dyDescent="0.3">
      <c r="S1437" s="19"/>
    </row>
    <row r="1438" spans="19:19" x14ac:dyDescent="0.3">
      <c r="S1438" s="18"/>
    </row>
    <row r="1439" spans="19:19" x14ac:dyDescent="0.3">
      <c r="S1439" s="19"/>
    </row>
    <row r="1440" spans="19:19" x14ac:dyDescent="0.3">
      <c r="S1440" s="18"/>
    </row>
    <row r="1441" spans="19:19" x14ac:dyDescent="0.3">
      <c r="S1441" s="19"/>
    </row>
    <row r="1442" spans="19:19" x14ac:dyDescent="0.3">
      <c r="S1442" s="18"/>
    </row>
    <row r="1443" spans="19:19" x14ac:dyDescent="0.3">
      <c r="S1443" s="19"/>
    </row>
    <row r="1444" spans="19:19" x14ac:dyDescent="0.3">
      <c r="S1444" s="18"/>
    </row>
    <row r="1445" spans="19:19" x14ac:dyDescent="0.3">
      <c r="S1445" s="19"/>
    </row>
    <row r="1446" spans="19:19" x14ac:dyDescent="0.3">
      <c r="S1446" s="18"/>
    </row>
    <row r="1447" spans="19:19" x14ac:dyDescent="0.3">
      <c r="S1447" s="19"/>
    </row>
    <row r="1448" spans="19:19" x14ac:dyDescent="0.3">
      <c r="S1448" s="18"/>
    </row>
    <row r="1449" spans="19:19" x14ac:dyDescent="0.3">
      <c r="S1449" s="19"/>
    </row>
    <row r="1450" spans="19:19" x14ac:dyDescent="0.3">
      <c r="S1450" s="18"/>
    </row>
    <row r="1451" spans="19:19" x14ac:dyDescent="0.3">
      <c r="S1451" s="19"/>
    </row>
    <row r="1452" spans="19:19" x14ac:dyDescent="0.3">
      <c r="S1452" s="18"/>
    </row>
    <row r="1453" spans="19:19" x14ac:dyDescent="0.3">
      <c r="S1453" s="19"/>
    </row>
    <row r="1454" spans="19:19" x14ac:dyDescent="0.3">
      <c r="S1454" s="18"/>
    </row>
    <row r="1455" spans="19:19" x14ac:dyDescent="0.3">
      <c r="S1455" s="19"/>
    </row>
    <row r="1456" spans="19:19" x14ac:dyDescent="0.3">
      <c r="S1456" s="18"/>
    </row>
    <row r="1457" spans="19:19" x14ac:dyDescent="0.3">
      <c r="S1457" s="19"/>
    </row>
    <row r="1458" spans="19:19" x14ac:dyDescent="0.3">
      <c r="S1458" s="18"/>
    </row>
    <row r="1459" spans="19:19" x14ac:dyDescent="0.3">
      <c r="S1459" s="19"/>
    </row>
    <row r="1460" spans="19:19" x14ac:dyDescent="0.3">
      <c r="S1460" s="18"/>
    </row>
    <row r="1461" spans="19:19" x14ac:dyDescent="0.3">
      <c r="S1461" s="19"/>
    </row>
    <row r="1462" spans="19:19" x14ac:dyDescent="0.3">
      <c r="S1462" s="18"/>
    </row>
    <row r="1463" spans="19:19" x14ac:dyDescent="0.3">
      <c r="S1463" s="19"/>
    </row>
    <row r="1464" spans="19:19" x14ac:dyDescent="0.3">
      <c r="S1464" s="18"/>
    </row>
    <row r="1465" spans="19:19" x14ac:dyDescent="0.3">
      <c r="S1465" s="19"/>
    </row>
    <row r="1466" spans="19:19" x14ac:dyDescent="0.3">
      <c r="S1466" s="18"/>
    </row>
    <row r="1467" spans="19:19" x14ac:dyDescent="0.3">
      <c r="S1467" s="19"/>
    </row>
    <row r="1468" spans="19:19" x14ac:dyDescent="0.3">
      <c r="S1468" s="18"/>
    </row>
    <row r="1469" spans="19:19" x14ac:dyDescent="0.3">
      <c r="S1469" s="19"/>
    </row>
    <row r="1470" spans="19:19" x14ac:dyDescent="0.3">
      <c r="S1470" s="18"/>
    </row>
    <row r="1471" spans="19:19" x14ac:dyDescent="0.3">
      <c r="S1471" s="19"/>
    </row>
    <row r="1472" spans="19:19" x14ac:dyDescent="0.3">
      <c r="S1472" s="18"/>
    </row>
    <row r="1473" spans="19:19" x14ac:dyDescent="0.3">
      <c r="S1473" s="19"/>
    </row>
    <row r="1474" spans="19:19" x14ac:dyDescent="0.3">
      <c r="S1474" s="18"/>
    </row>
    <row r="1475" spans="19:19" x14ac:dyDescent="0.3">
      <c r="S1475" s="19"/>
    </row>
    <row r="1476" spans="19:19" x14ac:dyDescent="0.3">
      <c r="S1476" s="18"/>
    </row>
    <row r="1477" spans="19:19" x14ac:dyDescent="0.3">
      <c r="S1477" s="19"/>
    </row>
    <row r="1478" spans="19:19" x14ac:dyDescent="0.3">
      <c r="S1478" s="18"/>
    </row>
    <row r="1479" spans="19:19" x14ac:dyDescent="0.3">
      <c r="S1479" s="19"/>
    </row>
    <row r="1480" spans="19:19" x14ac:dyDescent="0.3">
      <c r="S1480" s="18"/>
    </row>
    <row r="1481" spans="19:19" x14ac:dyDescent="0.3">
      <c r="S1481" s="19"/>
    </row>
    <row r="1482" spans="19:19" x14ac:dyDescent="0.3">
      <c r="S1482" s="18"/>
    </row>
    <row r="1483" spans="19:19" x14ac:dyDescent="0.3">
      <c r="S1483" s="19"/>
    </row>
    <row r="1484" spans="19:19" x14ac:dyDescent="0.3">
      <c r="S1484" s="18"/>
    </row>
    <row r="1485" spans="19:19" x14ac:dyDescent="0.3">
      <c r="S1485" s="19"/>
    </row>
    <row r="1486" spans="19:19" x14ac:dyDescent="0.3">
      <c r="S1486" s="18"/>
    </row>
    <row r="1487" spans="19:19" x14ac:dyDescent="0.3">
      <c r="S1487" s="19"/>
    </row>
    <row r="1488" spans="19:19" x14ac:dyDescent="0.3">
      <c r="S1488" s="18"/>
    </row>
    <row r="1489" spans="19:19" x14ac:dyDescent="0.3">
      <c r="S1489" s="19"/>
    </row>
    <row r="1490" spans="19:19" x14ac:dyDescent="0.3">
      <c r="S1490" s="18"/>
    </row>
    <row r="1491" spans="19:19" x14ac:dyDescent="0.3">
      <c r="S1491" s="19"/>
    </row>
    <row r="1492" spans="19:19" x14ac:dyDescent="0.3">
      <c r="S1492" s="18"/>
    </row>
    <row r="1493" spans="19:19" x14ac:dyDescent="0.3">
      <c r="S1493" s="19"/>
    </row>
    <row r="1494" spans="19:19" x14ac:dyDescent="0.3">
      <c r="S1494" s="18"/>
    </row>
    <row r="1495" spans="19:19" x14ac:dyDescent="0.3">
      <c r="S1495" s="19"/>
    </row>
    <row r="1496" spans="19:19" x14ac:dyDescent="0.3">
      <c r="S1496" s="18"/>
    </row>
    <row r="1497" spans="19:19" x14ac:dyDescent="0.3">
      <c r="S1497" s="19"/>
    </row>
    <row r="1498" spans="19:19" x14ac:dyDescent="0.3">
      <c r="S1498" s="18"/>
    </row>
    <row r="1499" spans="19:19" x14ac:dyDescent="0.3">
      <c r="S1499" s="19"/>
    </row>
    <row r="1500" spans="19:19" x14ac:dyDescent="0.3">
      <c r="S1500" s="18"/>
    </row>
    <row r="1501" spans="19:19" x14ac:dyDescent="0.3">
      <c r="S1501" s="19"/>
    </row>
    <row r="1502" spans="19:19" x14ac:dyDescent="0.3">
      <c r="S1502" s="18"/>
    </row>
    <row r="1503" spans="19:19" x14ac:dyDescent="0.3">
      <c r="S1503" s="19"/>
    </row>
    <row r="1504" spans="19:19" x14ac:dyDescent="0.3">
      <c r="S1504" s="18"/>
    </row>
    <row r="1505" spans="19:19" x14ac:dyDescent="0.3">
      <c r="S1505" s="19"/>
    </row>
    <row r="1506" spans="19:19" x14ac:dyDescent="0.3">
      <c r="S1506" s="18"/>
    </row>
    <row r="1507" spans="19:19" x14ac:dyDescent="0.3">
      <c r="S1507" s="19"/>
    </row>
    <row r="1508" spans="19:19" x14ac:dyDescent="0.3">
      <c r="S1508" s="18"/>
    </row>
    <row r="1509" spans="19:19" x14ac:dyDescent="0.3">
      <c r="S1509" s="19"/>
    </row>
    <row r="1510" spans="19:19" x14ac:dyDescent="0.3">
      <c r="S1510" s="18"/>
    </row>
    <row r="1511" spans="19:19" x14ac:dyDescent="0.3">
      <c r="S1511" s="19"/>
    </row>
    <row r="1512" spans="19:19" x14ac:dyDescent="0.3">
      <c r="S1512" s="18"/>
    </row>
    <row r="1513" spans="19:19" x14ac:dyDescent="0.3">
      <c r="S1513" s="19"/>
    </row>
    <row r="1514" spans="19:19" x14ac:dyDescent="0.3">
      <c r="S1514" s="18"/>
    </row>
    <row r="1515" spans="19:19" x14ac:dyDescent="0.3">
      <c r="S1515" s="19"/>
    </row>
    <row r="1516" spans="19:19" x14ac:dyDescent="0.3">
      <c r="S1516" s="18"/>
    </row>
    <row r="1517" spans="19:19" x14ac:dyDescent="0.3">
      <c r="S1517" s="19"/>
    </row>
    <row r="1518" spans="19:19" x14ac:dyDescent="0.3">
      <c r="S1518" s="18"/>
    </row>
    <row r="1519" spans="19:19" x14ac:dyDescent="0.3">
      <c r="S1519" s="19"/>
    </row>
    <row r="1520" spans="19:19" x14ac:dyDescent="0.3">
      <c r="S1520" s="18"/>
    </row>
    <row r="1521" spans="19:19" x14ac:dyDescent="0.3">
      <c r="S1521" s="19"/>
    </row>
    <row r="1522" spans="19:19" x14ac:dyDescent="0.3">
      <c r="S1522" s="18"/>
    </row>
    <row r="1523" spans="19:19" x14ac:dyDescent="0.3">
      <c r="S1523" s="19"/>
    </row>
    <row r="1524" spans="19:19" x14ac:dyDescent="0.3">
      <c r="S1524" s="18"/>
    </row>
    <row r="1525" spans="19:19" x14ac:dyDescent="0.3">
      <c r="S1525" s="19"/>
    </row>
    <row r="1526" spans="19:19" x14ac:dyDescent="0.3">
      <c r="S1526" s="18"/>
    </row>
    <row r="1527" spans="19:19" x14ac:dyDescent="0.3">
      <c r="S1527" s="19"/>
    </row>
    <row r="1528" spans="19:19" x14ac:dyDescent="0.3">
      <c r="S1528" s="18"/>
    </row>
    <row r="1529" spans="19:19" x14ac:dyDescent="0.3">
      <c r="S1529" s="19"/>
    </row>
    <row r="1530" spans="19:19" x14ac:dyDescent="0.3">
      <c r="S1530" s="18"/>
    </row>
    <row r="1531" spans="19:19" x14ac:dyDescent="0.3">
      <c r="S1531" s="19"/>
    </row>
    <row r="1532" spans="19:19" x14ac:dyDescent="0.3">
      <c r="S1532" s="18"/>
    </row>
    <row r="1533" spans="19:19" x14ac:dyDescent="0.3">
      <c r="S1533" s="19"/>
    </row>
    <row r="1534" spans="19:19" x14ac:dyDescent="0.3">
      <c r="S1534" s="18"/>
    </row>
    <row r="1535" spans="19:19" x14ac:dyDescent="0.3">
      <c r="S1535" s="19"/>
    </row>
    <row r="1536" spans="19:19" x14ac:dyDescent="0.3">
      <c r="S1536" s="18"/>
    </row>
    <row r="1537" spans="19:19" x14ac:dyDescent="0.3">
      <c r="S1537" s="19"/>
    </row>
    <row r="1538" spans="19:19" x14ac:dyDescent="0.3">
      <c r="S1538" s="18"/>
    </row>
    <row r="1539" spans="19:19" x14ac:dyDescent="0.3">
      <c r="S1539" s="19"/>
    </row>
    <row r="1540" spans="19:19" x14ac:dyDescent="0.3">
      <c r="S1540" s="18"/>
    </row>
    <row r="1541" spans="19:19" x14ac:dyDescent="0.3">
      <c r="S1541" s="19"/>
    </row>
    <row r="1542" spans="19:19" x14ac:dyDescent="0.3">
      <c r="S1542" s="18"/>
    </row>
    <row r="1543" spans="19:19" x14ac:dyDescent="0.3">
      <c r="S1543" s="19"/>
    </row>
    <row r="1544" spans="19:19" x14ac:dyDescent="0.3">
      <c r="S1544" s="18"/>
    </row>
    <row r="1545" spans="19:19" x14ac:dyDescent="0.3">
      <c r="S1545" s="19"/>
    </row>
    <row r="1546" spans="19:19" x14ac:dyDescent="0.3">
      <c r="S1546" s="18"/>
    </row>
    <row r="1547" spans="19:19" x14ac:dyDescent="0.3">
      <c r="S1547" s="19"/>
    </row>
    <row r="1548" spans="19:19" x14ac:dyDescent="0.3">
      <c r="S1548" s="18"/>
    </row>
    <row r="1549" spans="19:19" x14ac:dyDescent="0.3">
      <c r="S1549" s="19"/>
    </row>
    <row r="1550" spans="19:19" x14ac:dyDescent="0.3">
      <c r="S1550" s="18"/>
    </row>
    <row r="1551" spans="19:19" x14ac:dyDescent="0.3">
      <c r="S1551" s="19"/>
    </row>
    <row r="1552" spans="19:19" x14ac:dyDescent="0.3">
      <c r="S1552" s="18"/>
    </row>
    <row r="1553" spans="19:19" x14ac:dyDescent="0.3">
      <c r="S1553" s="19"/>
    </row>
    <row r="1554" spans="19:19" x14ac:dyDescent="0.3">
      <c r="S1554" s="18"/>
    </row>
    <row r="1555" spans="19:19" x14ac:dyDescent="0.3">
      <c r="S1555" s="19"/>
    </row>
    <row r="1556" spans="19:19" x14ac:dyDescent="0.3">
      <c r="S1556" s="18"/>
    </row>
    <row r="1557" spans="19:19" x14ac:dyDescent="0.3">
      <c r="S1557" s="19"/>
    </row>
    <row r="1558" spans="19:19" x14ac:dyDescent="0.3">
      <c r="S1558" s="18"/>
    </row>
    <row r="1559" spans="19:19" x14ac:dyDescent="0.3">
      <c r="S1559" s="19"/>
    </row>
    <row r="1560" spans="19:19" x14ac:dyDescent="0.3">
      <c r="S1560" s="18"/>
    </row>
    <row r="1561" spans="19:19" x14ac:dyDescent="0.3">
      <c r="S1561" s="19"/>
    </row>
    <row r="1562" spans="19:19" x14ac:dyDescent="0.3">
      <c r="S1562" s="18"/>
    </row>
    <row r="1563" spans="19:19" x14ac:dyDescent="0.3">
      <c r="S1563" s="19"/>
    </row>
    <row r="1564" spans="19:19" x14ac:dyDescent="0.3">
      <c r="S1564" s="18"/>
    </row>
    <row r="1565" spans="19:19" x14ac:dyDescent="0.3">
      <c r="S1565" s="19"/>
    </row>
    <row r="1566" spans="19:19" x14ac:dyDescent="0.3">
      <c r="S1566" s="18"/>
    </row>
    <row r="1567" spans="19:19" x14ac:dyDescent="0.3">
      <c r="S1567" s="19"/>
    </row>
    <row r="1568" spans="19:19" x14ac:dyDescent="0.3">
      <c r="S1568" s="18"/>
    </row>
    <row r="1569" spans="19:19" x14ac:dyDescent="0.3">
      <c r="S1569" s="19"/>
    </row>
    <row r="1570" spans="19:19" x14ac:dyDescent="0.3">
      <c r="S1570" s="18"/>
    </row>
    <row r="1571" spans="19:19" x14ac:dyDescent="0.3">
      <c r="S1571" s="19"/>
    </row>
    <row r="1572" spans="19:19" x14ac:dyDescent="0.3">
      <c r="S1572" s="18"/>
    </row>
    <row r="1573" spans="19:19" x14ac:dyDescent="0.3">
      <c r="S1573" s="19"/>
    </row>
    <row r="1574" spans="19:19" x14ac:dyDescent="0.3">
      <c r="S1574" s="18"/>
    </row>
    <row r="1575" spans="19:19" x14ac:dyDescent="0.3">
      <c r="S1575" s="19"/>
    </row>
    <row r="1576" spans="19:19" x14ac:dyDescent="0.3">
      <c r="S1576" s="18"/>
    </row>
    <row r="1577" spans="19:19" x14ac:dyDescent="0.3">
      <c r="S1577" s="19"/>
    </row>
    <row r="1578" spans="19:19" x14ac:dyDescent="0.3">
      <c r="S1578" s="18"/>
    </row>
    <row r="1579" spans="19:19" x14ac:dyDescent="0.3">
      <c r="S1579" s="19"/>
    </row>
    <row r="1580" spans="19:19" x14ac:dyDescent="0.3">
      <c r="S1580" s="18"/>
    </row>
    <row r="1581" spans="19:19" x14ac:dyDescent="0.3">
      <c r="S1581" s="19"/>
    </row>
    <row r="1582" spans="19:19" x14ac:dyDescent="0.3">
      <c r="S1582" s="18"/>
    </row>
    <row r="1583" spans="19:19" x14ac:dyDescent="0.3">
      <c r="S1583" s="19"/>
    </row>
    <row r="1584" spans="19:19" x14ac:dyDescent="0.3">
      <c r="S1584" s="18"/>
    </row>
    <row r="1585" spans="19:19" x14ac:dyDescent="0.3">
      <c r="S1585" s="19"/>
    </row>
    <row r="1586" spans="19:19" x14ac:dyDescent="0.3">
      <c r="S1586" s="18"/>
    </row>
    <row r="1587" spans="19:19" x14ac:dyDescent="0.3">
      <c r="S1587" s="19"/>
    </row>
    <row r="1588" spans="19:19" x14ac:dyDescent="0.3">
      <c r="S1588" s="18"/>
    </row>
    <row r="1589" spans="19:19" x14ac:dyDescent="0.3">
      <c r="S1589" s="19"/>
    </row>
    <row r="1590" spans="19:19" x14ac:dyDescent="0.3">
      <c r="S1590" s="18"/>
    </row>
    <row r="1591" spans="19:19" x14ac:dyDescent="0.3">
      <c r="S1591" s="19"/>
    </row>
    <row r="1592" spans="19:19" x14ac:dyDescent="0.3">
      <c r="S1592" s="18"/>
    </row>
    <row r="1593" spans="19:19" x14ac:dyDescent="0.3">
      <c r="S1593" s="19"/>
    </row>
    <row r="1594" spans="19:19" x14ac:dyDescent="0.3">
      <c r="S1594" s="18"/>
    </row>
    <row r="1595" spans="19:19" x14ac:dyDescent="0.3">
      <c r="S1595" s="19"/>
    </row>
    <row r="1596" spans="19:19" x14ac:dyDescent="0.3">
      <c r="S1596" s="18"/>
    </row>
    <row r="1597" spans="19:19" x14ac:dyDescent="0.3">
      <c r="S1597" s="19"/>
    </row>
    <row r="1598" spans="19:19" x14ac:dyDescent="0.3">
      <c r="S1598" s="18"/>
    </row>
    <row r="1599" spans="19:19" x14ac:dyDescent="0.3">
      <c r="S1599" s="19"/>
    </row>
    <row r="1600" spans="19:19" x14ac:dyDescent="0.3">
      <c r="S1600" s="18"/>
    </row>
    <row r="1601" spans="19:19" x14ac:dyDescent="0.3">
      <c r="S1601" s="19"/>
    </row>
    <row r="1602" spans="19:19" x14ac:dyDescent="0.3">
      <c r="S1602" s="18"/>
    </row>
    <row r="1603" spans="19:19" x14ac:dyDescent="0.3">
      <c r="S1603" s="19"/>
    </row>
    <row r="1604" spans="19:19" x14ac:dyDescent="0.3">
      <c r="S1604" s="18"/>
    </row>
    <row r="1605" spans="19:19" x14ac:dyDescent="0.3">
      <c r="S1605" s="19"/>
    </row>
    <row r="1606" spans="19:19" x14ac:dyDescent="0.3">
      <c r="S1606" s="18"/>
    </row>
    <row r="1607" spans="19:19" x14ac:dyDescent="0.3">
      <c r="S1607" s="19"/>
    </row>
    <row r="1608" spans="19:19" x14ac:dyDescent="0.3">
      <c r="S1608" s="18"/>
    </row>
    <row r="1609" spans="19:19" x14ac:dyDescent="0.3">
      <c r="S1609" s="19"/>
    </row>
    <row r="1610" spans="19:19" x14ac:dyDescent="0.3">
      <c r="S1610" s="18"/>
    </row>
    <row r="1611" spans="19:19" x14ac:dyDescent="0.3">
      <c r="S1611" s="19"/>
    </row>
    <row r="1612" spans="19:19" x14ac:dyDescent="0.3">
      <c r="S1612" s="18"/>
    </row>
    <row r="1613" spans="19:19" x14ac:dyDescent="0.3">
      <c r="S1613" s="19"/>
    </row>
    <row r="1614" spans="19:19" x14ac:dyDescent="0.3">
      <c r="S1614" s="18"/>
    </row>
    <row r="1615" spans="19:19" x14ac:dyDescent="0.3">
      <c r="S1615" s="19"/>
    </row>
    <row r="1616" spans="19:19" x14ac:dyDescent="0.3">
      <c r="S1616" s="18"/>
    </row>
    <row r="1617" spans="19:19" x14ac:dyDescent="0.3">
      <c r="S1617" s="19"/>
    </row>
    <row r="1618" spans="19:19" x14ac:dyDescent="0.3">
      <c r="S1618" s="18"/>
    </row>
    <row r="1619" spans="19:19" x14ac:dyDescent="0.3">
      <c r="S1619" s="19"/>
    </row>
    <row r="1620" spans="19:19" x14ac:dyDescent="0.3">
      <c r="S1620" s="18"/>
    </row>
    <row r="1621" spans="19:19" x14ac:dyDescent="0.3">
      <c r="S1621" s="19"/>
    </row>
    <row r="1622" spans="19:19" x14ac:dyDescent="0.3">
      <c r="S1622" s="18"/>
    </row>
    <row r="1623" spans="19:19" x14ac:dyDescent="0.3">
      <c r="S1623" s="19"/>
    </row>
    <row r="1624" spans="19:19" x14ac:dyDescent="0.3">
      <c r="S1624" s="18"/>
    </row>
    <row r="1625" spans="19:19" x14ac:dyDescent="0.3">
      <c r="S1625" s="19"/>
    </row>
    <row r="1626" spans="19:19" x14ac:dyDescent="0.3">
      <c r="S1626" s="18"/>
    </row>
    <row r="1627" spans="19:19" x14ac:dyDescent="0.3">
      <c r="S1627" s="19"/>
    </row>
    <row r="1628" spans="19:19" x14ac:dyDescent="0.3">
      <c r="S1628" s="18"/>
    </row>
    <row r="1629" spans="19:19" x14ac:dyDescent="0.3">
      <c r="S1629" s="19"/>
    </row>
    <row r="1630" spans="19:19" x14ac:dyDescent="0.3">
      <c r="S1630" s="18"/>
    </row>
    <row r="1631" spans="19:19" x14ac:dyDescent="0.3">
      <c r="S1631" s="19"/>
    </row>
    <row r="1632" spans="19:19" x14ac:dyDescent="0.3">
      <c r="S1632" s="18"/>
    </row>
    <row r="1633" spans="19:19" x14ac:dyDescent="0.3">
      <c r="S1633" s="19"/>
    </row>
    <row r="1634" spans="19:19" x14ac:dyDescent="0.3">
      <c r="S1634" s="18"/>
    </row>
    <row r="1635" spans="19:19" x14ac:dyDescent="0.3">
      <c r="S1635" s="19"/>
    </row>
    <row r="1636" spans="19:19" x14ac:dyDescent="0.3">
      <c r="S1636" s="18"/>
    </row>
    <row r="1637" spans="19:19" x14ac:dyDescent="0.3">
      <c r="S1637" s="19"/>
    </row>
    <row r="1638" spans="19:19" x14ac:dyDescent="0.3">
      <c r="S1638" s="18"/>
    </row>
    <row r="1639" spans="19:19" x14ac:dyDescent="0.3">
      <c r="S1639" s="19"/>
    </row>
    <row r="1640" spans="19:19" x14ac:dyDescent="0.3">
      <c r="S1640" s="18"/>
    </row>
    <row r="1641" spans="19:19" x14ac:dyDescent="0.3">
      <c r="S1641" s="19"/>
    </row>
    <row r="1642" spans="19:19" x14ac:dyDescent="0.3">
      <c r="S1642" s="18"/>
    </row>
    <row r="1643" spans="19:19" x14ac:dyDescent="0.3">
      <c r="S1643" s="19"/>
    </row>
    <row r="1644" spans="19:19" x14ac:dyDescent="0.3">
      <c r="S1644" s="18"/>
    </row>
    <row r="1645" spans="19:19" x14ac:dyDescent="0.3">
      <c r="S1645" s="19"/>
    </row>
    <row r="1646" spans="19:19" x14ac:dyDescent="0.3">
      <c r="S1646" s="18"/>
    </row>
    <row r="1647" spans="19:19" x14ac:dyDescent="0.3">
      <c r="S1647" s="19"/>
    </row>
    <row r="1648" spans="19:19" x14ac:dyDescent="0.3">
      <c r="S1648" s="18"/>
    </row>
    <row r="1649" spans="19:19" x14ac:dyDescent="0.3">
      <c r="S1649" s="19"/>
    </row>
    <row r="1650" spans="19:19" x14ac:dyDescent="0.3">
      <c r="S1650" s="18"/>
    </row>
    <row r="1651" spans="19:19" x14ac:dyDescent="0.3">
      <c r="S1651" s="19"/>
    </row>
    <row r="1652" spans="19:19" x14ac:dyDescent="0.3">
      <c r="S1652" s="18"/>
    </row>
    <row r="1653" spans="19:19" x14ac:dyDescent="0.3">
      <c r="S1653" s="19"/>
    </row>
    <row r="1654" spans="19:19" x14ac:dyDescent="0.3">
      <c r="S1654" s="18"/>
    </row>
    <row r="1655" spans="19:19" x14ac:dyDescent="0.3">
      <c r="S1655" s="19"/>
    </row>
    <row r="1656" spans="19:19" x14ac:dyDescent="0.3">
      <c r="S1656" s="18"/>
    </row>
    <row r="1657" spans="19:19" x14ac:dyDescent="0.3">
      <c r="S1657" s="19"/>
    </row>
    <row r="1658" spans="19:19" x14ac:dyDescent="0.3">
      <c r="S1658" s="18"/>
    </row>
    <row r="1659" spans="19:19" x14ac:dyDescent="0.3">
      <c r="S1659" s="19"/>
    </row>
    <row r="1660" spans="19:19" x14ac:dyDescent="0.3">
      <c r="S1660" s="18"/>
    </row>
    <row r="1661" spans="19:19" x14ac:dyDescent="0.3">
      <c r="S1661" s="19"/>
    </row>
    <row r="1662" spans="19:19" x14ac:dyDescent="0.3">
      <c r="S1662" s="18"/>
    </row>
    <row r="1663" spans="19:19" x14ac:dyDescent="0.3">
      <c r="S1663" s="19"/>
    </row>
    <row r="1664" spans="19:19" x14ac:dyDescent="0.3">
      <c r="S1664" s="18"/>
    </row>
    <row r="1665" spans="19:19" x14ac:dyDescent="0.3">
      <c r="S1665" s="19"/>
    </row>
    <row r="1666" spans="19:19" x14ac:dyDescent="0.3">
      <c r="S1666" s="18"/>
    </row>
    <row r="1667" spans="19:19" x14ac:dyDescent="0.3">
      <c r="S1667" s="19"/>
    </row>
    <row r="1668" spans="19:19" x14ac:dyDescent="0.3">
      <c r="S1668" s="18"/>
    </row>
    <row r="1669" spans="19:19" x14ac:dyDescent="0.3">
      <c r="S1669" s="19"/>
    </row>
    <row r="1670" spans="19:19" x14ac:dyDescent="0.3">
      <c r="S1670" s="18"/>
    </row>
    <row r="1671" spans="19:19" x14ac:dyDescent="0.3">
      <c r="S1671" s="19"/>
    </row>
    <row r="1672" spans="19:19" x14ac:dyDescent="0.3">
      <c r="S1672" s="18"/>
    </row>
    <row r="1673" spans="19:19" x14ac:dyDescent="0.3">
      <c r="S1673" s="19"/>
    </row>
    <row r="1674" spans="19:19" x14ac:dyDescent="0.3">
      <c r="S1674" s="18"/>
    </row>
    <row r="1675" spans="19:19" x14ac:dyDescent="0.3">
      <c r="S1675" s="19"/>
    </row>
    <row r="1676" spans="19:19" x14ac:dyDescent="0.3">
      <c r="S1676" s="18"/>
    </row>
    <row r="1677" spans="19:19" x14ac:dyDescent="0.3">
      <c r="S1677" s="19"/>
    </row>
    <row r="1678" spans="19:19" x14ac:dyDescent="0.3">
      <c r="S1678" s="18"/>
    </row>
    <row r="1679" spans="19:19" x14ac:dyDescent="0.3">
      <c r="S1679" s="19"/>
    </row>
    <row r="1680" spans="19:19" x14ac:dyDescent="0.3">
      <c r="S1680" s="18"/>
    </row>
    <row r="1681" spans="19:19" x14ac:dyDescent="0.3">
      <c r="S1681" s="19"/>
    </row>
    <row r="1682" spans="19:19" x14ac:dyDescent="0.3">
      <c r="S1682" s="18"/>
    </row>
    <row r="1683" spans="19:19" x14ac:dyDescent="0.3">
      <c r="S1683" s="19"/>
    </row>
    <row r="1684" spans="19:19" x14ac:dyDescent="0.3">
      <c r="S1684" s="18"/>
    </row>
    <row r="1685" spans="19:19" x14ac:dyDescent="0.3">
      <c r="S1685" s="19"/>
    </row>
    <row r="1686" spans="19:19" x14ac:dyDescent="0.3">
      <c r="S1686" s="18"/>
    </row>
    <row r="1687" spans="19:19" x14ac:dyDescent="0.3">
      <c r="S1687" s="19"/>
    </row>
    <row r="1688" spans="19:19" x14ac:dyDescent="0.3">
      <c r="S1688" s="18"/>
    </row>
    <row r="1689" spans="19:19" x14ac:dyDescent="0.3">
      <c r="S1689" s="19"/>
    </row>
    <row r="1690" spans="19:19" x14ac:dyDescent="0.3">
      <c r="S1690" s="18"/>
    </row>
    <row r="1691" spans="19:19" x14ac:dyDescent="0.3">
      <c r="S1691" s="19"/>
    </row>
    <row r="1692" spans="19:19" x14ac:dyDescent="0.3">
      <c r="S1692" s="18"/>
    </row>
    <row r="1693" spans="19:19" x14ac:dyDescent="0.3">
      <c r="S1693" s="19"/>
    </row>
    <row r="1694" spans="19:19" x14ac:dyDescent="0.3">
      <c r="S1694" s="18"/>
    </row>
    <row r="1695" spans="19:19" x14ac:dyDescent="0.3">
      <c r="S1695" s="19"/>
    </row>
    <row r="1696" spans="19:19" x14ac:dyDescent="0.3">
      <c r="S1696" s="18"/>
    </row>
    <row r="1697" spans="19:19" x14ac:dyDescent="0.3">
      <c r="S1697" s="19"/>
    </row>
    <row r="1698" spans="19:19" x14ac:dyDescent="0.3">
      <c r="S1698" s="18"/>
    </row>
    <row r="1699" spans="19:19" x14ac:dyDescent="0.3">
      <c r="S1699" s="19"/>
    </row>
    <row r="1700" spans="19:19" x14ac:dyDescent="0.3">
      <c r="S1700" s="18"/>
    </row>
    <row r="1701" spans="19:19" x14ac:dyDescent="0.3">
      <c r="S1701" s="19"/>
    </row>
    <row r="1702" spans="19:19" x14ac:dyDescent="0.3">
      <c r="S1702" s="18"/>
    </row>
    <row r="1703" spans="19:19" x14ac:dyDescent="0.3">
      <c r="S1703" s="19"/>
    </row>
    <row r="1704" spans="19:19" x14ac:dyDescent="0.3">
      <c r="S1704" s="18"/>
    </row>
    <row r="1705" spans="19:19" x14ac:dyDescent="0.3">
      <c r="S1705" s="19"/>
    </row>
    <row r="1706" spans="19:19" x14ac:dyDescent="0.3">
      <c r="S1706" s="18"/>
    </row>
    <row r="1707" spans="19:19" x14ac:dyDescent="0.3">
      <c r="S1707" s="19"/>
    </row>
    <row r="1708" spans="19:19" x14ac:dyDescent="0.3">
      <c r="S1708" s="18"/>
    </row>
    <row r="1709" spans="19:19" x14ac:dyDescent="0.3">
      <c r="S1709" s="19"/>
    </row>
    <row r="1710" spans="19:19" x14ac:dyDescent="0.3">
      <c r="S1710" s="18"/>
    </row>
    <row r="1711" spans="19:19" x14ac:dyDescent="0.3">
      <c r="S1711" s="19"/>
    </row>
    <row r="1712" spans="19:19" x14ac:dyDescent="0.3">
      <c r="S1712" s="18"/>
    </row>
    <row r="1713" spans="19:19" x14ac:dyDescent="0.3">
      <c r="S1713" s="19"/>
    </row>
    <row r="1714" spans="19:19" x14ac:dyDescent="0.3">
      <c r="S1714" s="18"/>
    </row>
    <row r="1715" spans="19:19" x14ac:dyDescent="0.3">
      <c r="S1715" s="19"/>
    </row>
    <row r="1716" spans="19:19" x14ac:dyDescent="0.3">
      <c r="S1716" s="18"/>
    </row>
    <row r="1717" spans="19:19" x14ac:dyDescent="0.3">
      <c r="S1717" s="19"/>
    </row>
    <row r="1718" spans="19:19" x14ac:dyDescent="0.3">
      <c r="S1718" s="18"/>
    </row>
    <row r="1719" spans="19:19" x14ac:dyDescent="0.3">
      <c r="S1719" s="19"/>
    </row>
    <row r="1720" spans="19:19" x14ac:dyDescent="0.3">
      <c r="S1720" s="18"/>
    </row>
    <row r="1721" spans="19:19" x14ac:dyDescent="0.3">
      <c r="S1721" s="19"/>
    </row>
    <row r="1722" spans="19:19" x14ac:dyDescent="0.3">
      <c r="S1722" s="18"/>
    </row>
    <row r="1723" spans="19:19" x14ac:dyDescent="0.3">
      <c r="S1723" s="19"/>
    </row>
    <row r="1724" spans="19:19" x14ac:dyDescent="0.3">
      <c r="S1724" s="18"/>
    </row>
    <row r="1725" spans="19:19" x14ac:dyDescent="0.3">
      <c r="S1725" s="19"/>
    </row>
    <row r="1726" spans="19:19" x14ac:dyDescent="0.3">
      <c r="S1726" s="18"/>
    </row>
    <row r="1727" spans="19:19" x14ac:dyDescent="0.3">
      <c r="S1727" s="19"/>
    </row>
    <row r="1728" spans="19:19" x14ac:dyDescent="0.3">
      <c r="S1728" s="18"/>
    </row>
    <row r="1729" spans="19:19" x14ac:dyDescent="0.3">
      <c r="S1729" s="19"/>
    </row>
    <row r="1730" spans="19:19" x14ac:dyDescent="0.3">
      <c r="S1730" s="18"/>
    </row>
    <row r="1731" spans="19:19" x14ac:dyDescent="0.3">
      <c r="S1731" s="19"/>
    </row>
    <row r="1732" spans="19:19" x14ac:dyDescent="0.3">
      <c r="S1732" s="18"/>
    </row>
    <row r="1733" spans="19:19" x14ac:dyDescent="0.3">
      <c r="S1733" s="19"/>
    </row>
    <row r="1734" spans="19:19" x14ac:dyDescent="0.3">
      <c r="S1734" s="18"/>
    </row>
    <row r="1735" spans="19:19" x14ac:dyDescent="0.3">
      <c r="S1735" s="19"/>
    </row>
    <row r="1736" spans="19:19" x14ac:dyDescent="0.3">
      <c r="S1736" s="18"/>
    </row>
    <row r="1737" spans="19:19" x14ac:dyDescent="0.3">
      <c r="S1737" s="19"/>
    </row>
    <row r="1738" spans="19:19" x14ac:dyDescent="0.3">
      <c r="S1738" s="18"/>
    </row>
    <row r="1739" spans="19:19" x14ac:dyDescent="0.3">
      <c r="S1739" s="19"/>
    </row>
    <row r="1740" spans="19:19" x14ac:dyDescent="0.3">
      <c r="S1740" s="18"/>
    </row>
    <row r="1741" spans="19:19" x14ac:dyDescent="0.3">
      <c r="S1741" s="19"/>
    </row>
    <row r="1742" spans="19:19" x14ac:dyDescent="0.3">
      <c r="S1742" s="18"/>
    </row>
    <row r="1743" spans="19:19" x14ac:dyDescent="0.3">
      <c r="S1743" s="19"/>
    </row>
    <row r="1744" spans="19:19" x14ac:dyDescent="0.3">
      <c r="S1744" s="18"/>
    </row>
    <row r="1745" spans="19:19" x14ac:dyDescent="0.3">
      <c r="S1745" s="19"/>
    </row>
    <row r="1746" spans="19:19" x14ac:dyDescent="0.3">
      <c r="S1746" s="18"/>
    </row>
    <row r="1747" spans="19:19" x14ac:dyDescent="0.3">
      <c r="S1747" s="19"/>
    </row>
    <row r="1748" spans="19:19" x14ac:dyDescent="0.3">
      <c r="S1748" s="18"/>
    </row>
    <row r="1749" spans="19:19" x14ac:dyDescent="0.3">
      <c r="S1749" s="19"/>
    </row>
    <row r="1750" spans="19:19" x14ac:dyDescent="0.3">
      <c r="S1750" s="18"/>
    </row>
    <row r="1751" spans="19:19" x14ac:dyDescent="0.3">
      <c r="S1751" s="19"/>
    </row>
    <row r="1752" spans="19:19" x14ac:dyDescent="0.3">
      <c r="S1752" s="18"/>
    </row>
    <row r="1753" spans="19:19" x14ac:dyDescent="0.3">
      <c r="S1753" s="19"/>
    </row>
    <row r="1754" spans="19:19" x14ac:dyDescent="0.3">
      <c r="S1754" s="18"/>
    </row>
    <row r="1755" spans="19:19" x14ac:dyDescent="0.3">
      <c r="S1755" s="19"/>
    </row>
    <row r="1756" spans="19:19" x14ac:dyDescent="0.3">
      <c r="S1756" s="18"/>
    </row>
    <row r="1757" spans="19:19" x14ac:dyDescent="0.3">
      <c r="S1757" s="19"/>
    </row>
    <row r="1758" spans="19:19" x14ac:dyDescent="0.3">
      <c r="S1758" s="18"/>
    </row>
    <row r="1759" spans="19:19" x14ac:dyDescent="0.3">
      <c r="S1759" s="19"/>
    </row>
    <row r="1760" spans="19:19" x14ac:dyDescent="0.3">
      <c r="S1760" s="18"/>
    </row>
    <row r="1761" spans="19:19" x14ac:dyDescent="0.3">
      <c r="S1761" s="19"/>
    </row>
    <row r="1762" spans="19:19" x14ac:dyDescent="0.3">
      <c r="S1762" s="18"/>
    </row>
    <row r="1763" spans="19:19" x14ac:dyDescent="0.3">
      <c r="S1763" s="19"/>
    </row>
    <row r="1764" spans="19:19" x14ac:dyDescent="0.3">
      <c r="S1764" s="18"/>
    </row>
    <row r="1765" spans="19:19" x14ac:dyDescent="0.3">
      <c r="S1765" s="19"/>
    </row>
    <row r="1766" spans="19:19" x14ac:dyDescent="0.3">
      <c r="S1766" s="18"/>
    </row>
    <row r="1767" spans="19:19" x14ac:dyDescent="0.3">
      <c r="S1767" s="19"/>
    </row>
    <row r="1768" spans="19:19" x14ac:dyDescent="0.3">
      <c r="S1768" s="18"/>
    </row>
    <row r="1769" spans="19:19" x14ac:dyDescent="0.3">
      <c r="S1769" s="19"/>
    </row>
    <row r="1770" spans="19:19" x14ac:dyDescent="0.3">
      <c r="S1770" s="18"/>
    </row>
    <row r="1771" spans="19:19" x14ac:dyDescent="0.3">
      <c r="S1771" s="19"/>
    </row>
    <row r="1772" spans="19:19" x14ac:dyDescent="0.3">
      <c r="S1772" s="18"/>
    </row>
    <row r="1773" spans="19:19" x14ac:dyDescent="0.3">
      <c r="S1773" s="19"/>
    </row>
    <row r="1774" spans="19:19" x14ac:dyDescent="0.3">
      <c r="S1774" s="18"/>
    </row>
    <row r="1775" spans="19:19" x14ac:dyDescent="0.3">
      <c r="S1775" s="19"/>
    </row>
    <row r="1776" spans="19:19" x14ac:dyDescent="0.3">
      <c r="S1776" s="18"/>
    </row>
    <row r="1777" spans="19:19" x14ac:dyDescent="0.3">
      <c r="S1777" s="19"/>
    </row>
    <row r="1778" spans="19:19" x14ac:dyDescent="0.3">
      <c r="S1778" s="18"/>
    </row>
    <row r="1779" spans="19:19" x14ac:dyDescent="0.3">
      <c r="S1779" s="19"/>
    </row>
    <row r="1780" spans="19:19" x14ac:dyDescent="0.3">
      <c r="S1780" s="18"/>
    </row>
    <row r="1781" spans="19:19" x14ac:dyDescent="0.3">
      <c r="S1781" s="19"/>
    </row>
    <row r="1782" spans="19:19" x14ac:dyDescent="0.3">
      <c r="S1782" s="18"/>
    </row>
    <row r="1783" spans="19:19" x14ac:dyDescent="0.3">
      <c r="S1783" s="19"/>
    </row>
    <row r="1784" spans="19:19" x14ac:dyDescent="0.3">
      <c r="S1784" s="18"/>
    </row>
    <row r="1785" spans="19:19" x14ac:dyDescent="0.3">
      <c r="S1785" s="19"/>
    </row>
    <row r="1786" spans="19:19" x14ac:dyDescent="0.3">
      <c r="S1786" s="18"/>
    </row>
    <row r="1787" spans="19:19" x14ac:dyDescent="0.3">
      <c r="S1787" s="19"/>
    </row>
    <row r="1788" spans="19:19" x14ac:dyDescent="0.3">
      <c r="S1788" s="18"/>
    </row>
    <row r="1789" spans="19:19" x14ac:dyDescent="0.3">
      <c r="S1789" s="19"/>
    </row>
    <row r="1790" spans="19:19" x14ac:dyDescent="0.3">
      <c r="S1790" s="18"/>
    </row>
    <row r="1791" spans="19:19" x14ac:dyDescent="0.3">
      <c r="S1791" s="19"/>
    </row>
    <row r="1792" spans="19:19" x14ac:dyDescent="0.3">
      <c r="S1792" s="18"/>
    </row>
    <row r="1793" spans="19:19" x14ac:dyDescent="0.3">
      <c r="S1793" s="19"/>
    </row>
    <row r="1794" spans="19:19" x14ac:dyDescent="0.3">
      <c r="S1794" s="18"/>
    </row>
    <row r="1795" spans="19:19" x14ac:dyDescent="0.3">
      <c r="S1795" s="19"/>
    </row>
    <row r="1796" spans="19:19" x14ac:dyDescent="0.3">
      <c r="S1796" s="18"/>
    </row>
    <row r="1797" spans="19:19" x14ac:dyDescent="0.3">
      <c r="S1797" s="19"/>
    </row>
    <row r="1798" spans="19:19" x14ac:dyDescent="0.3">
      <c r="S1798" s="18"/>
    </row>
    <row r="1799" spans="19:19" x14ac:dyDescent="0.3">
      <c r="S1799" s="19"/>
    </row>
    <row r="1800" spans="19:19" x14ac:dyDescent="0.3">
      <c r="S1800" s="18"/>
    </row>
    <row r="1801" spans="19:19" x14ac:dyDescent="0.3">
      <c r="S1801" s="19"/>
    </row>
    <row r="1802" spans="19:19" x14ac:dyDescent="0.3">
      <c r="S1802" s="18"/>
    </row>
    <row r="1803" spans="19:19" x14ac:dyDescent="0.3">
      <c r="S1803" s="19"/>
    </row>
    <row r="1804" spans="19:19" x14ac:dyDescent="0.3">
      <c r="S1804" s="18"/>
    </row>
    <row r="1805" spans="19:19" x14ac:dyDescent="0.3">
      <c r="S1805" s="19"/>
    </row>
    <row r="1806" spans="19:19" x14ac:dyDescent="0.3">
      <c r="S1806" s="18"/>
    </row>
    <row r="1807" spans="19:19" x14ac:dyDescent="0.3">
      <c r="S1807" s="19"/>
    </row>
    <row r="1808" spans="19:19" x14ac:dyDescent="0.3">
      <c r="S1808" s="18"/>
    </row>
    <row r="1809" spans="19:19" x14ac:dyDescent="0.3">
      <c r="S1809" s="19"/>
    </row>
    <row r="1810" spans="19:19" x14ac:dyDescent="0.3">
      <c r="S1810" s="18"/>
    </row>
    <row r="1811" spans="19:19" x14ac:dyDescent="0.3">
      <c r="S1811" s="19"/>
    </row>
    <row r="1812" spans="19:19" x14ac:dyDescent="0.3">
      <c r="S1812" s="18"/>
    </row>
    <row r="1813" spans="19:19" x14ac:dyDescent="0.3">
      <c r="S1813" s="19"/>
    </row>
    <row r="1814" spans="19:19" x14ac:dyDescent="0.3">
      <c r="S1814" s="18"/>
    </row>
    <row r="1815" spans="19:19" x14ac:dyDescent="0.3">
      <c r="S1815" s="19"/>
    </row>
    <row r="1816" spans="19:19" x14ac:dyDescent="0.3">
      <c r="S1816" s="18"/>
    </row>
    <row r="1817" spans="19:19" x14ac:dyDescent="0.3">
      <c r="S1817" s="19"/>
    </row>
    <row r="1818" spans="19:19" x14ac:dyDescent="0.3">
      <c r="S1818" s="18"/>
    </row>
    <row r="1819" spans="19:19" x14ac:dyDescent="0.3">
      <c r="S1819" s="19"/>
    </row>
    <row r="1820" spans="19:19" x14ac:dyDescent="0.3">
      <c r="S1820" s="18"/>
    </row>
    <row r="1821" spans="19:19" x14ac:dyDescent="0.3">
      <c r="S1821" s="19"/>
    </row>
    <row r="1822" spans="19:19" x14ac:dyDescent="0.3">
      <c r="S1822" s="18"/>
    </row>
    <row r="1823" spans="19:19" x14ac:dyDescent="0.3">
      <c r="S1823" s="19"/>
    </row>
    <row r="1824" spans="19:19" x14ac:dyDescent="0.3">
      <c r="S1824" s="18"/>
    </row>
    <row r="1825" spans="19:19" x14ac:dyDescent="0.3">
      <c r="S1825" s="19"/>
    </row>
    <row r="1826" spans="19:19" x14ac:dyDescent="0.3">
      <c r="S1826" s="18"/>
    </row>
    <row r="1827" spans="19:19" x14ac:dyDescent="0.3">
      <c r="S1827" s="19"/>
    </row>
    <row r="1828" spans="19:19" x14ac:dyDescent="0.3">
      <c r="S1828" s="18"/>
    </row>
    <row r="1829" spans="19:19" x14ac:dyDescent="0.3">
      <c r="S1829" s="19"/>
    </row>
    <row r="1830" spans="19:19" x14ac:dyDescent="0.3">
      <c r="S1830" s="18"/>
    </row>
    <row r="1831" spans="19:19" x14ac:dyDescent="0.3">
      <c r="S1831" s="19"/>
    </row>
    <row r="1832" spans="19:19" x14ac:dyDescent="0.3">
      <c r="S1832" s="18"/>
    </row>
    <row r="1833" spans="19:19" x14ac:dyDescent="0.3">
      <c r="S1833" s="19"/>
    </row>
    <row r="1834" spans="19:19" x14ac:dyDescent="0.3">
      <c r="S1834" s="18"/>
    </row>
    <row r="1835" spans="19:19" x14ac:dyDescent="0.3">
      <c r="S1835" s="19"/>
    </row>
    <row r="1836" spans="19:19" x14ac:dyDescent="0.3">
      <c r="S1836" s="18"/>
    </row>
    <row r="1837" spans="19:19" x14ac:dyDescent="0.3">
      <c r="S1837" s="19"/>
    </row>
    <row r="1838" spans="19:19" x14ac:dyDescent="0.3">
      <c r="S1838" s="18"/>
    </row>
    <row r="1839" spans="19:19" x14ac:dyDescent="0.3">
      <c r="S1839" s="19"/>
    </row>
    <row r="1840" spans="19:19" x14ac:dyDescent="0.3">
      <c r="S1840" s="18"/>
    </row>
    <row r="1841" spans="19:19" x14ac:dyDescent="0.3">
      <c r="S1841" s="19"/>
    </row>
    <row r="1842" spans="19:19" x14ac:dyDescent="0.3">
      <c r="S1842" s="18"/>
    </row>
    <row r="1843" spans="19:19" x14ac:dyDescent="0.3">
      <c r="S1843" s="19"/>
    </row>
    <row r="1844" spans="19:19" x14ac:dyDescent="0.3">
      <c r="S1844" s="18"/>
    </row>
    <row r="1845" spans="19:19" x14ac:dyDescent="0.3">
      <c r="S1845" s="19"/>
    </row>
    <row r="1846" spans="19:19" x14ac:dyDescent="0.3">
      <c r="S1846" s="18"/>
    </row>
    <row r="1847" spans="19:19" x14ac:dyDescent="0.3">
      <c r="S1847" s="19"/>
    </row>
    <row r="1848" spans="19:19" x14ac:dyDescent="0.3">
      <c r="S1848" s="18"/>
    </row>
    <row r="1849" spans="19:19" x14ac:dyDescent="0.3">
      <c r="S1849" s="19"/>
    </row>
    <row r="1850" spans="19:19" x14ac:dyDescent="0.3">
      <c r="S1850" s="18"/>
    </row>
    <row r="1851" spans="19:19" x14ac:dyDescent="0.3">
      <c r="S1851" s="19"/>
    </row>
    <row r="1852" spans="19:19" x14ac:dyDescent="0.3">
      <c r="S1852" s="18"/>
    </row>
    <row r="1853" spans="19:19" x14ac:dyDescent="0.3">
      <c r="S1853" s="19"/>
    </row>
    <row r="1854" spans="19:19" x14ac:dyDescent="0.3">
      <c r="S1854" s="18"/>
    </row>
    <row r="1855" spans="19:19" x14ac:dyDescent="0.3">
      <c r="S1855" s="19"/>
    </row>
    <row r="1856" spans="19:19" x14ac:dyDescent="0.3">
      <c r="S1856" s="18"/>
    </row>
    <row r="1857" spans="19:19" x14ac:dyDescent="0.3">
      <c r="S1857" s="19"/>
    </row>
    <row r="1858" spans="19:19" x14ac:dyDescent="0.3">
      <c r="S1858" s="18"/>
    </row>
    <row r="1859" spans="19:19" x14ac:dyDescent="0.3">
      <c r="S1859" s="19"/>
    </row>
    <row r="1860" spans="19:19" x14ac:dyDescent="0.3">
      <c r="S1860" s="18"/>
    </row>
    <row r="1861" spans="19:19" x14ac:dyDescent="0.3">
      <c r="S1861" s="19"/>
    </row>
    <row r="1862" spans="19:19" x14ac:dyDescent="0.3">
      <c r="S1862" s="18"/>
    </row>
    <row r="1863" spans="19:19" x14ac:dyDescent="0.3">
      <c r="S1863" s="19"/>
    </row>
    <row r="1864" spans="19:19" x14ac:dyDescent="0.3">
      <c r="S1864" s="18"/>
    </row>
    <row r="1865" spans="19:19" x14ac:dyDescent="0.3">
      <c r="S1865" s="19"/>
    </row>
    <row r="1866" spans="19:19" x14ac:dyDescent="0.3">
      <c r="S1866" s="18"/>
    </row>
    <row r="1867" spans="19:19" x14ac:dyDescent="0.3">
      <c r="S1867" s="19"/>
    </row>
    <row r="1868" spans="19:19" x14ac:dyDescent="0.3">
      <c r="S1868" s="18"/>
    </row>
    <row r="1869" spans="19:19" x14ac:dyDescent="0.3">
      <c r="S1869" s="19"/>
    </row>
    <row r="1870" spans="19:19" x14ac:dyDescent="0.3">
      <c r="S1870" s="18"/>
    </row>
    <row r="1871" spans="19:19" x14ac:dyDescent="0.3">
      <c r="S1871" s="19"/>
    </row>
    <row r="1872" spans="19:19" x14ac:dyDescent="0.3">
      <c r="S1872" s="18"/>
    </row>
    <row r="1873" spans="19:19" x14ac:dyDescent="0.3">
      <c r="S1873" s="19"/>
    </row>
    <row r="1874" spans="19:19" x14ac:dyDescent="0.3">
      <c r="S1874" s="18"/>
    </row>
    <row r="1875" spans="19:19" x14ac:dyDescent="0.3">
      <c r="S1875" s="19"/>
    </row>
    <row r="1876" spans="19:19" x14ac:dyDescent="0.3">
      <c r="S1876" s="18"/>
    </row>
    <row r="1877" spans="19:19" x14ac:dyDescent="0.3">
      <c r="S1877" s="19"/>
    </row>
    <row r="1878" spans="19:19" x14ac:dyDescent="0.3">
      <c r="S1878" s="18"/>
    </row>
    <row r="1879" spans="19:19" x14ac:dyDescent="0.3">
      <c r="S1879" s="19"/>
    </row>
    <row r="1880" spans="19:19" x14ac:dyDescent="0.3">
      <c r="S1880" s="18"/>
    </row>
    <row r="1881" spans="19:19" x14ac:dyDescent="0.3">
      <c r="S1881" s="19"/>
    </row>
    <row r="1882" spans="19:19" x14ac:dyDescent="0.3">
      <c r="S1882" s="18"/>
    </row>
    <row r="1883" spans="19:19" x14ac:dyDescent="0.3">
      <c r="S1883" s="19"/>
    </row>
    <row r="1884" spans="19:19" x14ac:dyDescent="0.3">
      <c r="S1884" s="18"/>
    </row>
    <row r="1885" spans="19:19" x14ac:dyDescent="0.3">
      <c r="S1885" s="19"/>
    </row>
    <row r="1886" spans="19:19" x14ac:dyDescent="0.3">
      <c r="S1886" s="18"/>
    </row>
    <row r="1887" spans="19:19" x14ac:dyDescent="0.3">
      <c r="S1887" s="19"/>
    </row>
    <row r="1888" spans="19:19" x14ac:dyDescent="0.3">
      <c r="S1888" s="18"/>
    </row>
    <row r="1889" spans="19:19" x14ac:dyDescent="0.3">
      <c r="S1889" s="19"/>
    </row>
    <row r="1890" spans="19:19" x14ac:dyDescent="0.3">
      <c r="S1890" s="18"/>
    </row>
    <row r="1891" spans="19:19" x14ac:dyDescent="0.3">
      <c r="S1891" s="19"/>
    </row>
    <row r="1892" spans="19:19" x14ac:dyDescent="0.3">
      <c r="S1892" s="18"/>
    </row>
    <row r="1893" spans="19:19" x14ac:dyDescent="0.3">
      <c r="S1893" s="19"/>
    </row>
    <row r="1894" spans="19:19" x14ac:dyDescent="0.3">
      <c r="S1894" s="18"/>
    </row>
    <row r="1895" spans="19:19" x14ac:dyDescent="0.3">
      <c r="S1895" s="19"/>
    </row>
    <row r="1896" spans="19:19" x14ac:dyDescent="0.3">
      <c r="S1896" s="18"/>
    </row>
    <row r="1897" spans="19:19" x14ac:dyDescent="0.3">
      <c r="S1897" s="19"/>
    </row>
    <row r="1898" spans="19:19" x14ac:dyDescent="0.3">
      <c r="S1898" s="18"/>
    </row>
    <row r="1899" spans="19:19" x14ac:dyDescent="0.3">
      <c r="S1899" s="19"/>
    </row>
    <row r="1900" spans="19:19" x14ac:dyDescent="0.3">
      <c r="S1900" s="18"/>
    </row>
    <row r="1901" spans="19:19" x14ac:dyDescent="0.3">
      <c r="S1901" s="19"/>
    </row>
    <row r="1902" spans="19:19" x14ac:dyDescent="0.3">
      <c r="S1902" s="18"/>
    </row>
    <row r="1903" spans="19:19" x14ac:dyDescent="0.3">
      <c r="S1903" s="19"/>
    </row>
    <row r="1904" spans="19:19" x14ac:dyDescent="0.3">
      <c r="S1904" s="18"/>
    </row>
    <row r="1905" spans="19:19" x14ac:dyDescent="0.3">
      <c r="S1905" s="19"/>
    </row>
    <row r="1906" spans="19:19" x14ac:dyDescent="0.3">
      <c r="S1906" s="18"/>
    </row>
    <row r="1907" spans="19:19" x14ac:dyDescent="0.3">
      <c r="S1907" s="19"/>
    </row>
    <row r="1908" spans="19:19" x14ac:dyDescent="0.3">
      <c r="S1908" s="18"/>
    </row>
    <row r="1909" spans="19:19" x14ac:dyDescent="0.3">
      <c r="S1909" s="19"/>
    </row>
    <row r="1910" spans="19:19" x14ac:dyDescent="0.3">
      <c r="S1910" s="18"/>
    </row>
    <row r="1911" spans="19:19" x14ac:dyDescent="0.3">
      <c r="S1911" s="19"/>
    </row>
    <row r="1912" spans="19:19" x14ac:dyDescent="0.3">
      <c r="S1912" s="18"/>
    </row>
    <row r="1913" spans="19:19" x14ac:dyDescent="0.3">
      <c r="S1913" s="19"/>
    </row>
    <row r="1914" spans="19:19" x14ac:dyDescent="0.3">
      <c r="S1914" s="18"/>
    </row>
    <row r="1915" spans="19:19" x14ac:dyDescent="0.3">
      <c r="S1915" s="19"/>
    </row>
    <row r="1916" spans="19:19" x14ac:dyDescent="0.3">
      <c r="S1916" s="18"/>
    </row>
    <row r="1917" spans="19:19" x14ac:dyDescent="0.3">
      <c r="S1917" s="19"/>
    </row>
    <row r="1918" spans="19:19" x14ac:dyDescent="0.3">
      <c r="S1918" s="18"/>
    </row>
    <row r="1919" spans="19:19" x14ac:dyDescent="0.3">
      <c r="S1919" s="19"/>
    </row>
    <row r="1920" spans="19:19" x14ac:dyDescent="0.3">
      <c r="S1920" s="18"/>
    </row>
    <row r="1921" spans="19:19" x14ac:dyDescent="0.3">
      <c r="S1921" s="19"/>
    </row>
    <row r="1922" spans="19:19" x14ac:dyDescent="0.3">
      <c r="S1922" s="18"/>
    </row>
    <row r="1923" spans="19:19" x14ac:dyDescent="0.3">
      <c r="S1923" s="19"/>
    </row>
    <row r="1924" spans="19:19" x14ac:dyDescent="0.3">
      <c r="S1924" s="18"/>
    </row>
    <row r="1925" spans="19:19" x14ac:dyDescent="0.3">
      <c r="S1925" s="19"/>
    </row>
    <row r="1926" spans="19:19" x14ac:dyDescent="0.3">
      <c r="S1926" s="18"/>
    </row>
    <row r="1927" spans="19:19" x14ac:dyDescent="0.3">
      <c r="S1927" s="19"/>
    </row>
    <row r="1928" spans="19:19" x14ac:dyDescent="0.3">
      <c r="S1928" s="18"/>
    </row>
    <row r="1929" spans="19:19" x14ac:dyDescent="0.3">
      <c r="S1929" s="19"/>
    </row>
    <row r="1930" spans="19:19" x14ac:dyDescent="0.3">
      <c r="S1930" s="18"/>
    </row>
    <row r="1931" spans="19:19" x14ac:dyDescent="0.3">
      <c r="S1931" s="19"/>
    </row>
    <row r="1932" spans="19:19" x14ac:dyDescent="0.3">
      <c r="S1932" s="18"/>
    </row>
    <row r="1933" spans="19:19" x14ac:dyDescent="0.3">
      <c r="S1933" s="19"/>
    </row>
    <row r="1934" spans="19:19" x14ac:dyDescent="0.3">
      <c r="S1934" s="18"/>
    </row>
    <row r="1935" spans="19:19" x14ac:dyDescent="0.3">
      <c r="S1935" s="19"/>
    </row>
    <row r="1936" spans="19:19" x14ac:dyDescent="0.3">
      <c r="S1936" s="18"/>
    </row>
    <row r="1937" spans="19:19" x14ac:dyDescent="0.3">
      <c r="S1937" s="19"/>
    </row>
    <row r="1938" spans="19:19" x14ac:dyDescent="0.3">
      <c r="S1938" s="18"/>
    </row>
    <row r="1939" spans="19:19" x14ac:dyDescent="0.3">
      <c r="S1939" s="19"/>
    </row>
    <row r="1940" spans="19:19" x14ac:dyDescent="0.3">
      <c r="S1940" s="18"/>
    </row>
    <row r="1941" spans="19:19" x14ac:dyDescent="0.3">
      <c r="S1941" s="19"/>
    </row>
    <row r="1942" spans="19:19" x14ac:dyDescent="0.3">
      <c r="S1942" s="18"/>
    </row>
    <row r="1943" spans="19:19" x14ac:dyDescent="0.3">
      <c r="S1943" s="19"/>
    </row>
    <row r="1944" spans="19:19" x14ac:dyDescent="0.3">
      <c r="S1944" s="18"/>
    </row>
    <row r="1945" spans="19:19" x14ac:dyDescent="0.3">
      <c r="S1945" s="19"/>
    </row>
    <row r="1946" spans="19:19" x14ac:dyDescent="0.3">
      <c r="S1946" s="18"/>
    </row>
    <row r="1947" spans="19:19" x14ac:dyDescent="0.3">
      <c r="S1947" s="19"/>
    </row>
    <row r="1948" spans="19:19" x14ac:dyDescent="0.3">
      <c r="S1948" s="18"/>
    </row>
    <row r="1949" spans="19:19" x14ac:dyDescent="0.3">
      <c r="S1949" s="19"/>
    </row>
    <row r="1950" spans="19:19" x14ac:dyDescent="0.3">
      <c r="S1950" s="18"/>
    </row>
    <row r="1951" spans="19:19" x14ac:dyDescent="0.3">
      <c r="S1951" s="19"/>
    </row>
    <row r="1952" spans="19:19" x14ac:dyDescent="0.3">
      <c r="S1952" s="18"/>
    </row>
    <row r="1953" spans="19:19" x14ac:dyDescent="0.3">
      <c r="S1953" s="19"/>
    </row>
    <row r="1954" spans="19:19" x14ac:dyDescent="0.3">
      <c r="S1954" s="18"/>
    </row>
    <row r="1955" spans="19:19" x14ac:dyDescent="0.3">
      <c r="S1955" s="19"/>
    </row>
    <row r="1956" spans="19:19" x14ac:dyDescent="0.3">
      <c r="S1956" s="18"/>
    </row>
    <row r="1957" spans="19:19" x14ac:dyDescent="0.3">
      <c r="S1957" s="19"/>
    </row>
    <row r="1958" spans="19:19" x14ac:dyDescent="0.3">
      <c r="S1958" s="18"/>
    </row>
    <row r="1959" spans="19:19" x14ac:dyDescent="0.3">
      <c r="S1959" s="19"/>
    </row>
    <row r="1960" spans="19:19" x14ac:dyDescent="0.3">
      <c r="S1960" s="18"/>
    </row>
    <row r="1961" spans="19:19" x14ac:dyDescent="0.3">
      <c r="S1961" s="19"/>
    </row>
    <row r="1962" spans="19:19" x14ac:dyDescent="0.3">
      <c r="S1962" s="18"/>
    </row>
    <row r="1963" spans="19:19" x14ac:dyDescent="0.3">
      <c r="S1963" s="19"/>
    </row>
    <row r="1964" spans="19:19" x14ac:dyDescent="0.3">
      <c r="S1964" s="18"/>
    </row>
    <row r="1965" spans="19:19" x14ac:dyDescent="0.3">
      <c r="S1965" s="19"/>
    </row>
    <row r="1966" spans="19:19" x14ac:dyDescent="0.3">
      <c r="S1966" s="18"/>
    </row>
    <row r="1967" spans="19:19" x14ac:dyDescent="0.3">
      <c r="S1967" s="19"/>
    </row>
    <row r="1968" spans="19:19" x14ac:dyDescent="0.3">
      <c r="S1968" s="18"/>
    </row>
    <row r="1969" spans="19:19" x14ac:dyDescent="0.3">
      <c r="S1969" s="19"/>
    </row>
    <row r="1970" spans="19:19" x14ac:dyDescent="0.3">
      <c r="S1970" s="18"/>
    </row>
    <row r="1971" spans="19:19" x14ac:dyDescent="0.3">
      <c r="S1971" s="19"/>
    </row>
    <row r="1972" spans="19:19" x14ac:dyDescent="0.3">
      <c r="S1972" s="18"/>
    </row>
    <row r="1973" spans="19:19" x14ac:dyDescent="0.3">
      <c r="S1973" s="19"/>
    </row>
    <row r="1974" spans="19:19" x14ac:dyDescent="0.3">
      <c r="S1974" s="18"/>
    </row>
    <row r="1975" spans="19:19" x14ac:dyDescent="0.3">
      <c r="S1975" s="19"/>
    </row>
    <row r="1976" spans="19:19" x14ac:dyDescent="0.3">
      <c r="S1976" s="18"/>
    </row>
    <row r="1977" spans="19:19" x14ac:dyDescent="0.3">
      <c r="S1977" s="19"/>
    </row>
    <row r="1978" spans="19:19" x14ac:dyDescent="0.3">
      <c r="S1978" s="18"/>
    </row>
    <row r="1979" spans="19:19" x14ac:dyDescent="0.3">
      <c r="S1979" s="19"/>
    </row>
    <row r="1980" spans="19:19" x14ac:dyDescent="0.3">
      <c r="S1980" s="18"/>
    </row>
    <row r="1981" spans="19:19" x14ac:dyDescent="0.3">
      <c r="S1981" s="19"/>
    </row>
    <row r="1982" spans="19:19" x14ac:dyDescent="0.3">
      <c r="S1982" s="18"/>
    </row>
    <row r="1983" spans="19:19" x14ac:dyDescent="0.3">
      <c r="S1983" s="19"/>
    </row>
    <row r="1984" spans="19:19" x14ac:dyDescent="0.3">
      <c r="S1984" s="18"/>
    </row>
    <row r="1985" spans="19:19" x14ac:dyDescent="0.3">
      <c r="S1985" s="19"/>
    </row>
    <row r="1986" spans="19:19" x14ac:dyDescent="0.3">
      <c r="S1986" s="18"/>
    </row>
    <row r="1987" spans="19:19" x14ac:dyDescent="0.3">
      <c r="S1987" s="19"/>
    </row>
    <row r="1988" spans="19:19" x14ac:dyDescent="0.3">
      <c r="S1988" s="18"/>
    </row>
    <row r="1989" spans="19:19" x14ac:dyDescent="0.3">
      <c r="S1989" s="19"/>
    </row>
    <row r="1990" spans="19:19" x14ac:dyDescent="0.3">
      <c r="S1990" s="18"/>
    </row>
    <row r="1991" spans="19:19" x14ac:dyDescent="0.3">
      <c r="S1991" s="19"/>
    </row>
    <row r="1992" spans="19:19" x14ac:dyDescent="0.3">
      <c r="S1992" s="18"/>
    </row>
    <row r="1993" spans="19:19" x14ac:dyDescent="0.3">
      <c r="S1993" s="19"/>
    </row>
    <row r="1994" spans="19:19" x14ac:dyDescent="0.3">
      <c r="S1994" s="18"/>
    </row>
    <row r="1995" spans="19:19" x14ac:dyDescent="0.3">
      <c r="S1995" s="19"/>
    </row>
    <row r="1996" spans="19:19" x14ac:dyDescent="0.3">
      <c r="S1996" s="18"/>
    </row>
    <row r="1997" spans="19:19" x14ac:dyDescent="0.3">
      <c r="S1997" s="19"/>
    </row>
    <row r="1998" spans="19:19" x14ac:dyDescent="0.3">
      <c r="S1998" s="18"/>
    </row>
    <row r="1999" spans="19:19" x14ac:dyDescent="0.3">
      <c r="S1999" s="19"/>
    </row>
    <row r="2000" spans="19:19" x14ac:dyDescent="0.3">
      <c r="S2000" s="18"/>
    </row>
    <row r="2001" spans="19:19" x14ac:dyDescent="0.3">
      <c r="S2001" s="19"/>
    </row>
    <row r="2002" spans="19:19" x14ac:dyDescent="0.3">
      <c r="S2002" s="18"/>
    </row>
    <row r="2003" spans="19:19" x14ac:dyDescent="0.3">
      <c r="S2003" s="19"/>
    </row>
    <row r="2004" spans="19:19" x14ac:dyDescent="0.3">
      <c r="S2004" s="18"/>
    </row>
    <row r="2005" spans="19:19" x14ac:dyDescent="0.3">
      <c r="S2005" s="19"/>
    </row>
    <row r="2006" spans="19:19" x14ac:dyDescent="0.3">
      <c r="S2006" s="18"/>
    </row>
    <row r="2007" spans="19:19" x14ac:dyDescent="0.3">
      <c r="S2007" s="19"/>
    </row>
    <row r="2008" spans="19:19" x14ac:dyDescent="0.3">
      <c r="S2008" s="18"/>
    </row>
    <row r="2009" spans="19:19" x14ac:dyDescent="0.3">
      <c r="S2009" s="19"/>
    </row>
    <row r="2010" spans="19:19" x14ac:dyDescent="0.3">
      <c r="S2010" s="18"/>
    </row>
    <row r="2011" spans="19:19" x14ac:dyDescent="0.3">
      <c r="S2011" s="19"/>
    </row>
    <row r="2012" spans="19:19" x14ac:dyDescent="0.3">
      <c r="S2012" s="18"/>
    </row>
    <row r="2013" spans="19:19" x14ac:dyDescent="0.3">
      <c r="S2013" s="19"/>
    </row>
    <row r="2014" spans="19:19" x14ac:dyDescent="0.3">
      <c r="S2014" s="18"/>
    </row>
    <row r="2015" spans="19:19" x14ac:dyDescent="0.3">
      <c r="S2015" s="19"/>
    </row>
    <row r="2016" spans="19:19" x14ac:dyDescent="0.3">
      <c r="S2016" s="18"/>
    </row>
    <row r="2017" spans="19:19" x14ac:dyDescent="0.3">
      <c r="S2017" s="19"/>
    </row>
    <row r="2018" spans="19:19" x14ac:dyDescent="0.3">
      <c r="S2018" s="18"/>
    </row>
    <row r="2019" spans="19:19" x14ac:dyDescent="0.3">
      <c r="S2019" s="19"/>
    </row>
    <row r="2020" spans="19:19" x14ac:dyDescent="0.3">
      <c r="S2020" s="18"/>
    </row>
    <row r="2021" spans="19:19" x14ac:dyDescent="0.3">
      <c r="S2021" s="19"/>
    </row>
    <row r="2022" spans="19:19" x14ac:dyDescent="0.3">
      <c r="S2022" s="18"/>
    </row>
    <row r="2023" spans="19:19" x14ac:dyDescent="0.3">
      <c r="S2023" s="19"/>
    </row>
    <row r="2024" spans="19:19" x14ac:dyDescent="0.3">
      <c r="S2024" s="18"/>
    </row>
    <row r="2025" spans="19:19" x14ac:dyDescent="0.3">
      <c r="S2025" s="19"/>
    </row>
    <row r="2026" spans="19:19" x14ac:dyDescent="0.3">
      <c r="S2026" s="18"/>
    </row>
    <row r="2027" spans="19:19" x14ac:dyDescent="0.3">
      <c r="S2027" s="19"/>
    </row>
    <row r="2028" spans="19:19" x14ac:dyDescent="0.3">
      <c r="S2028" s="18"/>
    </row>
    <row r="2029" spans="19:19" x14ac:dyDescent="0.3">
      <c r="S2029" s="19"/>
    </row>
    <row r="2030" spans="19:19" x14ac:dyDescent="0.3">
      <c r="S2030" s="18"/>
    </row>
    <row r="2031" spans="19:19" x14ac:dyDescent="0.3">
      <c r="S2031" s="19"/>
    </row>
    <row r="2032" spans="19:19" x14ac:dyDescent="0.3">
      <c r="S2032" s="18"/>
    </row>
    <row r="2033" spans="19:19" x14ac:dyDescent="0.3">
      <c r="S2033" s="19"/>
    </row>
    <row r="2034" spans="19:19" x14ac:dyDescent="0.3">
      <c r="S2034" s="18"/>
    </row>
    <row r="2035" spans="19:19" x14ac:dyDescent="0.3">
      <c r="S2035" s="19"/>
    </row>
    <row r="2036" spans="19:19" x14ac:dyDescent="0.3">
      <c r="S2036" s="18"/>
    </row>
    <row r="2037" spans="19:19" x14ac:dyDescent="0.3">
      <c r="S2037" s="19"/>
    </row>
    <row r="2038" spans="19:19" x14ac:dyDescent="0.3">
      <c r="S2038" s="18"/>
    </row>
    <row r="2039" spans="19:19" x14ac:dyDescent="0.3">
      <c r="S2039" s="19"/>
    </row>
    <row r="2040" spans="19:19" x14ac:dyDescent="0.3">
      <c r="S2040" s="18"/>
    </row>
    <row r="2041" spans="19:19" x14ac:dyDescent="0.3">
      <c r="S2041" s="19"/>
    </row>
    <row r="2042" spans="19:19" x14ac:dyDescent="0.3">
      <c r="S2042" s="18"/>
    </row>
    <row r="2043" spans="19:19" x14ac:dyDescent="0.3">
      <c r="S2043" s="19"/>
    </row>
    <row r="2044" spans="19:19" x14ac:dyDescent="0.3">
      <c r="S2044" s="18"/>
    </row>
    <row r="2045" spans="19:19" x14ac:dyDescent="0.3">
      <c r="S2045" s="19"/>
    </row>
    <row r="2046" spans="19:19" x14ac:dyDescent="0.3">
      <c r="S2046" s="18"/>
    </row>
    <row r="2047" spans="19:19" x14ac:dyDescent="0.3">
      <c r="S2047" s="19"/>
    </row>
    <row r="2048" spans="19:19" x14ac:dyDescent="0.3">
      <c r="S2048" s="18"/>
    </row>
    <row r="2049" spans="19:19" x14ac:dyDescent="0.3">
      <c r="S2049" s="19"/>
    </row>
    <row r="2050" spans="19:19" x14ac:dyDescent="0.3">
      <c r="S2050" s="18"/>
    </row>
    <row r="2051" spans="19:19" x14ac:dyDescent="0.3">
      <c r="S2051" s="19"/>
    </row>
    <row r="2052" spans="19:19" x14ac:dyDescent="0.3">
      <c r="S2052" s="18"/>
    </row>
    <row r="2053" spans="19:19" x14ac:dyDescent="0.3">
      <c r="S2053" s="19"/>
    </row>
    <row r="2054" spans="19:19" x14ac:dyDescent="0.3">
      <c r="S2054" s="18"/>
    </row>
    <row r="2055" spans="19:19" x14ac:dyDescent="0.3">
      <c r="S2055" s="19"/>
    </row>
    <row r="2056" spans="19:19" x14ac:dyDescent="0.3">
      <c r="S2056" s="18"/>
    </row>
    <row r="2057" spans="19:19" x14ac:dyDescent="0.3">
      <c r="S2057" s="19"/>
    </row>
    <row r="2058" spans="19:19" x14ac:dyDescent="0.3">
      <c r="S2058" s="18"/>
    </row>
    <row r="2059" spans="19:19" x14ac:dyDescent="0.3">
      <c r="S2059" s="19"/>
    </row>
    <row r="2060" spans="19:19" x14ac:dyDescent="0.3">
      <c r="S2060" s="18"/>
    </row>
    <row r="2061" spans="19:19" x14ac:dyDescent="0.3">
      <c r="S2061" s="19"/>
    </row>
    <row r="2062" spans="19:19" x14ac:dyDescent="0.3">
      <c r="S2062" s="18"/>
    </row>
    <row r="2063" spans="19:19" x14ac:dyDescent="0.3">
      <c r="S2063" s="19"/>
    </row>
    <row r="2064" spans="19:19" x14ac:dyDescent="0.3">
      <c r="S2064" s="18"/>
    </row>
    <row r="2065" spans="19:19" x14ac:dyDescent="0.3">
      <c r="S2065" s="19"/>
    </row>
    <row r="2066" spans="19:19" x14ac:dyDescent="0.3">
      <c r="S2066" s="18"/>
    </row>
    <row r="2067" spans="19:19" x14ac:dyDescent="0.3">
      <c r="S2067" s="19"/>
    </row>
    <row r="2068" spans="19:19" x14ac:dyDescent="0.3">
      <c r="S2068" s="18"/>
    </row>
    <row r="2069" spans="19:19" x14ac:dyDescent="0.3">
      <c r="S2069" s="19"/>
    </row>
    <row r="2070" spans="19:19" x14ac:dyDescent="0.3">
      <c r="S2070" s="18"/>
    </row>
    <row r="2071" spans="19:19" x14ac:dyDescent="0.3">
      <c r="S2071" s="19"/>
    </row>
    <row r="2072" spans="19:19" x14ac:dyDescent="0.3">
      <c r="S2072" s="18"/>
    </row>
    <row r="2073" spans="19:19" x14ac:dyDescent="0.3">
      <c r="S2073" s="19"/>
    </row>
    <row r="2074" spans="19:19" x14ac:dyDescent="0.3">
      <c r="S2074" s="18"/>
    </row>
    <row r="2075" spans="19:19" x14ac:dyDescent="0.3">
      <c r="S2075" s="19"/>
    </row>
    <row r="2076" spans="19:19" x14ac:dyDescent="0.3">
      <c r="S2076" s="18"/>
    </row>
    <row r="2077" spans="19:19" x14ac:dyDescent="0.3">
      <c r="S2077" s="19"/>
    </row>
    <row r="2078" spans="19:19" x14ac:dyDescent="0.3">
      <c r="S2078" s="18"/>
    </row>
    <row r="2079" spans="19:19" x14ac:dyDescent="0.3">
      <c r="S2079" s="19"/>
    </row>
    <row r="2080" spans="19:19" x14ac:dyDescent="0.3">
      <c r="S2080" s="18"/>
    </row>
    <row r="2081" spans="19:19" x14ac:dyDescent="0.3">
      <c r="S2081" s="19"/>
    </row>
    <row r="2082" spans="19:19" x14ac:dyDescent="0.3">
      <c r="S2082" s="18"/>
    </row>
    <row r="2083" spans="19:19" x14ac:dyDescent="0.3">
      <c r="S2083" s="19"/>
    </row>
    <row r="2084" spans="19:19" x14ac:dyDescent="0.3">
      <c r="S2084" s="18"/>
    </row>
    <row r="2085" spans="19:19" x14ac:dyDescent="0.3">
      <c r="S2085" s="19"/>
    </row>
    <row r="2086" spans="19:19" x14ac:dyDescent="0.3">
      <c r="S2086" s="18"/>
    </row>
    <row r="2087" spans="19:19" x14ac:dyDescent="0.3">
      <c r="S2087" s="19"/>
    </row>
    <row r="2088" spans="19:19" x14ac:dyDescent="0.3">
      <c r="S2088" s="18"/>
    </row>
    <row r="2089" spans="19:19" x14ac:dyDescent="0.3">
      <c r="S2089" s="19"/>
    </row>
    <row r="2090" spans="19:19" x14ac:dyDescent="0.3">
      <c r="S2090" s="18"/>
    </row>
    <row r="2091" spans="19:19" x14ac:dyDescent="0.3">
      <c r="S2091" s="19"/>
    </row>
    <row r="2092" spans="19:19" x14ac:dyDescent="0.3">
      <c r="S2092" s="18"/>
    </row>
    <row r="2093" spans="19:19" x14ac:dyDescent="0.3">
      <c r="S2093" s="19"/>
    </row>
    <row r="2094" spans="19:19" x14ac:dyDescent="0.3">
      <c r="S2094" s="18"/>
    </row>
    <row r="2095" spans="19:19" x14ac:dyDescent="0.3">
      <c r="S2095" s="19"/>
    </row>
    <row r="2096" spans="19:19" x14ac:dyDescent="0.3">
      <c r="S2096" s="18"/>
    </row>
    <row r="2097" spans="19:19" x14ac:dyDescent="0.3">
      <c r="S2097" s="19"/>
    </row>
    <row r="2098" spans="19:19" x14ac:dyDescent="0.3">
      <c r="S2098" s="18"/>
    </row>
    <row r="2099" spans="19:19" x14ac:dyDescent="0.3">
      <c r="S2099" s="19"/>
    </row>
    <row r="2100" spans="19:19" x14ac:dyDescent="0.3">
      <c r="S2100" s="18"/>
    </row>
    <row r="2101" spans="19:19" x14ac:dyDescent="0.3">
      <c r="S2101" s="19"/>
    </row>
    <row r="2102" spans="19:19" x14ac:dyDescent="0.3">
      <c r="S2102" s="18"/>
    </row>
    <row r="2103" spans="19:19" x14ac:dyDescent="0.3">
      <c r="S2103" s="19"/>
    </row>
    <row r="2104" spans="19:19" x14ac:dyDescent="0.3">
      <c r="S2104" s="18"/>
    </row>
    <row r="2105" spans="19:19" x14ac:dyDescent="0.3">
      <c r="S2105" s="19"/>
    </row>
    <row r="2106" spans="19:19" x14ac:dyDescent="0.3">
      <c r="S2106" s="18"/>
    </row>
    <row r="2107" spans="19:19" x14ac:dyDescent="0.3">
      <c r="S2107" s="19"/>
    </row>
    <row r="2108" spans="19:19" x14ac:dyDescent="0.3">
      <c r="S2108" s="18"/>
    </row>
    <row r="2109" spans="19:19" x14ac:dyDescent="0.3">
      <c r="S2109" s="19"/>
    </row>
    <row r="2110" spans="19:19" x14ac:dyDescent="0.3">
      <c r="S2110" s="18"/>
    </row>
    <row r="2111" spans="19:19" x14ac:dyDescent="0.3">
      <c r="S2111" s="19"/>
    </row>
    <row r="2112" spans="19:19" x14ac:dyDescent="0.3">
      <c r="S2112" s="18"/>
    </row>
    <row r="2113" spans="19:19" x14ac:dyDescent="0.3">
      <c r="S2113" s="19"/>
    </row>
    <row r="2114" spans="19:19" x14ac:dyDescent="0.3">
      <c r="S2114" s="18"/>
    </row>
    <row r="2115" spans="19:19" x14ac:dyDescent="0.3">
      <c r="S2115" s="19"/>
    </row>
    <row r="2116" spans="19:19" x14ac:dyDescent="0.3">
      <c r="S2116" s="18"/>
    </row>
    <row r="2117" spans="19:19" x14ac:dyDescent="0.3">
      <c r="S2117" s="19"/>
    </row>
    <row r="2118" spans="19:19" x14ac:dyDescent="0.3">
      <c r="S2118" s="18"/>
    </row>
    <row r="2119" spans="19:19" x14ac:dyDescent="0.3">
      <c r="S2119" s="19"/>
    </row>
    <row r="2120" spans="19:19" x14ac:dyDescent="0.3">
      <c r="S2120" s="18"/>
    </row>
    <row r="2121" spans="19:19" x14ac:dyDescent="0.3">
      <c r="S2121" s="19"/>
    </row>
    <row r="2122" spans="19:19" x14ac:dyDescent="0.3">
      <c r="S2122" s="18"/>
    </row>
    <row r="2123" spans="19:19" x14ac:dyDescent="0.3">
      <c r="S2123" s="19"/>
    </row>
    <row r="2124" spans="19:19" x14ac:dyDescent="0.3">
      <c r="S2124" s="18"/>
    </row>
    <row r="2125" spans="19:19" x14ac:dyDescent="0.3">
      <c r="S2125" s="19"/>
    </row>
    <row r="2126" spans="19:19" x14ac:dyDescent="0.3">
      <c r="S2126" s="18"/>
    </row>
    <row r="2127" spans="19:19" x14ac:dyDescent="0.3">
      <c r="S2127" s="19"/>
    </row>
    <row r="2128" spans="19:19" x14ac:dyDescent="0.3">
      <c r="S2128" s="18"/>
    </row>
    <row r="2129" spans="19:19" x14ac:dyDescent="0.3">
      <c r="S2129" s="19"/>
    </row>
    <row r="2130" spans="19:19" x14ac:dyDescent="0.3">
      <c r="S2130" s="18"/>
    </row>
    <row r="2131" spans="19:19" x14ac:dyDescent="0.3">
      <c r="S2131" s="19"/>
    </row>
    <row r="2132" spans="19:19" x14ac:dyDescent="0.3">
      <c r="S2132" s="18"/>
    </row>
    <row r="2133" spans="19:19" x14ac:dyDescent="0.3">
      <c r="S2133" s="19"/>
    </row>
    <row r="2134" spans="19:19" x14ac:dyDescent="0.3">
      <c r="S2134" s="18"/>
    </row>
    <row r="2135" spans="19:19" x14ac:dyDescent="0.3">
      <c r="S2135" s="19"/>
    </row>
    <row r="2136" spans="19:19" x14ac:dyDescent="0.3">
      <c r="S2136" s="18"/>
    </row>
    <row r="2137" spans="19:19" x14ac:dyDescent="0.3">
      <c r="S2137" s="19"/>
    </row>
    <row r="2138" spans="19:19" x14ac:dyDescent="0.3">
      <c r="S2138" s="18"/>
    </row>
    <row r="2139" spans="19:19" x14ac:dyDescent="0.3">
      <c r="S2139" s="19"/>
    </row>
    <row r="2140" spans="19:19" x14ac:dyDescent="0.3">
      <c r="S2140" s="18"/>
    </row>
    <row r="2141" spans="19:19" x14ac:dyDescent="0.3">
      <c r="S2141" s="19"/>
    </row>
    <row r="2142" spans="19:19" x14ac:dyDescent="0.3">
      <c r="S2142" s="18"/>
    </row>
    <row r="2143" spans="19:19" x14ac:dyDescent="0.3">
      <c r="S2143" s="19"/>
    </row>
    <row r="2144" spans="19:19" x14ac:dyDescent="0.3">
      <c r="S2144" s="18"/>
    </row>
    <row r="2145" spans="19:19" x14ac:dyDescent="0.3">
      <c r="S2145" s="19"/>
    </row>
    <row r="2146" spans="19:19" x14ac:dyDescent="0.3">
      <c r="S2146" s="18"/>
    </row>
    <row r="2147" spans="19:19" x14ac:dyDescent="0.3">
      <c r="S2147" s="19"/>
    </row>
    <row r="2148" spans="19:19" x14ac:dyDescent="0.3">
      <c r="S2148" s="18"/>
    </row>
    <row r="2149" spans="19:19" x14ac:dyDescent="0.3">
      <c r="S2149" s="19"/>
    </row>
    <row r="2150" spans="19:19" x14ac:dyDescent="0.3">
      <c r="S2150" s="18"/>
    </row>
    <row r="2151" spans="19:19" x14ac:dyDescent="0.3">
      <c r="S2151" s="19"/>
    </row>
    <row r="2152" spans="19:19" x14ac:dyDescent="0.3">
      <c r="S2152" s="18"/>
    </row>
    <row r="2153" spans="19:19" x14ac:dyDescent="0.3">
      <c r="S2153" s="19"/>
    </row>
    <row r="2154" spans="19:19" x14ac:dyDescent="0.3">
      <c r="S2154" s="18"/>
    </row>
    <row r="2155" spans="19:19" x14ac:dyDescent="0.3">
      <c r="S2155" s="19"/>
    </row>
    <row r="2156" spans="19:19" x14ac:dyDescent="0.3">
      <c r="S2156" s="18"/>
    </row>
    <row r="2157" spans="19:19" x14ac:dyDescent="0.3">
      <c r="S2157" s="19"/>
    </row>
    <row r="2158" spans="19:19" x14ac:dyDescent="0.3">
      <c r="S2158" s="18"/>
    </row>
    <row r="2159" spans="19:19" x14ac:dyDescent="0.3">
      <c r="S2159" s="19"/>
    </row>
    <row r="2160" spans="19:19" x14ac:dyDescent="0.3">
      <c r="S2160" s="18"/>
    </row>
    <row r="2161" spans="19:19" x14ac:dyDescent="0.3">
      <c r="S2161" s="19"/>
    </row>
    <row r="2162" spans="19:19" x14ac:dyDescent="0.3">
      <c r="S2162" s="18"/>
    </row>
    <row r="2163" spans="19:19" x14ac:dyDescent="0.3">
      <c r="S2163" s="19"/>
    </row>
    <row r="2164" spans="19:19" x14ac:dyDescent="0.3">
      <c r="S2164" s="18"/>
    </row>
    <row r="2165" spans="19:19" x14ac:dyDescent="0.3">
      <c r="S2165" s="19"/>
    </row>
    <row r="2166" spans="19:19" x14ac:dyDescent="0.3">
      <c r="S2166" s="18"/>
    </row>
    <row r="2167" spans="19:19" x14ac:dyDescent="0.3">
      <c r="S2167" s="19"/>
    </row>
    <row r="2168" spans="19:19" x14ac:dyDescent="0.3">
      <c r="S2168" s="18"/>
    </row>
    <row r="2169" spans="19:19" x14ac:dyDescent="0.3">
      <c r="S2169" s="19"/>
    </row>
    <row r="2170" spans="19:19" x14ac:dyDescent="0.3">
      <c r="S2170" s="18"/>
    </row>
    <row r="2171" spans="19:19" x14ac:dyDescent="0.3">
      <c r="S2171" s="19"/>
    </row>
    <row r="2172" spans="19:19" x14ac:dyDescent="0.3">
      <c r="S2172" s="18"/>
    </row>
    <row r="2173" spans="19:19" x14ac:dyDescent="0.3">
      <c r="S2173" s="19"/>
    </row>
    <row r="2174" spans="19:19" x14ac:dyDescent="0.3">
      <c r="S2174" s="18"/>
    </row>
    <row r="2175" spans="19:19" x14ac:dyDescent="0.3">
      <c r="S2175" s="19"/>
    </row>
    <row r="2176" spans="19:19" x14ac:dyDescent="0.3">
      <c r="S2176" s="18"/>
    </row>
    <row r="2177" spans="19:19" x14ac:dyDescent="0.3">
      <c r="S2177" s="19"/>
    </row>
    <row r="2178" spans="19:19" x14ac:dyDescent="0.3">
      <c r="S2178" s="18"/>
    </row>
    <row r="2179" spans="19:19" x14ac:dyDescent="0.3">
      <c r="S2179" s="19"/>
    </row>
    <row r="2180" spans="19:19" x14ac:dyDescent="0.3">
      <c r="S2180" s="18"/>
    </row>
    <row r="2181" spans="19:19" x14ac:dyDescent="0.3">
      <c r="S2181" s="19"/>
    </row>
    <row r="2182" spans="19:19" x14ac:dyDescent="0.3">
      <c r="S2182" s="18"/>
    </row>
    <row r="2183" spans="19:19" x14ac:dyDescent="0.3">
      <c r="S2183" s="19"/>
    </row>
    <row r="2184" spans="19:19" x14ac:dyDescent="0.3">
      <c r="S2184" s="18"/>
    </row>
    <row r="2185" spans="19:19" x14ac:dyDescent="0.3">
      <c r="S2185" s="19"/>
    </row>
    <row r="2186" spans="19:19" x14ac:dyDescent="0.3">
      <c r="S2186" s="18"/>
    </row>
    <row r="2187" spans="19:19" x14ac:dyDescent="0.3">
      <c r="S2187" s="19"/>
    </row>
    <row r="2188" spans="19:19" x14ac:dyDescent="0.3">
      <c r="S2188" s="18"/>
    </row>
    <row r="2189" spans="19:19" x14ac:dyDescent="0.3">
      <c r="S2189" s="19"/>
    </row>
    <row r="2190" spans="19:19" x14ac:dyDescent="0.3">
      <c r="S2190" s="18"/>
    </row>
    <row r="2191" spans="19:19" x14ac:dyDescent="0.3">
      <c r="S2191" s="19"/>
    </row>
    <row r="2192" spans="19:19" x14ac:dyDescent="0.3">
      <c r="S2192" s="18"/>
    </row>
    <row r="2193" spans="19:19" x14ac:dyDescent="0.3">
      <c r="S2193" s="19"/>
    </row>
    <row r="2194" spans="19:19" x14ac:dyDescent="0.3">
      <c r="S2194" s="18"/>
    </row>
    <row r="2195" spans="19:19" x14ac:dyDescent="0.3">
      <c r="S2195" s="19"/>
    </row>
    <row r="2196" spans="19:19" x14ac:dyDescent="0.3">
      <c r="S2196" s="18"/>
    </row>
    <row r="2197" spans="19:19" x14ac:dyDescent="0.3">
      <c r="S2197" s="19"/>
    </row>
    <row r="2198" spans="19:19" x14ac:dyDescent="0.3">
      <c r="S2198" s="18"/>
    </row>
    <row r="2199" spans="19:19" x14ac:dyDescent="0.3">
      <c r="S2199" s="19"/>
    </row>
    <row r="2200" spans="19:19" x14ac:dyDescent="0.3">
      <c r="S2200" s="18"/>
    </row>
    <row r="2201" spans="19:19" x14ac:dyDescent="0.3">
      <c r="S2201" s="19"/>
    </row>
    <row r="2202" spans="19:19" x14ac:dyDescent="0.3">
      <c r="S2202" s="18"/>
    </row>
    <row r="2203" spans="19:19" x14ac:dyDescent="0.3">
      <c r="S2203" s="19"/>
    </row>
    <row r="2204" spans="19:19" x14ac:dyDescent="0.3">
      <c r="S2204" s="18"/>
    </row>
    <row r="2205" spans="19:19" x14ac:dyDescent="0.3">
      <c r="S2205" s="19"/>
    </row>
    <row r="2206" spans="19:19" x14ac:dyDescent="0.3">
      <c r="S2206" s="18"/>
    </row>
    <row r="2207" spans="19:19" x14ac:dyDescent="0.3">
      <c r="S2207" s="19"/>
    </row>
    <row r="2208" spans="19:19" x14ac:dyDescent="0.3">
      <c r="S2208" s="18"/>
    </row>
    <row r="2209" spans="19:19" x14ac:dyDescent="0.3">
      <c r="S2209" s="19"/>
    </row>
    <row r="2210" spans="19:19" x14ac:dyDescent="0.3">
      <c r="S2210" s="18"/>
    </row>
    <row r="2211" spans="19:19" x14ac:dyDescent="0.3">
      <c r="S2211" s="19"/>
    </row>
    <row r="2212" spans="19:19" x14ac:dyDescent="0.3">
      <c r="S2212" s="18"/>
    </row>
    <row r="2213" spans="19:19" x14ac:dyDescent="0.3">
      <c r="S2213" s="19"/>
    </row>
    <row r="2214" spans="19:19" x14ac:dyDescent="0.3">
      <c r="S2214" s="18"/>
    </row>
    <row r="2215" spans="19:19" x14ac:dyDescent="0.3">
      <c r="S2215" s="19"/>
    </row>
    <row r="2216" spans="19:19" x14ac:dyDescent="0.3">
      <c r="S2216" s="18"/>
    </row>
    <row r="2217" spans="19:19" x14ac:dyDescent="0.3">
      <c r="S2217" s="19"/>
    </row>
    <row r="2218" spans="19:19" x14ac:dyDescent="0.3">
      <c r="S2218" s="18"/>
    </row>
    <row r="2219" spans="19:19" x14ac:dyDescent="0.3">
      <c r="S2219" s="19"/>
    </row>
    <row r="2220" spans="19:19" x14ac:dyDescent="0.3">
      <c r="S2220" s="18"/>
    </row>
    <row r="2221" spans="19:19" x14ac:dyDescent="0.3">
      <c r="S2221" s="19"/>
    </row>
    <row r="2222" spans="19:19" x14ac:dyDescent="0.3">
      <c r="S2222" s="18"/>
    </row>
    <row r="2223" spans="19:19" x14ac:dyDescent="0.3">
      <c r="S2223" s="19"/>
    </row>
    <row r="2224" spans="19:19" x14ac:dyDescent="0.3">
      <c r="S2224" s="18"/>
    </row>
    <row r="2225" spans="19:19" x14ac:dyDescent="0.3">
      <c r="S2225" s="19"/>
    </row>
    <row r="2226" spans="19:19" x14ac:dyDescent="0.3">
      <c r="S2226" s="18"/>
    </row>
    <row r="2227" spans="19:19" x14ac:dyDescent="0.3">
      <c r="S2227" s="19"/>
    </row>
    <row r="2228" spans="19:19" x14ac:dyDescent="0.3">
      <c r="S2228" s="18"/>
    </row>
    <row r="2229" spans="19:19" x14ac:dyDescent="0.3">
      <c r="S2229" s="19"/>
    </row>
    <row r="2230" spans="19:19" x14ac:dyDescent="0.3">
      <c r="S2230" s="18"/>
    </row>
    <row r="2231" spans="19:19" x14ac:dyDescent="0.3">
      <c r="S2231" s="19"/>
    </row>
    <row r="2232" spans="19:19" x14ac:dyDescent="0.3">
      <c r="S2232" s="18"/>
    </row>
    <row r="2233" spans="19:19" x14ac:dyDescent="0.3">
      <c r="S2233" s="19"/>
    </row>
    <row r="2234" spans="19:19" x14ac:dyDescent="0.3">
      <c r="S2234" s="18"/>
    </row>
    <row r="2235" spans="19:19" x14ac:dyDescent="0.3">
      <c r="S2235" s="19"/>
    </row>
    <row r="2236" spans="19:19" x14ac:dyDescent="0.3">
      <c r="S2236" s="18"/>
    </row>
    <row r="2237" spans="19:19" x14ac:dyDescent="0.3">
      <c r="S2237" s="19"/>
    </row>
    <row r="2238" spans="19:19" x14ac:dyDescent="0.3">
      <c r="S2238" s="18"/>
    </row>
    <row r="2239" spans="19:19" x14ac:dyDescent="0.3">
      <c r="S2239" s="19"/>
    </row>
    <row r="2240" spans="19:19" x14ac:dyDescent="0.3">
      <c r="S2240" s="18"/>
    </row>
    <row r="2241" spans="19:19" x14ac:dyDescent="0.3">
      <c r="S2241" s="19"/>
    </row>
    <row r="2242" spans="19:19" x14ac:dyDescent="0.3">
      <c r="S2242" s="18"/>
    </row>
    <row r="2243" spans="19:19" x14ac:dyDescent="0.3">
      <c r="S2243" s="19"/>
    </row>
    <row r="2244" spans="19:19" x14ac:dyDescent="0.3">
      <c r="S2244" s="18"/>
    </row>
    <row r="2245" spans="19:19" x14ac:dyDescent="0.3">
      <c r="S2245" s="19"/>
    </row>
    <row r="2246" spans="19:19" x14ac:dyDescent="0.3">
      <c r="S2246" s="18"/>
    </row>
    <row r="2247" spans="19:19" x14ac:dyDescent="0.3">
      <c r="S2247" s="19"/>
    </row>
    <row r="2248" spans="19:19" x14ac:dyDescent="0.3">
      <c r="S2248" s="18"/>
    </row>
    <row r="2249" spans="19:19" x14ac:dyDescent="0.3">
      <c r="S2249" s="19"/>
    </row>
    <row r="2250" spans="19:19" x14ac:dyDescent="0.3">
      <c r="S2250" s="18"/>
    </row>
    <row r="2251" spans="19:19" x14ac:dyDescent="0.3">
      <c r="S2251" s="19"/>
    </row>
    <row r="2252" spans="19:19" x14ac:dyDescent="0.3">
      <c r="S2252" s="18"/>
    </row>
    <row r="2253" spans="19:19" x14ac:dyDescent="0.3">
      <c r="S2253" s="19"/>
    </row>
    <row r="2254" spans="19:19" x14ac:dyDescent="0.3">
      <c r="S2254" s="18"/>
    </row>
    <row r="2255" spans="19:19" x14ac:dyDescent="0.3">
      <c r="S2255" s="19"/>
    </row>
    <row r="2256" spans="19:19" x14ac:dyDescent="0.3">
      <c r="S2256" s="18"/>
    </row>
    <row r="2257" spans="19:19" x14ac:dyDescent="0.3">
      <c r="S2257" s="19"/>
    </row>
    <row r="2258" spans="19:19" x14ac:dyDescent="0.3">
      <c r="S2258" s="18"/>
    </row>
    <row r="2259" spans="19:19" x14ac:dyDescent="0.3">
      <c r="S2259" s="19"/>
    </row>
    <row r="2260" spans="19:19" x14ac:dyDescent="0.3">
      <c r="S2260" s="18"/>
    </row>
    <row r="2261" spans="19:19" x14ac:dyDescent="0.3">
      <c r="S2261" s="19"/>
    </row>
    <row r="2262" spans="19:19" x14ac:dyDescent="0.3">
      <c r="S2262" s="18"/>
    </row>
    <row r="2263" spans="19:19" x14ac:dyDescent="0.3">
      <c r="S2263" s="19"/>
    </row>
    <row r="2264" spans="19:19" x14ac:dyDescent="0.3">
      <c r="S2264" s="18"/>
    </row>
    <row r="2265" spans="19:19" x14ac:dyDescent="0.3">
      <c r="S2265" s="19"/>
    </row>
    <row r="2266" spans="19:19" x14ac:dyDescent="0.3">
      <c r="S2266" s="18"/>
    </row>
    <row r="2267" spans="19:19" x14ac:dyDescent="0.3">
      <c r="S2267" s="19"/>
    </row>
    <row r="2268" spans="19:19" x14ac:dyDescent="0.3">
      <c r="S2268" s="18"/>
    </row>
    <row r="2269" spans="19:19" x14ac:dyDescent="0.3">
      <c r="S2269" s="19"/>
    </row>
    <row r="2270" spans="19:19" x14ac:dyDescent="0.3">
      <c r="S2270" s="18"/>
    </row>
    <row r="2271" spans="19:19" x14ac:dyDescent="0.3">
      <c r="S2271" s="19"/>
    </row>
    <row r="2272" spans="19:19" x14ac:dyDescent="0.3">
      <c r="S2272" s="18"/>
    </row>
    <row r="2273" spans="19:19" x14ac:dyDescent="0.3">
      <c r="S2273" s="19"/>
    </row>
    <row r="2274" spans="19:19" x14ac:dyDescent="0.3">
      <c r="S2274" s="18"/>
    </row>
    <row r="2275" spans="19:19" x14ac:dyDescent="0.3">
      <c r="S2275" s="19"/>
    </row>
    <row r="2276" spans="19:19" x14ac:dyDescent="0.3">
      <c r="S2276" s="18"/>
    </row>
    <row r="2277" spans="19:19" x14ac:dyDescent="0.3">
      <c r="S2277" s="19"/>
    </row>
    <row r="2278" spans="19:19" x14ac:dyDescent="0.3">
      <c r="S2278" s="18"/>
    </row>
    <row r="2279" spans="19:19" x14ac:dyDescent="0.3">
      <c r="S2279" s="19"/>
    </row>
    <row r="2280" spans="19:19" x14ac:dyDescent="0.3">
      <c r="S2280" s="18"/>
    </row>
    <row r="2281" spans="19:19" x14ac:dyDescent="0.3">
      <c r="S2281" s="19"/>
    </row>
    <row r="2282" spans="19:19" x14ac:dyDescent="0.3">
      <c r="S2282" s="18"/>
    </row>
    <row r="2283" spans="19:19" x14ac:dyDescent="0.3">
      <c r="S2283" s="19"/>
    </row>
    <row r="2284" spans="19:19" x14ac:dyDescent="0.3">
      <c r="S2284" s="18"/>
    </row>
    <row r="2285" spans="19:19" x14ac:dyDescent="0.3">
      <c r="S2285" s="19"/>
    </row>
    <row r="2286" spans="19:19" x14ac:dyDescent="0.3">
      <c r="S2286" s="18"/>
    </row>
    <row r="2287" spans="19:19" x14ac:dyDescent="0.3">
      <c r="S2287" s="19"/>
    </row>
    <row r="2288" spans="19:19" x14ac:dyDescent="0.3">
      <c r="S2288" s="18"/>
    </row>
    <row r="2289" spans="19:19" x14ac:dyDescent="0.3">
      <c r="S2289" s="19"/>
    </row>
    <row r="2290" spans="19:19" x14ac:dyDescent="0.3">
      <c r="S2290" s="18"/>
    </row>
    <row r="2291" spans="19:19" x14ac:dyDescent="0.3">
      <c r="S2291" s="19"/>
    </row>
    <row r="2292" spans="19:19" x14ac:dyDescent="0.3">
      <c r="S2292" s="18"/>
    </row>
    <row r="2293" spans="19:19" x14ac:dyDescent="0.3">
      <c r="S2293" s="19"/>
    </row>
    <row r="2294" spans="19:19" x14ac:dyDescent="0.3">
      <c r="S2294" s="18"/>
    </row>
    <row r="2295" spans="19:19" x14ac:dyDescent="0.3">
      <c r="S2295" s="19"/>
    </row>
    <row r="2296" spans="19:19" x14ac:dyDescent="0.3">
      <c r="S2296" s="18"/>
    </row>
    <row r="2297" spans="19:19" x14ac:dyDescent="0.3">
      <c r="S2297" s="19"/>
    </row>
    <row r="2298" spans="19:19" x14ac:dyDescent="0.3">
      <c r="S2298" s="18"/>
    </row>
    <row r="2299" spans="19:19" x14ac:dyDescent="0.3">
      <c r="S2299" s="19"/>
    </row>
    <row r="2300" spans="19:19" x14ac:dyDescent="0.3">
      <c r="S2300" s="18"/>
    </row>
    <row r="2301" spans="19:19" x14ac:dyDescent="0.3">
      <c r="S2301" s="19"/>
    </row>
    <row r="2302" spans="19:19" x14ac:dyDescent="0.3">
      <c r="S2302" s="18"/>
    </row>
    <row r="2303" spans="19:19" x14ac:dyDescent="0.3">
      <c r="S2303" s="19"/>
    </row>
    <row r="2304" spans="19:19" x14ac:dyDescent="0.3">
      <c r="S2304" s="18"/>
    </row>
    <row r="2305" spans="19:19" x14ac:dyDescent="0.3">
      <c r="S2305" s="19"/>
    </row>
    <row r="2306" spans="19:19" x14ac:dyDescent="0.3">
      <c r="S2306" s="18"/>
    </row>
    <row r="2307" spans="19:19" x14ac:dyDescent="0.3">
      <c r="S2307" s="19"/>
    </row>
    <row r="2308" spans="19:19" x14ac:dyDescent="0.3">
      <c r="S2308" s="18"/>
    </row>
    <row r="2309" spans="19:19" x14ac:dyDescent="0.3">
      <c r="S2309" s="19"/>
    </row>
    <row r="2310" spans="19:19" x14ac:dyDescent="0.3">
      <c r="S2310" s="18"/>
    </row>
    <row r="2311" spans="19:19" x14ac:dyDescent="0.3">
      <c r="S2311" s="19"/>
    </row>
    <row r="2312" spans="19:19" x14ac:dyDescent="0.3">
      <c r="S2312" s="18"/>
    </row>
    <row r="2313" spans="19:19" x14ac:dyDescent="0.3">
      <c r="S2313" s="19"/>
    </row>
    <row r="2314" spans="19:19" x14ac:dyDescent="0.3">
      <c r="S2314" s="18"/>
    </row>
    <row r="2315" spans="19:19" x14ac:dyDescent="0.3">
      <c r="S2315" s="19"/>
    </row>
    <row r="2316" spans="19:19" x14ac:dyDescent="0.3">
      <c r="S2316" s="18"/>
    </row>
    <row r="2317" spans="19:19" x14ac:dyDescent="0.3">
      <c r="S2317" s="19"/>
    </row>
    <row r="2318" spans="19:19" x14ac:dyDescent="0.3">
      <c r="S2318" s="18"/>
    </row>
    <row r="2319" spans="19:19" x14ac:dyDescent="0.3">
      <c r="S2319" s="19"/>
    </row>
    <row r="2320" spans="19:19" x14ac:dyDescent="0.3">
      <c r="S2320" s="18"/>
    </row>
    <row r="2321" spans="19:19" x14ac:dyDescent="0.3">
      <c r="S2321" s="19"/>
    </row>
    <row r="2322" spans="19:19" x14ac:dyDescent="0.3">
      <c r="S2322" s="18"/>
    </row>
    <row r="2323" spans="19:19" x14ac:dyDescent="0.3">
      <c r="S2323" s="19"/>
    </row>
    <row r="2324" spans="19:19" x14ac:dyDescent="0.3">
      <c r="S2324" s="18"/>
    </row>
    <row r="2325" spans="19:19" x14ac:dyDescent="0.3">
      <c r="S2325" s="19"/>
    </row>
    <row r="2326" spans="19:19" x14ac:dyDescent="0.3">
      <c r="S2326" s="18"/>
    </row>
    <row r="2327" spans="19:19" x14ac:dyDescent="0.3">
      <c r="S2327" s="19"/>
    </row>
    <row r="2328" spans="19:19" x14ac:dyDescent="0.3">
      <c r="S2328" s="18"/>
    </row>
    <row r="2329" spans="19:19" x14ac:dyDescent="0.3">
      <c r="S2329" s="19"/>
    </row>
    <row r="2330" spans="19:19" x14ac:dyDescent="0.3">
      <c r="S2330" s="18"/>
    </row>
    <row r="2331" spans="19:19" x14ac:dyDescent="0.3">
      <c r="S2331" s="19"/>
    </row>
    <row r="2332" spans="19:19" x14ac:dyDescent="0.3">
      <c r="S2332" s="18"/>
    </row>
    <row r="2333" spans="19:19" x14ac:dyDescent="0.3">
      <c r="S2333" s="19"/>
    </row>
    <row r="2334" spans="19:19" x14ac:dyDescent="0.3">
      <c r="S2334" s="18"/>
    </row>
    <row r="2335" spans="19:19" x14ac:dyDescent="0.3">
      <c r="S2335" s="19"/>
    </row>
    <row r="2336" spans="19:19" x14ac:dyDescent="0.3">
      <c r="S2336" s="18"/>
    </row>
    <row r="2337" spans="19:19" x14ac:dyDescent="0.3">
      <c r="S2337" s="19"/>
    </row>
    <row r="2338" spans="19:19" x14ac:dyDescent="0.3">
      <c r="S2338" s="18"/>
    </row>
    <row r="2339" spans="19:19" x14ac:dyDescent="0.3">
      <c r="S2339" s="19"/>
    </row>
    <row r="2340" spans="19:19" x14ac:dyDescent="0.3">
      <c r="S2340" s="18"/>
    </row>
    <row r="2341" spans="19:19" x14ac:dyDescent="0.3">
      <c r="S2341" s="19"/>
    </row>
    <row r="2342" spans="19:19" x14ac:dyDescent="0.3">
      <c r="S2342" s="18"/>
    </row>
    <row r="2343" spans="19:19" x14ac:dyDescent="0.3">
      <c r="S2343" s="19"/>
    </row>
    <row r="2344" spans="19:19" x14ac:dyDescent="0.3">
      <c r="S2344" s="18"/>
    </row>
    <row r="2345" spans="19:19" x14ac:dyDescent="0.3">
      <c r="S2345" s="19"/>
    </row>
    <row r="2346" spans="19:19" x14ac:dyDescent="0.3">
      <c r="S2346" s="18"/>
    </row>
    <row r="2347" spans="19:19" x14ac:dyDescent="0.3">
      <c r="S2347" s="19"/>
    </row>
    <row r="2348" spans="19:19" x14ac:dyDescent="0.3">
      <c r="S2348" s="18"/>
    </row>
    <row r="2349" spans="19:19" x14ac:dyDescent="0.3">
      <c r="S2349" s="19"/>
    </row>
    <row r="2350" spans="19:19" x14ac:dyDescent="0.3">
      <c r="S2350" s="18"/>
    </row>
    <row r="2351" spans="19:19" x14ac:dyDescent="0.3">
      <c r="S2351" s="19"/>
    </row>
    <row r="2352" spans="19:19" x14ac:dyDescent="0.3">
      <c r="S2352" s="18"/>
    </row>
    <row r="2353" spans="19:19" x14ac:dyDescent="0.3">
      <c r="S2353" s="19"/>
    </row>
    <row r="2354" spans="19:19" x14ac:dyDescent="0.3">
      <c r="S2354" s="18"/>
    </row>
    <row r="2355" spans="19:19" x14ac:dyDescent="0.3">
      <c r="S2355" s="19"/>
    </row>
    <row r="2356" spans="19:19" x14ac:dyDescent="0.3">
      <c r="S2356" s="18"/>
    </row>
    <row r="2357" spans="19:19" x14ac:dyDescent="0.3">
      <c r="S2357" s="19"/>
    </row>
    <row r="2358" spans="19:19" x14ac:dyDescent="0.3">
      <c r="S2358" s="18"/>
    </row>
    <row r="2359" spans="19:19" x14ac:dyDescent="0.3">
      <c r="S2359" s="19"/>
    </row>
    <row r="2360" spans="19:19" x14ac:dyDescent="0.3">
      <c r="S2360" s="18"/>
    </row>
    <row r="2361" spans="19:19" x14ac:dyDescent="0.3">
      <c r="S2361" s="19"/>
    </row>
    <row r="2362" spans="19:19" x14ac:dyDescent="0.3">
      <c r="S2362" s="18"/>
    </row>
    <row r="2363" spans="19:19" x14ac:dyDescent="0.3">
      <c r="S2363" s="19"/>
    </row>
    <row r="2364" spans="19:19" x14ac:dyDescent="0.3">
      <c r="S2364" s="18"/>
    </row>
    <row r="2365" spans="19:19" x14ac:dyDescent="0.3">
      <c r="S2365" s="19"/>
    </row>
    <row r="2366" spans="19:19" x14ac:dyDescent="0.3">
      <c r="S2366" s="18"/>
    </row>
    <row r="2367" spans="19:19" x14ac:dyDescent="0.3">
      <c r="S2367" s="19"/>
    </row>
    <row r="2368" spans="19:19" x14ac:dyDescent="0.3">
      <c r="S2368" s="18"/>
    </row>
    <row r="2369" spans="19:19" x14ac:dyDescent="0.3">
      <c r="S2369" s="19"/>
    </row>
    <row r="2370" spans="19:19" x14ac:dyDescent="0.3">
      <c r="S2370" s="18"/>
    </row>
    <row r="2371" spans="19:19" x14ac:dyDescent="0.3">
      <c r="S2371" s="19"/>
    </row>
    <row r="2372" spans="19:19" x14ac:dyDescent="0.3">
      <c r="S2372" s="18"/>
    </row>
    <row r="2373" spans="19:19" x14ac:dyDescent="0.3">
      <c r="S2373" s="19"/>
    </row>
    <row r="2374" spans="19:19" x14ac:dyDescent="0.3">
      <c r="S2374" s="18"/>
    </row>
    <row r="2375" spans="19:19" x14ac:dyDescent="0.3">
      <c r="S2375" s="19"/>
    </row>
    <row r="2376" spans="19:19" x14ac:dyDescent="0.3">
      <c r="S2376" s="18"/>
    </row>
    <row r="2377" spans="19:19" x14ac:dyDescent="0.3">
      <c r="S2377" s="19"/>
    </row>
    <row r="2378" spans="19:19" x14ac:dyDescent="0.3">
      <c r="S2378" s="18"/>
    </row>
    <row r="2379" spans="19:19" x14ac:dyDescent="0.3">
      <c r="S2379" s="19"/>
    </row>
    <row r="2380" spans="19:19" x14ac:dyDescent="0.3">
      <c r="S2380" s="18"/>
    </row>
    <row r="2381" spans="19:19" x14ac:dyDescent="0.3">
      <c r="S2381" s="19"/>
    </row>
    <row r="2382" spans="19:19" x14ac:dyDescent="0.3">
      <c r="S2382" s="18"/>
    </row>
    <row r="2383" spans="19:19" x14ac:dyDescent="0.3">
      <c r="S2383" s="19"/>
    </row>
    <row r="2384" spans="19:19" x14ac:dyDescent="0.3">
      <c r="S2384" s="18"/>
    </row>
    <row r="2385" spans="19:19" x14ac:dyDescent="0.3">
      <c r="S2385" s="19"/>
    </row>
    <row r="2386" spans="19:19" x14ac:dyDescent="0.3">
      <c r="S2386" s="18"/>
    </row>
    <row r="2387" spans="19:19" x14ac:dyDescent="0.3">
      <c r="S2387" s="19"/>
    </row>
    <row r="2388" spans="19:19" x14ac:dyDescent="0.3">
      <c r="S2388" s="18"/>
    </row>
    <row r="2389" spans="19:19" x14ac:dyDescent="0.3">
      <c r="S2389" s="19"/>
    </row>
    <row r="2390" spans="19:19" x14ac:dyDescent="0.3">
      <c r="S2390" s="18"/>
    </row>
    <row r="2391" spans="19:19" x14ac:dyDescent="0.3">
      <c r="S2391" s="19"/>
    </row>
    <row r="2392" spans="19:19" x14ac:dyDescent="0.3">
      <c r="S2392" s="18"/>
    </row>
    <row r="2393" spans="19:19" x14ac:dyDescent="0.3">
      <c r="S2393" s="19"/>
    </row>
    <row r="2394" spans="19:19" x14ac:dyDescent="0.3">
      <c r="S2394" s="18"/>
    </row>
    <row r="2395" spans="19:19" x14ac:dyDescent="0.3">
      <c r="S2395" s="19"/>
    </row>
    <row r="2396" spans="19:19" x14ac:dyDescent="0.3">
      <c r="S2396" s="18"/>
    </row>
    <row r="2397" spans="19:19" x14ac:dyDescent="0.3">
      <c r="S2397" s="19"/>
    </row>
    <row r="2398" spans="19:19" x14ac:dyDescent="0.3">
      <c r="S2398" s="18"/>
    </row>
    <row r="2399" spans="19:19" x14ac:dyDescent="0.3">
      <c r="S2399" s="19"/>
    </row>
    <row r="2400" spans="19:19" x14ac:dyDescent="0.3">
      <c r="S2400" s="18"/>
    </row>
    <row r="2401" spans="19:19" x14ac:dyDescent="0.3">
      <c r="S2401" s="19"/>
    </row>
    <row r="2402" spans="19:19" x14ac:dyDescent="0.3">
      <c r="S2402" s="18"/>
    </row>
    <row r="2403" spans="19:19" x14ac:dyDescent="0.3">
      <c r="S2403" s="19"/>
    </row>
    <row r="2404" spans="19:19" x14ac:dyDescent="0.3">
      <c r="S2404" s="18"/>
    </row>
    <row r="2405" spans="19:19" x14ac:dyDescent="0.3">
      <c r="S2405" s="19"/>
    </row>
    <row r="2406" spans="19:19" x14ac:dyDescent="0.3">
      <c r="S2406" s="18"/>
    </row>
    <row r="2407" spans="19:19" x14ac:dyDescent="0.3">
      <c r="S2407" s="19"/>
    </row>
    <row r="2408" spans="19:19" x14ac:dyDescent="0.3">
      <c r="S2408" s="18"/>
    </row>
    <row r="2409" spans="19:19" x14ac:dyDescent="0.3">
      <c r="S2409" s="19"/>
    </row>
    <row r="2410" spans="19:19" x14ac:dyDescent="0.3">
      <c r="S2410" s="18"/>
    </row>
    <row r="2411" spans="19:19" x14ac:dyDescent="0.3">
      <c r="S2411" s="19"/>
    </row>
    <row r="2412" spans="19:19" x14ac:dyDescent="0.3">
      <c r="S2412" s="18"/>
    </row>
    <row r="2413" spans="19:19" x14ac:dyDescent="0.3">
      <c r="S2413" s="19"/>
    </row>
    <row r="2414" spans="19:19" x14ac:dyDescent="0.3">
      <c r="S2414" s="18"/>
    </row>
    <row r="2415" spans="19:19" x14ac:dyDescent="0.3">
      <c r="S2415" s="19"/>
    </row>
    <row r="2416" spans="19:19" x14ac:dyDescent="0.3">
      <c r="S2416" s="18"/>
    </row>
    <row r="2417" spans="19:19" x14ac:dyDescent="0.3">
      <c r="S2417" s="19"/>
    </row>
    <row r="2418" spans="19:19" x14ac:dyDescent="0.3">
      <c r="S2418" s="18"/>
    </row>
    <row r="2419" spans="19:19" x14ac:dyDescent="0.3">
      <c r="S2419" s="19"/>
    </row>
    <row r="2420" spans="19:19" x14ac:dyDescent="0.3">
      <c r="S2420" s="18"/>
    </row>
    <row r="2421" spans="19:19" x14ac:dyDescent="0.3">
      <c r="S2421" s="19"/>
    </row>
    <row r="2422" spans="19:19" x14ac:dyDescent="0.3">
      <c r="S2422" s="18"/>
    </row>
    <row r="2423" spans="19:19" x14ac:dyDescent="0.3">
      <c r="S2423" s="19"/>
    </row>
    <row r="2424" spans="19:19" x14ac:dyDescent="0.3">
      <c r="S2424" s="18"/>
    </row>
    <row r="2425" spans="19:19" x14ac:dyDescent="0.3">
      <c r="S2425" s="19"/>
    </row>
    <row r="2426" spans="19:19" x14ac:dyDescent="0.3">
      <c r="S2426" s="18"/>
    </row>
    <row r="2427" spans="19:19" x14ac:dyDescent="0.3">
      <c r="S2427" s="19"/>
    </row>
    <row r="2428" spans="19:19" x14ac:dyDescent="0.3">
      <c r="S2428" s="18"/>
    </row>
    <row r="2429" spans="19:19" x14ac:dyDescent="0.3">
      <c r="S2429" s="19"/>
    </row>
    <row r="2430" spans="19:19" x14ac:dyDescent="0.3">
      <c r="S2430" s="18"/>
    </row>
    <row r="2431" spans="19:19" x14ac:dyDescent="0.3">
      <c r="S2431" s="19"/>
    </row>
    <row r="2432" spans="19:19" x14ac:dyDescent="0.3">
      <c r="S2432" s="18"/>
    </row>
    <row r="2433" spans="19:19" x14ac:dyDescent="0.3">
      <c r="S2433" s="19"/>
    </row>
    <row r="2434" spans="19:19" x14ac:dyDescent="0.3">
      <c r="S2434" s="18"/>
    </row>
    <row r="2435" spans="19:19" x14ac:dyDescent="0.3">
      <c r="S2435" s="19"/>
    </row>
    <row r="2436" spans="19:19" x14ac:dyDescent="0.3">
      <c r="S2436" s="18"/>
    </row>
    <row r="2437" spans="19:19" x14ac:dyDescent="0.3">
      <c r="S2437" s="19"/>
    </row>
    <row r="2438" spans="19:19" x14ac:dyDescent="0.3">
      <c r="S2438" s="18"/>
    </row>
    <row r="2439" spans="19:19" x14ac:dyDescent="0.3">
      <c r="S2439" s="19"/>
    </row>
    <row r="2440" spans="19:19" x14ac:dyDescent="0.3">
      <c r="S2440" s="18"/>
    </row>
    <row r="2441" spans="19:19" x14ac:dyDescent="0.3">
      <c r="S2441" s="19"/>
    </row>
    <row r="2442" spans="19:19" x14ac:dyDescent="0.3">
      <c r="S2442" s="18"/>
    </row>
    <row r="2443" spans="19:19" x14ac:dyDescent="0.3">
      <c r="S2443" s="19"/>
    </row>
    <row r="2444" spans="19:19" x14ac:dyDescent="0.3">
      <c r="S2444" s="18"/>
    </row>
    <row r="2445" spans="19:19" x14ac:dyDescent="0.3">
      <c r="S2445" s="19"/>
    </row>
    <row r="2446" spans="19:19" x14ac:dyDescent="0.3">
      <c r="S2446" s="18"/>
    </row>
    <row r="2447" spans="19:19" x14ac:dyDescent="0.3">
      <c r="S2447" s="19"/>
    </row>
    <row r="2448" spans="19:19" x14ac:dyDescent="0.3">
      <c r="S2448" s="18"/>
    </row>
    <row r="2449" spans="19:19" x14ac:dyDescent="0.3">
      <c r="S2449" s="19"/>
    </row>
    <row r="2450" spans="19:19" x14ac:dyDescent="0.3">
      <c r="S2450" s="18"/>
    </row>
    <row r="2451" spans="19:19" x14ac:dyDescent="0.3">
      <c r="S2451" s="19"/>
    </row>
    <row r="2452" spans="19:19" x14ac:dyDescent="0.3">
      <c r="S2452" s="18"/>
    </row>
    <row r="2453" spans="19:19" x14ac:dyDescent="0.3">
      <c r="S2453" s="19"/>
    </row>
    <row r="2454" spans="19:19" x14ac:dyDescent="0.3">
      <c r="S2454" s="18"/>
    </row>
    <row r="2455" spans="19:19" x14ac:dyDescent="0.3">
      <c r="S2455" s="19"/>
    </row>
    <row r="2456" spans="19:19" x14ac:dyDescent="0.3">
      <c r="S2456" s="18"/>
    </row>
    <row r="2457" spans="19:19" x14ac:dyDescent="0.3">
      <c r="S2457" s="19"/>
    </row>
    <row r="2458" spans="19:19" x14ac:dyDescent="0.3">
      <c r="S2458" s="18"/>
    </row>
    <row r="2459" spans="19:19" x14ac:dyDescent="0.3">
      <c r="S2459" s="19"/>
    </row>
    <row r="2460" spans="19:19" x14ac:dyDescent="0.3">
      <c r="S2460" s="18"/>
    </row>
    <row r="2461" spans="19:19" x14ac:dyDescent="0.3">
      <c r="S2461" s="19"/>
    </row>
    <row r="2462" spans="19:19" x14ac:dyDescent="0.3">
      <c r="S2462" s="18"/>
    </row>
    <row r="2463" spans="19:19" x14ac:dyDescent="0.3">
      <c r="S2463" s="19"/>
    </row>
    <row r="2464" spans="19:19" x14ac:dyDescent="0.3">
      <c r="S2464" s="18"/>
    </row>
    <row r="2465" spans="19:19" x14ac:dyDescent="0.3">
      <c r="S2465" s="19"/>
    </row>
    <row r="2466" spans="19:19" x14ac:dyDescent="0.3">
      <c r="S2466" s="18"/>
    </row>
    <row r="2467" spans="19:19" x14ac:dyDescent="0.3">
      <c r="S2467" s="19"/>
    </row>
    <row r="2468" spans="19:19" x14ac:dyDescent="0.3">
      <c r="S2468" s="18"/>
    </row>
    <row r="2469" spans="19:19" x14ac:dyDescent="0.3">
      <c r="S2469" s="19"/>
    </row>
    <row r="2470" spans="19:19" x14ac:dyDescent="0.3">
      <c r="S2470" s="18"/>
    </row>
    <row r="2471" spans="19:19" x14ac:dyDescent="0.3">
      <c r="S2471" s="19"/>
    </row>
    <row r="2472" spans="19:19" x14ac:dyDescent="0.3">
      <c r="S2472" s="18"/>
    </row>
    <row r="2473" spans="19:19" x14ac:dyDescent="0.3">
      <c r="S2473" s="19"/>
    </row>
    <row r="2474" spans="19:19" x14ac:dyDescent="0.3">
      <c r="S2474" s="18"/>
    </row>
    <row r="2475" spans="19:19" x14ac:dyDescent="0.3">
      <c r="S2475" s="19"/>
    </row>
    <row r="2476" spans="19:19" x14ac:dyDescent="0.3">
      <c r="S2476" s="18"/>
    </row>
    <row r="2477" spans="19:19" x14ac:dyDescent="0.3">
      <c r="S2477" s="19"/>
    </row>
    <row r="2478" spans="19:19" x14ac:dyDescent="0.3">
      <c r="S2478" s="18"/>
    </row>
    <row r="2479" spans="19:19" x14ac:dyDescent="0.3">
      <c r="S2479" s="19"/>
    </row>
    <row r="2480" spans="19:19" x14ac:dyDescent="0.3">
      <c r="S2480" s="18"/>
    </row>
    <row r="2481" spans="19:19" x14ac:dyDescent="0.3">
      <c r="S2481" s="19"/>
    </row>
    <row r="2482" spans="19:19" x14ac:dyDescent="0.3">
      <c r="S2482" s="18"/>
    </row>
    <row r="2483" spans="19:19" x14ac:dyDescent="0.3">
      <c r="S2483" s="19"/>
    </row>
    <row r="2484" spans="19:19" x14ac:dyDescent="0.3">
      <c r="S2484" s="18"/>
    </row>
    <row r="2485" spans="19:19" x14ac:dyDescent="0.3">
      <c r="S2485" s="19"/>
    </row>
    <row r="2486" spans="19:19" x14ac:dyDescent="0.3">
      <c r="S2486" s="18"/>
    </row>
    <row r="2487" spans="19:19" x14ac:dyDescent="0.3">
      <c r="S2487" s="19"/>
    </row>
    <row r="2488" spans="19:19" x14ac:dyDescent="0.3">
      <c r="S2488" s="18"/>
    </row>
    <row r="2489" spans="19:19" x14ac:dyDescent="0.3">
      <c r="S2489" s="19"/>
    </row>
    <row r="2490" spans="19:19" x14ac:dyDescent="0.3">
      <c r="S2490" s="18"/>
    </row>
    <row r="2491" spans="19:19" x14ac:dyDescent="0.3">
      <c r="S2491" s="19"/>
    </row>
    <row r="2492" spans="19:19" x14ac:dyDescent="0.3">
      <c r="S2492" s="18"/>
    </row>
    <row r="2493" spans="19:19" x14ac:dyDescent="0.3">
      <c r="S2493" s="19"/>
    </row>
    <row r="2494" spans="19:19" x14ac:dyDescent="0.3">
      <c r="S2494" s="18"/>
    </row>
    <row r="2495" spans="19:19" x14ac:dyDescent="0.3">
      <c r="S2495" s="19"/>
    </row>
    <row r="2496" spans="19:19" x14ac:dyDescent="0.3">
      <c r="S2496" s="18"/>
    </row>
    <row r="2497" spans="19:19" x14ac:dyDescent="0.3">
      <c r="S2497" s="19"/>
    </row>
    <row r="2498" spans="19:19" x14ac:dyDescent="0.3">
      <c r="S2498" s="18"/>
    </row>
    <row r="2499" spans="19:19" x14ac:dyDescent="0.3">
      <c r="S2499" s="19"/>
    </row>
    <row r="2500" spans="19:19" x14ac:dyDescent="0.3">
      <c r="S2500" s="18"/>
    </row>
    <row r="2501" spans="19:19" x14ac:dyDescent="0.3">
      <c r="S2501" s="19"/>
    </row>
    <row r="2502" spans="19:19" x14ac:dyDescent="0.3">
      <c r="S2502" s="18"/>
    </row>
    <row r="2503" spans="19:19" x14ac:dyDescent="0.3">
      <c r="S2503" s="19"/>
    </row>
    <row r="2504" spans="19:19" x14ac:dyDescent="0.3">
      <c r="S2504" s="18"/>
    </row>
    <row r="2505" spans="19:19" x14ac:dyDescent="0.3">
      <c r="S2505" s="19"/>
    </row>
    <row r="2506" spans="19:19" x14ac:dyDescent="0.3">
      <c r="S2506" s="18"/>
    </row>
    <row r="2507" spans="19:19" x14ac:dyDescent="0.3">
      <c r="S2507" s="19"/>
    </row>
    <row r="2508" spans="19:19" x14ac:dyDescent="0.3">
      <c r="S2508" s="18"/>
    </row>
    <row r="2509" spans="19:19" x14ac:dyDescent="0.3">
      <c r="S2509" s="19"/>
    </row>
    <row r="2510" spans="19:19" x14ac:dyDescent="0.3">
      <c r="S2510" s="18"/>
    </row>
    <row r="2511" spans="19:19" x14ac:dyDescent="0.3">
      <c r="S2511" s="19"/>
    </row>
    <row r="2512" spans="19:19" x14ac:dyDescent="0.3">
      <c r="S2512" s="18"/>
    </row>
    <row r="2513" spans="19:19" x14ac:dyDescent="0.3">
      <c r="S2513" s="19"/>
    </row>
    <row r="2514" spans="19:19" x14ac:dyDescent="0.3">
      <c r="S2514" s="18"/>
    </row>
    <row r="2515" spans="19:19" x14ac:dyDescent="0.3">
      <c r="S2515" s="19"/>
    </row>
    <row r="2516" spans="19:19" x14ac:dyDescent="0.3">
      <c r="S2516" s="18"/>
    </row>
    <row r="2517" spans="19:19" x14ac:dyDescent="0.3">
      <c r="S2517" s="19"/>
    </row>
    <row r="2518" spans="19:19" x14ac:dyDescent="0.3">
      <c r="S2518" s="18"/>
    </row>
    <row r="2519" spans="19:19" x14ac:dyDescent="0.3">
      <c r="S2519" s="19"/>
    </row>
    <row r="2520" spans="19:19" x14ac:dyDescent="0.3">
      <c r="S2520" s="18"/>
    </row>
    <row r="2521" spans="19:19" x14ac:dyDescent="0.3">
      <c r="S2521" s="19"/>
    </row>
    <row r="2522" spans="19:19" x14ac:dyDescent="0.3">
      <c r="S2522" s="18"/>
    </row>
    <row r="2523" spans="19:19" x14ac:dyDescent="0.3">
      <c r="S2523" s="19"/>
    </row>
    <row r="2524" spans="19:19" x14ac:dyDescent="0.3">
      <c r="S2524" s="18"/>
    </row>
    <row r="2525" spans="19:19" x14ac:dyDescent="0.3">
      <c r="S2525" s="19"/>
    </row>
    <row r="2526" spans="19:19" x14ac:dyDescent="0.3">
      <c r="S2526" s="18"/>
    </row>
    <row r="2527" spans="19:19" x14ac:dyDescent="0.3">
      <c r="S2527" s="19"/>
    </row>
    <row r="2528" spans="19:19" x14ac:dyDescent="0.3">
      <c r="S2528" s="18"/>
    </row>
    <row r="2529" spans="19:19" x14ac:dyDescent="0.3">
      <c r="S2529" s="19"/>
    </row>
    <row r="2530" spans="19:19" x14ac:dyDescent="0.3">
      <c r="S2530" s="18"/>
    </row>
    <row r="2531" spans="19:19" x14ac:dyDescent="0.3">
      <c r="S2531" s="19"/>
    </row>
    <row r="2532" spans="19:19" x14ac:dyDescent="0.3">
      <c r="S2532" s="18"/>
    </row>
    <row r="2533" spans="19:19" x14ac:dyDescent="0.3">
      <c r="S2533" s="19"/>
    </row>
    <row r="2534" spans="19:19" x14ac:dyDescent="0.3">
      <c r="S2534" s="18"/>
    </row>
    <row r="2535" spans="19:19" x14ac:dyDescent="0.3">
      <c r="S2535" s="19"/>
    </row>
    <row r="2536" spans="19:19" x14ac:dyDescent="0.3">
      <c r="S2536" s="18"/>
    </row>
    <row r="2537" spans="19:19" x14ac:dyDescent="0.3">
      <c r="S2537" s="19"/>
    </row>
    <row r="2538" spans="19:19" x14ac:dyDescent="0.3">
      <c r="S2538" s="18"/>
    </row>
    <row r="2539" spans="19:19" x14ac:dyDescent="0.3">
      <c r="S2539" s="19"/>
    </row>
    <row r="2540" spans="19:19" x14ac:dyDescent="0.3">
      <c r="S2540" s="18"/>
    </row>
    <row r="2541" spans="19:19" x14ac:dyDescent="0.3">
      <c r="S2541" s="19"/>
    </row>
    <row r="2542" spans="19:19" x14ac:dyDescent="0.3">
      <c r="S2542" s="18"/>
    </row>
    <row r="2543" spans="19:19" x14ac:dyDescent="0.3">
      <c r="S2543" s="19"/>
    </row>
    <row r="2544" spans="19:19" x14ac:dyDescent="0.3">
      <c r="S2544" s="18"/>
    </row>
    <row r="2545" spans="19:19" x14ac:dyDescent="0.3">
      <c r="S2545" s="19"/>
    </row>
    <row r="2546" spans="19:19" x14ac:dyDescent="0.3">
      <c r="S2546" s="18"/>
    </row>
    <row r="2547" spans="19:19" x14ac:dyDescent="0.3">
      <c r="S2547" s="19"/>
    </row>
    <row r="2548" spans="19:19" x14ac:dyDescent="0.3">
      <c r="S2548" s="18"/>
    </row>
    <row r="2549" spans="19:19" x14ac:dyDescent="0.3">
      <c r="S2549" s="19"/>
    </row>
    <row r="2550" spans="19:19" x14ac:dyDescent="0.3">
      <c r="S2550" s="18"/>
    </row>
    <row r="2551" spans="19:19" x14ac:dyDescent="0.3">
      <c r="S2551" s="19"/>
    </row>
    <row r="2552" spans="19:19" x14ac:dyDescent="0.3">
      <c r="S2552" s="18"/>
    </row>
    <row r="2553" spans="19:19" x14ac:dyDescent="0.3">
      <c r="S2553" s="19"/>
    </row>
    <row r="2554" spans="19:19" x14ac:dyDescent="0.3">
      <c r="S2554" s="18"/>
    </row>
    <row r="2555" spans="19:19" x14ac:dyDescent="0.3">
      <c r="S2555" s="19"/>
    </row>
    <row r="2556" spans="19:19" x14ac:dyDescent="0.3">
      <c r="S2556" s="18"/>
    </row>
    <row r="2557" spans="19:19" x14ac:dyDescent="0.3">
      <c r="S2557" s="19"/>
    </row>
    <row r="2558" spans="19:19" x14ac:dyDescent="0.3">
      <c r="S2558" s="18"/>
    </row>
    <row r="2559" spans="19:19" x14ac:dyDescent="0.3">
      <c r="S2559" s="19"/>
    </row>
    <row r="2560" spans="19:19" x14ac:dyDescent="0.3">
      <c r="S2560" s="18"/>
    </row>
    <row r="2561" spans="19:19" x14ac:dyDescent="0.3">
      <c r="S2561" s="19"/>
    </row>
    <row r="2562" spans="19:19" x14ac:dyDescent="0.3">
      <c r="S2562" s="18"/>
    </row>
    <row r="2563" spans="19:19" x14ac:dyDescent="0.3">
      <c r="S2563" s="19"/>
    </row>
    <row r="2564" spans="19:19" x14ac:dyDescent="0.3">
      <c r="S2564" s="18"/>
    </row>
    <row r="2565" spans="19:19" x14ac:dyDescent="0.3">
      <c r="S2565" s="19"/>
    </row>
    <row r="2566" spans="19:19" x14ac:dyDescent="0.3">
      <c r="S2566" s="18"/>
    </row>
    <row r="2567" spans="19:19" x14ac:dyDescent="0.3">
      <c r="S2567" s="19"/>
    </row>
    <row r="2568" spans="19:19" x14ac:dyDescent="0.3">
      <c r="S2568" s="18"/>
    </row>
    <row r="2569" spans="19:19" x14ac:dyDescent="0.3">
      <c r="S2569" s="19"/>
    </row>
    <row r="2570" spans="19:19" x14ac:dyDescent="0.3">
      <c r="S2570" s="18"/>
    </row>
    <row r="2571" spans="19:19" x14ac:dyDescent="0.3">
      <c r="S2571" s="19"/>
    </row>
    <row r="2572" spans="19:19" x14ac:dyDescent="0.3">
      <c r="S2572" s="18"/>
    </row>
    <row r="2573" spans="19:19" x14ac:dyDescent="0.3">
      <c r="S2573" s="19"/>
    </row>
    <row r="2574" spans="19:19" x14ac:dyDescent="0.3">
      <c r="S2574" s="18"/>
    </row>
    <row r="2575" spans="19:19" x14ac:dyDescent="0.3">
      <c r="S2575" s="19"/>
    </row>
    <row r="2576" spans="19:19" x14ac:dyDescent="0.3">
      <c r="S2576" s="18"/>
    </row>
    <row r="2577" spans="19:19" x14ac:dyDescent="0.3">
      <c r="S2577" s="19"/>
    </row>
    <row r="2578" spans="19:19" x14ac:dyDescent="0.3">
      <c r="S2578" s="18"/>
    </row>
    <row r="2579" spans="19:19" x14ac:dyDescent="0.3">
      <c r="S2579" s="19"/>
    </row>
    <row r="2580" spans="19:19" x14ac:dyDescent="0.3">
      <c r="S2580" s="18"/>
    </row>
    <row r="2581" spans="19:19" x14ac:dyDescent="0.3">
      <c r="S2581" s="19"/>
    </row>
    <row r="2582" spans="19:19" x14ac:dyDescent="0.3">
      <c r="S2582" s="18"/>
    </row>
    <row r="2583" spans="19:19" x14ac:dyDescent="0.3">
      <c r="S2583" s="19"/>
    </row>
    <row r="2584" spans="19:19" x14ac:dyDescent="0.3">
      <c r="S2584" s="18"/>
    </row>
    <row r="2585" spans="19:19" x14ac:dyDescent="0.3">
      <c r="S2585" s="19"/>
    </row>
    <row r="2586" spans="19:19" x14ac:dyDescent="0.3">
      <c r="S2586" s="18"/>
    </row>
    <row r="2587" spans="19:19" x14ac:dyDescent="0.3">
      <c r="S2587" s="19"/>
    </row>
    <row r="2588" spans="19:19" x14ac:dyDescent="0.3">
      <c r="S2588" s="18"/>
    </row>
    <row r="2589" spans="19:19" x14ac:dyDescent="0.3">
      <c r="S2589" s="19"/>
    </row>
    <row r="2590" spans="19:19" x14ac:dyDescent="0.3">
      <c r="S2590" s="18"/>
    </row>
    <row r="2591" spans="19:19" x14ac:dyDescent="0.3">
      <c r="S2591" s="19"/>
    </row>
    <row r="2592" spans="19:19" x14ac:dyDescent="0.3">
      <c r="S2592" s="18"/>
    </row>
    <row r="2593" spans="19:19" x14ac:dyDescent="0.3">
      <c r="S2593" s="19"/>
    </row>
    <row r="2594" spans="19:19" x14ac:dyDescent="0.3">
      <c r="S2594" s="18"/>
    </row>
    <row r="2595" spans="19:19" x14ac:dyDescent="0.3">
      <c r="S2595" s="19"/>
    </row>
    <row r="2596" spans="19:19" x14ac:dyDescent="0.3">
      <c r="S2596" s="18"/>
    </row>
    <row r="2597" spans="19:19" x14ac:dyDescent="0.3">
      <c r="S2597" s="19"/>
    </row>
    <row r="2598" spans="19:19" x14ac:dyDescent="0.3">
      <c r="S2598" s="18"/>
    </row>
    <row r="2599" spans="19:19" x14ac:dyDescent="0.3">
      <c r="S2599" s="19"/>
    </row>
    <row r="2600" spans="19:19" x14ac:dyDescent="0.3">
      <c r="S2600" s="18"/>
    </row>
    <row r="2601" spans="19:19" x14ac:dyDescent="0.3">
      <c r="S2601" s="19"/>
    </row>
    <row r="2602" spans="19:19" x14ac:dyDescent="0.3">
      <c r="S2602" s="18"/>
    </row>
    <row r="2603" spans="19:19" x14ac:dyDescent="0.3">
      <c r="S2603" s="19"/>
    </row>
    <row r="2604" spans="19:19" x14ac:dyDescent="0.3">
      <c r="S2604" s="18"/>
    </row>
    <row r="2605" spans="19:19" x14ac:dyDescent="0.3">
      <c r="S2605" s="19"/>
    </row>
    <row r="2606" spans="19:19" x14ac:dyDescent="0.3">
      <c r="S2606" s="18"/>
    </row>
    <row r="2607" spans="19:19" x14ac:dyDescent="0.3">
      <c r="S2607" s="19"/>
    </row>
    <row r="2608" spans="19:19" x14ac:dyDescent="0.3">
      <c r="S2608" s="18"/>
    </row>
    <row r="2609" spans="19:19" x14ac:dyDescent="0.3">
      <c r="S2609" s="19"/>
    </row>
    <row r="2610" spans="19:19" x14ac:dyDescent="0.3">
      <c r="S2610" s="18"/>
    </row>
    <row r="2611" spans="19:19" x14ac:dyDescent="0.3">
      <c r="S2611" s="19"/>
    </row>
    <row r="2612" spans="19:19" x14ac:dyDescent="0.3">
      <c r="S2612" s="18"/>
    </row>
    <row r="2613" spans="19:19" x14ac:dyDescent="0.3">
      <c r="S2613" s="19"/>
    </row>
    <row r="2614" spans="19:19" x14ac:dyDescent="0.3">
      <c r="S2614" s="18"/>
    </row>
    <row r="2615" spans="19:19" x14ac:dyDescent="0.3">
      <c r="S2615" s="19"/>
    </row>
    <row r="2616" spans="19:19" x14ac:dyDescent="0.3">
      <c r="S2616" s="18"/>
    </row>
    <row r="2617" spans="19:19" x14ac:dyDescent="0.3">
      <c r="S2617" s="19"/>
    </row>
    <row r="2618" spans="19:19" x14ac:dyDescent="0.3">
      <c r="S2618" s="18"/>
    </row>
    <row r="2619" spans="19:19" x14ac:dyDescent="0.3">
      <c r="S2619" s="19"/>
    </row>
    <row r="2620" spans="19:19" x14ac:dyDescent="0.3">
      <c r="S2620" s="18"/>
    </row>
    <row r="2621" spans="19:19" x14ac:dyDescent="0.3">
      <c r="S2621" s="19"/>
    </row>
    <row r="2622" spans="19:19" x14ac:dyDescent="0.3">
      <c r="S2622" s="18"/>
    </row>
    <row r="2623" spans="19:19" x14ac:dyDescent="0.3">
      <c r="S2623" s="19"/>
    </row>
    <row r="2624" spans="19:19" x14ac:dyDescent="0.3">
      <c r="S2624" s="18"/>
    </row>
    <row r="2625" spans="19:19" x14ac:dyDescent="0.3">
      <c r="S2625" s="19"/>
    </row>
    <row r="2626" spans="19:19" x14ac:dyDescent="0.3">
      <c r="S2626" s="18"/>
    </row>
    <row r="2627" spans="19:19" x14ac:dyDescent="0.3">
      <c r="S2627" s="19"/>
    </row>
    <row r="2628" spans="19:19" x14ac:dyDescent="0.3">
      <c r="S2628" s="18"/>
    </row>
    <row r="2629" spans="19:19" x14ac:dyDescent="0.3">
      <c r="S2629" s="19"/>
    </row>
    <row r="2630" spans="19:19" x14ac:dyDescent="0.3">
      <c r="S2630" s="18"/>
    </row>
    <row r="2631" spans="19:19" x14ac:dyDescent="0.3">
      <c r="S2631" s="19"/>
    </row>
    <row r="2632" spans="19:19" x14ac:dyDescent="0.3">
      <c r="S2632" s="18"/>
    </row>
    <row r="2633" spans="19:19" x14ac:dyDescent="0.3">
      <c r="S2633" s="19"/>
    </row>
    <row r="2634" spans="19:19" x14ac:dyDescent="0.3">
      <c r="S2634" s="18"/>
    </row>
    <row r="2635" spans="19:19" x14ac:dyDescent="0.3">
      <c r="S2635" s="19"/>
    </row>
    <row r="2636" spans="19:19" x14ac:dyDescent="0.3">
      <c r="S2636" s="18"/>
    </row>
    <row r="2637" spans="19:19" x14ac:dyDescent="0.3">
      <c r="S2637" s="19"/>
    </row>
    <row r="2638" spans="19:19" x14ac:dyDescent="0.3">
      <c r="S2638" s="18"/>
    </row>
    <row r="2639" spans="19:19" x14ac:dyDescent="0.3">
      <c r="S2639" s="19"/>
    </row>
    <row r="2640" spans="19:19" x14ac:dyDescent="0.3">
      <c r="S2640" s="18"/>
    </row>
    <row r="2641" spans="19:19" x14ac:dyDescent="0.3">
      <c r="S2641" s="19"/>
    </row>
    <row r="2642" spans="19:19" x14ac:dyDescent="0.3">
      <c r="S2642" s="18"/>
    </row>
    <row r="2643" spans="19:19" x14ac:dyDescent="0.3">
      <c r="S2643" s="19"/>
    </row>
    <row r="2644" spans="19:19" x14ac:dyDescent="0.3">
      <c r="S2644" s="18"/>
    </row>
    <row r="2645" spans="19:19" x14ac:dyDescent="0.3">
      <c r="S2645" s="19"/>
    </row>
    <row r="2646" spans="19:19" x14ac:dyDescent="0.3">
      <c r="S2646" s="18"/>
    </row>
    <row r="2647" spans="19:19" x14ac:dyDescent="0.3">
      <c r="S2647" s="19"/>
    </row>
    <row r="2648" spans="19:19" x14ac:dyDescent="0.3">
      <c r="S2648" s="18"/>
    </row>
    <row r="2649" spans="19:19" x14ac:dyDescent="0.3">
      <c r="S2649" s="19"/>
    </row>
    <row r="2650" spans="19:19" x14ac:dyDescent="0.3">
      <c r="S2650" s="18"/>
    </row>
    <row r="2651" spans="19:19" x14ac:dyDescent="0.3">
      <c r="S2651" s="19"/>
    </row>
    <row r="2652" spans="19:19" x14ac:dyDescent="0.3">
      <c r="S2652" s="18"/>
    </row>
    <row r="2653" spans="19:19" x14ac:dyDescent="0.3">
      <c r="S2653" s="19"/>
    </row>
    <row r="2654" spans="19:19" x14ac:dyDescent="0.3">
      <c r="S2654" s="18"/>
    </row>
    <row r="2655" spans="19:19" x14ac:dyDescent="0.3">
      <c r="S2655" s="19"/>
    </row>
    <row r="2656" spans="19:19" x14ac:dyDescent="0.3">
      <c r="S2656" s="18"/>
    </row>
    <row r="2657" spans="19:19" x14ac:dyDescent="0.3">
      <c r="S2657" s="19"/>
    </row>
    <row r="2658" spans="19:19" x14ac:dyDescent="0.3">
      <c r="S2658" s="18"/>
    </row>
    <row r="2659" spans="19:19" x14ac:dyDescent="0.3">
      <c r="S2659" s="19"/>
    </row>
    <row r="2660" spans="19:19" x14ac:dyDescent="0.3">
      <c r="S2660" s="18"/>
    </row>
    <row r="2661" spans="19:19" x14ac:dyDescent="0.3">
      <c r="S2661" s="19"/>
    </row>
    <row r="2662" spans="19:19" x14ac:dyDescent="0.3">
      <c r="S2662" s="18"/>
    </row>
    <row r="2663" spans="19:19" x14ac:dyDescent="0.3">
      <c r="S2663" s="19"/>
    </row>
    <row r="2664" spans="19:19" x14ac:dyDescent="0.3">
      <c r="S2664" s="18"/>
    </row>
    <row r="2665" spans="19:19" x14ac:dyDescent="0.3">
      <c r="S2665" s="19"/>
    </row>
    <row r="2666" spans="19:19" x14ac:dyDescent="0.3">
      <c r="S2666" s="18"/>
    </row>
    <row r="2667" spans="19:19" x14ac:dyDescent="0.3">
      <c r="S2667" s="19"/>
    </row>
    <row r="2668" spans="19:19" x14ac:dyDescent="0.3">
      <c r="S2668" s="18"/>
    </row>
    <row r="2669" spans="19:19" x14ac:dyDescent="0.3">
      <c r="S2669" s="19"/>
    </row>
    <row r="2670" spans="19:19" x14ac:dyDescent="0.3">
      <c r="S2670" s="18"/>
    </row>
    <row r="2671" spans="19:19" x14ac:dyDescent="0.3">
      <c r="S2671" s="19"/>
    </row>
    <row r="2672" spans="19:19" x14ac:dyDescent="0.3">
      <c r="S2672" s="18"/>
    </row>
    <row r="2673" spans="19:19" x14ac:dyDescent="0.3">
      <c r="S2673" s="19"/>
    </row>
    <row r="2674" spans="19:19" x14ac:dyDescent="0.3">
      <c r="S2674" s="18"/>
    </row>
    <row r="2675" spans="19:19" x14ac:dyDescent="0.3">
      <c r="S2675" s="19"/>
    </row>
    <row r="2676" spans="19:19" x14ac:dyDescent="0.3">
      <c r="S2676" s="18"/>
    </row>
    <row r="2677" spans="19:19" x14ac:dyDescent="0.3">
      <c r="S2677" s="19"/>
    </row>
    <row r="2678" spans="19:19" x14ac:dyDescent="0.3">
      <c r="S2678" s="18"/>
    </row>
    <row r="2679" spans="19:19" x14ac:dyDescent="0.3">
      <c r="S2679" s="19"/>
    </row>
    <row r="2680" spans="19:19" x14ac:dyDescent="0.3">
      <c r="S2680" s="18"/>
    </row>
    <row r="2681" spans="19:19" x14ac:dyDescent="0.3">
      <c r="S2681" s="19"/>
    </row>
    <row r="2682" spans="19:19" x14ac:dyDescent="0.3">
      <c r="S2682" s="18"/>
    </row>
    <row r="2683" spans="19:19" x14ac:dyDescent="0.3">
      <c r="S2683" s="19"/>
    </row>
    <row r="2684" spans="19:19" x14ac:dyDescent="0.3">
      <c r="S2684" s="18"/>
    </row>
    <row r="2685" spans="19:19" x14ac:dyDescent="0.3">
      <c r="S2685" s="19"/>
    </row>
    <row r="2686" spans="19:19" x14ac:dyDescent="0.3">
      <c r="S2686" s="18"/>
    </row>
    <row r="2687" spans="19:19" x14ac:dyDescent="0.3">
      <c r="S2687" s="19"/>
    </row>
    <row r="2688" spans="19:19" x14ac:dyDescent="0.3">
      <c r="S2688" s="18"/>
    </row>
    <row r="2689" spans="19:19" x14ac:dyDescent="0.3">
      <c r="S2689" s="19"/>
    </row>
    <row r="2690" spans="19:19" x14ac:dyDescent="0.3">
      <c r="S2690" s="18"/>
    </row>
    <row r="2691" spans="19:19" x14ac:dyDescent="0.3">
      <c r="S2691" s="19"/>
    </row>
    <row r="2692" spans="19:19" x14ac:dyDescent="0.3">
      <c r="S2692" s="18"/>
    </row>
    <row r="2693" spans="19:19" x14ac:dyDescent="0.3">
      <c r="S2693" s="19"/>
    </row>
    <row r="2694" spans="19:19" x14ac:dyDescent="0.3">
      <c r="S2694" s="18"/>
    </row>
    <row r="2695" spans="19:19" x14ac:dyDescent="0.3">
      <c r="S2695" s="19"/>
    </row>
    <row r="2696" spans="19:19" x14ac:dyDescent="0.3">
      <c r="S2696" s="18"/>
    </row>
    <row r="2697" spans="19:19" x14ac:dyDescent="0.3">
      <c r="S2697" s="19"/>
    </row>
    <row r="2698" spans="19:19" x14ac:dyDescent="0.3">
      <c r="S2698" s="18"/>
    </row>
    <row r="2699" spans="19:19" x14ac:dyDescent="0.3">
      <c r="S2699" s="19"/>
    </row>
    <row r="2700" spans="19:19" x14ac:dyDescent="0.3">
      <c r="S2700" s="18"/>
    </row>
    <row r="2701" spans="19:19" x14ac:dyDescent="0.3">
      <c r="S2701" s="19"/>
    </row>
    <row r="2702" spans="19:19" x14ac:dyDescent="0.3">
      <c r="S2702" s="18"/>
    </row>
    <row r="2703" spans="19:19" x14ac:dyDescent="0.3">
      <c r="S2703" s="19"/>
    </row>
    <row r="2704" spans="19:19" x14ac:dyDescent="0.3">
      <c r="S2704" s="18"/>
    </row>
    <row r="2705" spans="19:19" x14ac:dyDescent="0.3">
      <c r="S2705" s="19"/>
    </row>
    <row r="2706" spans="19:19" x14ac:dyDescent="0.3">
      <c r="S2706" s="18"/>
    </row>
    <row r="2707" spans="19:19" x14ac:dyDescent="0.3">
      <c r="S2707" s="19"/>
    </row>
    <row r="2708" spans="19:19" x14ac:dyDescent="0.3">
      <c r="S2708" s="18"/>
    </row>
    <row r="2709" spans="19:19" x14ac:dyDescent="0.3">
      <c r="S2709" s="19"/>
    </row>
    <row r="2710" spans="19:19" x14ac:dyDescent="0.3">
      <c r="S2710" s="18"/>
    </row>
    <row r="2711" spans="19:19" x14ac:dyDescent="0.3">
      <c r="S2711" s="19"/>
    </row>
    <row r="2712" spans="19:19" x14ac:dyDescent="0.3">
      <c r="S2712" s="18"/>
    </row>
    <row r="2713" spans="19:19" x14ac:dyDescent="0.3">
      <c r="S2713" s="19"/>
    </row>
    <row r="2714" spans="19:19" x14ac:dyDescent="0.3">
      <c r="S2714" s="18"/>
    </row>
    <row r="2715" spans="19:19" x14ac:dyDescent="0.3">
      <c r="S2715" s="19"/>
    </row>
    <row r="2716" spans="19:19" x14ac:dyDescent="0.3">
      <c r="S2716" s="18"/>
    </row>
    <row r="2717" spans="19:19" x14ac:dyDescent="0.3">
      <c r="S2717" s="19"/>
    </row>
    <row r="2718" spans="19:19" x14ac:dyDescent="0.3">
      <c r="S2718" s="18"/>
    </row>
    <row r="2719" spans="19:19" x14ac:dyDescent="0.3">
      <c r="S2719" s="19"/>
    </row>
    <row r="2720" spans="19:19" x14ac:dyDescent="0.3">
      <c r="S2720" s="18"/>
    </row>
    <row r="2721" spans="19:19" x14ac:dyDescent="0.3">
      <c r="S2721" s="19"/>
    </row>
    <row r="2722" spans="19:19" x14ac:dyDescent="0.3">
      <c r="S2722" s="18"/>
    </row>
    <row r="2723" spans="19:19" x14ac:dyDescent="0.3">
      <c r="S2723" s="19"/>
    </row>
    <row r="2724" spans="19:19" x14ac:dyDescent="0.3">
      <c r="S2724" s="18"/>
    </row>
    <row r="2725" spans="19:19" x14ac:dyDescent="0.3">
      <c r="S2725" s="19"/>
    </row>
    <row r="2726" spans="19:19" x14ac:dyDescent="0.3">
      <c r="S2726" s="18"/>
    </row>
    <row r="2727" spans="19:19" x14ac:dyDescent="0.3">
      <c r="S2727" s="19"/>
    </row>
    <row r="2728" spans="19:19" x14ac:dyDescent="0.3">
      <c r="S2728" s="18"/>
    </row>
    <row r="2729" spans="19:19" x14ac:dyDescent="0.3">
      <c r="S2729" s="19"/>
    </row>
    <row r="2730" spans="19:19" x14ac:dyDescent="0.3">
      <c r="S2730" s="18"/>
    </row>
    <row r="2731" spans="19:19" x14ac:dyDescent="0.3">
      <c r="S2731" s="19"/>
    </row>
    <row r="2732" spans="19:19" x14ac:dyDescent="0.3">
      <c r="S2732" s="18"/>
    </row>
    <row r="2733" spans="19:19" x14ac:dyDescent="0.3">
      <c r="S2733" s="19"/>
    </row>
    <row r="2734" spans="19:19" x14ac:dyDescent="0.3">
      <c r="S2734" s="18"/>
    </row>
    <row r="2735" spans="19:19" x14ac:dyDescent="0.3">
      <c r="S2735" s="19"/>
    </row>
    <row r="2736" spans="19:19" x14ac:dyDescent="0.3">
      <c r="S2736" s="18"/>
    </row>
    <row r="2737" spans="19:19" x14ac:dyDescent="0.3">
      <c r="S2737" s="19"/>
    </row>
    <row r="2738" spans="19:19" x14ac:dyDescent="0.3">
      <c r="S2738" s="18"/>
    </row>
    <row r="2739" spans="19:19" x14ac:dyDescent="0.3">
      <c r="S2739" s="19"/>
    </row>
    <row r="2740" spans="19:19" x14ac:dyDescent="0.3">
      <c r="S2740" s="18"/>
    </row>
    <row r="2741" spans="19:19" x14ac:dyDescent="0.3">
      <c r="S2741" s="19"/>
    </row>
    <row r="2742" spans="19:19" x14ac:dyDescent="0.3">
      <c r="S2742" s="18"/>
    </row>
    <row r="2743" spans="19:19" x14ac:dyDescent="0.3">
      <c r="S2743" s="19"/>
    </row>
    <row r="2744" spans="19:19" x14ac:dyDescent="0.3">
      <c r="S2744" s="18"/>
    </row>
    <row r="2745" spans="19:19" x14ac:dyDescent="0.3">
      <c r="S2745" s="19"/>
    </row>
    <row r="2746" spans="19:19" x14ac:dyDescent="0.3">
      <c r="S2746" s="18"/>
    </row>
    <row r="2747" spans="19:19" x14ac:dyDescent="0.3">
      <c r="S2747" s="19"/>
    </row>
    <row r="2748" spans="19:19" x14ac:dyDescent="0.3">
      <c r="S2748" s="18"/>
    </row>
    <row r="2749" spans="19:19" x14ac:dyDescent="0.3">
      <c r="S2749" s="19"/>
    </row>
    <row r="2750" spans="19:19" x14ac:dyDescent="0.3">
      <c r="S2750" s="18"/>
    </row>
    <row r="2751" spans="19:19" x14ac:dyDescent="0.3">
      <c r="S2751" s="19"/>
    </row>
    <row r="2752" spans="19:19" x14ac:dyDescent="0.3">
      <c r="S2752" s="18"/>
    </row>
    <row r="2753" spans="19:19" x14ac:dyDescent="0.3">
      <c r="S2753" s="19"/>
    </row>
    <row r="2754" spans="19:19" x14ac:dyDescent="0.3">
      <c r="S2754" s="18"/>
    </row>
    <row r="2755" spans="19:19" x14ac:dyDescent="0.3">
      <c r="S2755" s="19"/>
    </row>
    <row r="2756" spans="19:19" x14ac:dyDescent="0.3">
      <c r="S2756" s="18"/>
    </row>
    <row r="2757" spans="19:19" x14ac:dyDescent="0.3">
      <c r="S2757" s="19"/>
    </row>
    <row r="2758" spans="19:19" x14ac:dyDescent="0.3">
      <c r="S2758" s="18"/>
    </row>
    <row r="2759" spans="19:19" x14ac:dyDescent="0.3">
      <c r="S2759" s="19"/>
    </row>
    <row r="2760" spans="19:19" x14ac:dyDescent="0.3">
      <c r="S2760" s="18"/>
    </row>
    <row r="2761" spans="19:19" x14ac:dyDescent="0.3">
      <c r="S2761" s="19"/>
    </row>
    <row r="2762" spans="19:19" x14ac:dyDescent="0.3">
      <c r="S2762" s="18"/>
    </row>
    <row r="2763" spans="19:19" x14ac:dyDescent="0.3">
      <c r="S2763" s="19"/>
    </row>
    <row r="2764" spans="19:19" x14ac:dyDescent="0.3">
      <c r="S2764" s="18"/>
    </row>
    <row r="2765" spans="19:19" x14ac:dyDescent="0.3">
      <c r="S2765" s="19"/>
    </row>
    <row r="2766" spans="19:19" x14ac:dyDescent="0.3">
      <c r="S2766" s="18"/>
    </row>
    <row r="2767" spans="19:19" x14ac:dyDescent="0.3">
      <c r="S2767" s="19"/>
    </row>
    <row r="2768" spans="19:19" x14ac:dyDescent="0.3">
      <c r="S2768" s="18"/>
    </row>
    <row r="2769" spans="19:19" x14ac:dyDescent="0.3">
      <c r="S2769" s="19"/>
    </row>
    <row r="2770" spans="19:19" x14ac:dyDescent="0.3">
      <c r="S2770" s="18"/>
    </row>
    <row r="2771" spans="19:19" x14ac:dyDescent="0.3">
      <c r="S2771" s="19"/>
    </row>
    <row r="2772" spans="19:19" x14ac:dyDescent="0.3">
      <c r="S2772" s="18"/>
    </row>
    <row r="2773" spans="19:19" x14ac:dyDescent="0.3">
      <c r="S2773" s="19"/>
    </row>
    <row r="2774" spans="19:19" x14ac:dyDescent="0.3">
      <c r="S2774" s="18"/>
    </row>
    <row r="2775" spans="19:19" x14ac:dyDescent="0.3">
      <c r="S2775" s="19"/>
    </row>
    <row r="2776" spans="19:19" x14ac:dyDescent="0.3">
      <c r="S2776" s="18"/>
    </row>
    <row r="2777" spans="19:19" x14ac:dyDescent="0.3">
      <c r="S2777" s="19"/>
    </row>
    <row r="2778" spans="19:19" x14ac:dyDescent="0.3">
      <c r="S2778" s="18"/>
    </row>
    <row r="2779" spans="19:19" x14ac:dyDescent="0.3">
      <c r="S2779" s="19"/>
    </row>
    <row r="2780" spans="19:19" x14ac:dyDescent="0.3">
      <c r="S2780" s="18"/>
    </row>
    <row r="2781" spans="19:19" x14ac:dyDescent="0.3">
      <c r="S2781" s="19"/>
    </row>
    <row r="2782" spans="19:19" x14ac:dyDescent="0.3">
      <c r="S2782" s="18"/>
    </row>
    <row r="2783" spans="19:19" x14ac:dyDescent="0.3">
      <c r="S2783" s="19"/>
    </row>
    <row r="2784" spans="19:19" x14ac:dyDescent="0.3">
      <c r="S2784" s="18"/>
    </row>
    <row r="2785" spans="19:19" x14ac:dyDescent="0.3">
      <c r="S2785" s="19"/>
    </row>
    <row r="2786" spans="19:19" x14ac:dyDescent="0.3">
      <c r="S2786" s="18"/>
    </row>
    <row r="2787" spans="19:19" x14ac:dyDescent="0.3">
      <c r="S2787" s="19"/>
    </row>
    <row r="2788" spans="19:19" x14ac:dyDescent="0.3">
      <c r="S2788" s="18"/>
    </row>
    <row r="2789" spans="19:19" x14ac:dyDescent="0.3">
      <c r="S2789" s="19"/>
    </row>
    <row r="2790" spans="19:19" x14ac:dyDescent="0.3">
      <c r="S2790" s="18"/>
    </row>
    <row r="2791" spans="19:19" x14ac:dyDescent="0.3">
      <c r="S2791" s="19"/>
    </row>
    <row r="2792" spans="19:19" x14ac:dyDescent="0.3">
      <c r="S2792" s="18"/>
    </row>
    <row r="2793" spans="19:19" x14ac:dyDescent="0.3">
      <c r="S2793" s="19"/>
    </row>
    <row r="2794" spans="19:19" x14ac:dyDescent="0.3">
      <c r="S2794" s="18"/>
    </row>
    <row r="2795" spans="19:19" x14ac:dyDescent="0.3">
      <c r="S2795" s="19"/>
    </row>
    <row r="2796" spans="19:19" x14ac:dyDescent="0.3">
      <c r="S2796" s="18"/>
    </row>
    <row r="2797" spans="19:19" x14ac:dyDescent="0.3">
      <c r="S2797" s="19"/>
    </row>
    <row r="2798" spans="19:19" x14ac:dyDescent="0.3">
      <c r="S2798" s="18"/>
    </row>
    <row r="2799" spans="19:19" x14ac:dyDescent="0.3">
      <c r="S2799" s="19"/>
    </row>
    <row r="2800" spans="19:19" x14ac:dyDescent="0.3">
      <c r="S2800" s="18"/>
    </row>
    <row r="2801" spans="19:19" x14ac:dyDescent="0.3">
      <c r="S2801" s="19"/>
    </row>
    <row r="2802" spans="19:19" x14ac:dyDescent="0.3">
      <c r="S2802" s="18"/>
    </row>
    <row r="2803" spans="19:19" x14ac:dyDescent="0.3">
      <c r="S2803" s="19"/>
    </row>
    <row r="2804" spans="19:19" x14ac:dyDescent="0.3">
      <c r="S2804" s="18"/>
    </row>
    <row r="2805" spans="19:19" x14ac:dyDescent="0.3">
      <c r="S2805" s="19"/>
    </row>
    <row r="2806" spans="19:19" x14ac:dyDescent="0.3">
      <c r="S2806" s="18"/>
    </row>
    <row r="2807" spans="19:19" x14ac:dyDescent="0.3">
      <c r="S2807" s="19"/>
    </row>
    <row r="2808" spans="19:19" x14ac:dyDescent="0.3">
      <c r="S2808" s="18"/>
    </row>
    <row r="2809" spans="19:19" x14ac:dyDescent="0.3">
      <c r="S2809" s="19"/>
    </row>
    <row r="2810" spans="19:19" x14ac:dyDescent="0.3">
      <c r="S2810" s="18"/>
    </row>
    <row r="2811" spans="19:19" x14ac:dyDescent="0.3">
      <c r="S2811" s="19"/>
    </row>
    <row r="2812" spans="19:19" x14ac:dyDescent="0.3">
      <c r="S2812" s="18"/>
    </row>
    <row r="2813" spans="19:19" x14ac:dyDescent="0.3">
      <c r="S2813" s="19"/>
    </row>
    <row r="2814" spans="19:19" x14ac:dyDescent="0.3">
      <c r="S2814" s="18"/>
    </row>
    <row r="2815" spans="19:19" x14ac:dyDescent="0.3">
      <c r="S2815" s="19"/>
    </row>
    <row r="2816" spans="19:19" x14ac:dyDescent="0.3">
      <c r="S2816" s="18"/>
    </row>
    <row r="2817" spans="19:19" x14ac:dyDescent="0.3">
      <c r="S2817" s="19"/>
    </row>
    <row r="2818" spans="19:19" x14ac:dyDescent="0.3">
      <c r="S2818" s="18"/>
    </row>
    <row r="2819" spans="19:19" x14ac:dyDescent="0.3">
      <c r="S2819" s="19"/>
    </row>
    <row r="2820" spans="19:19" x14ac:dyDescent="0.3">
      <c r="S2820" s="18"/>
    </row>
    <row r="2821" spans="19:19" x14ac:dyDescent="0.3">
      <c r="S2821" s="19"/>
    </row>
    <row r="2822" spans="19:19" x14ac:dyDescent="0.3">
      <c r="S2822" s="18"/>
    </row>
    <row r="2823" spans="19:19" x14ac:dyDescent="0.3">
      <c r="S2823" s="19"/>
    </row>
    <row r="2824" spans="19:19" x14ac:dyDescent="0.3">
      <c r="S2824" s="18"/>
    </row>
    <row r="2825" spans="19:19" x14ac:dyDescent="0.3">
      <c r="S2825" s="19"/>
    </row>
    <row r="2826" spans="19:19" x14ac:dyDescent="0.3">
      <c r="S2826" s="18"/>
    </row>
    <row r="2827" spans="19:19" x14ac:dyDescent="0.3">
      <c r="S2827" s="19"/>
    </row>
    <row r="2828" spans="19:19" x14ac:dyDescent="0.3">
      <c r="S2828" s="18"/>
    </row>
    <row r="2829" spans="19:19" x14ac:dyDescent="0.3">
      <c r="S2829" s="19"/>
    </row>
    <row r="2830" spans="19:19" x14ac:dyDescent="0.3">
      <c r="S2830" s="18"/>
    </row>
    <row r="2831" spans="19:19" x14ac:dyDescent="0.3">
      <c r="S2831" s="19"/>
    </row>
    <row r="2832" spans="19:19" x14ac:dyDescent="0.3">
      <c r="S2832" s="18"/>
    </row>
    <row r="2833" spans="19:19" x14ac:dyDescent="0.3">
      <c r="S2833" s="19"/>
    </row>
    <row r="2834" spans="19:19" x14ac:dyDescent="0.3">
      <c r="S2834" s="18"/>
    </row>
    <row r="2835" spans="19:19" x14ac:dyDescent="0.3">
      <c r="S2835" s="19"/>
    </row>
    <row r="2836" spans="19:19" x14ac:dyDescent="0.3">
      <c r="S2836" s="18"/>
    </row>
    <row r="2837" spans="19:19" x14ac:dyDescent="0.3">
      <c r="S2837" s="19"/>
    </row>
    <row r="2838" spans="19:19" x14ac:dyDescent="0.3">
      <c r="S2838" s="18"/>
    </row>
    <row r="2839" spans="19:19" x14ac:dyDescent="0.3">
      <c r="S2839" s="19"/>
    </row>
    <row r="2840" spans="19:19" x14ac:dyDescent="0.3">
      <c r="S2840" s="18"/>
    </row>
    <row r="2841" spans="19:19" x14ac:dyDescent="0.3">
      <c r="S2841" s="19"/>
    </row>
    <row r="2842" spans="19:19" x14ac:dyDescent="0.3">
      <c r="S2842" s="18"/>
    </row>
    <row r="2843" spans="19:19" x14ac:dyDescent="0.3">
      <c r="S2843" s="19"/>
    </row>
    <row r="2844" spans="19:19" x14ac:dyDescent="0.3">
      <c r="S2844" s="18"/>
    </row>
    <row r="2845" spans="19:19" x14ac:dyDescent="0.3">
      <c r="S2845" s="19"/>
    </row>
    <row r="2846" spans="19:19" x14ac:dyDescent="0.3">
      <c r="S2846" s="18"/>
    </row>
    <row r="2847" spans="19:19" x14ac:dyDescent="0.3">
      <c r="S2847" s="19"/>
    </row>
    <row r="2848" spans="19:19" x14ac:dyDescent="0.3">
      <c r="S2848" s="18"/>
    </row>
    <row r="2849" spans="19:19" x14ac:dyDescent="0.3">
      <c r="S2849" s="19"/>
    </row>
    <row r="2850" spans="19:19" x14ac:dyDescent="0.3">
      <c r="S2850" s="18"/>
    </row>
    <row r="2851" spans="19:19" x14ac:dyDescent="0.3">
      <c r="S2851" s="19"/>
    </row>
    <row r="2852" spans="19:19" x14ac:dyDescent="0.3">
      <c r="S2852" s="18"/>
    </row>
    <row r="2853" spans="19:19" x14ac:dyDescent="0.3">
      <c r="S2853" s="19"/>
    </row>
    <row r="2854" spans="19:19" x14ac:dyDescent="0.3">
      <c r="S2854" s="18"/>
    </row>
    <row r="2855" spans="19:19" x14ac:dyDescent="0.3">
      <c r="S2855" s="19"/>
    </row>
    <row r="2856" spans="19:19" x14ac:dyDescent="0.3">
      <c r="S2856" s="18"/>
    </row>
    <row r="2857" spans="19:19" x14ac:dyDescent="0.3">
      <c r="S2857" s="19"/>
    </row>
    <row r="2858" spans="19:19" x14ac:dyDescent="0.3">
      <c r="S2858" s="18"/>
    </row>
    <row r="2859" spans="19:19" x14ac:dyDescent="0.3">
      <c r="S2859" s="19"/>
    </row>
    <row r="2860" spans="19:19" x14ac:dyDescent="0.3">
      <c r="S2860" s="18"/>
    </row>
    <row r="2861" spans="19:19" x14ac:dyDescent="0.3">
      <c r="S2861" s="19"/>
    </row>
    <row r="2862" spans="19:19" x14ac:dyDescent="0.3">
      <c r="S2862" s="18"/>
    </row>
    <row r="2863" spans="19:19" x14ac:dyDescent="0.3">
      <c r="S2863" s="19"/>
    </row>
    <row r="2864" spans="19:19" x14ac:dyDescent="0.3">
      <c r="S2864" s="18"/>
    </row>
    <row r="2865" spans="19:19" x14ac:dyDescent="0.3">
      <c r="S2865" s="19"/>
    </row>
    <row r="2866" spans="19:19" x14ac:dyDescent="0.3">
      <c r="S2866" s="18"/>
    </row>
    <row r="2867" spans="19:19" x14ac:dyDescent="0.3">
      <c r="S2867" s="19"/>
    </row>
    <row r="2868" spans="19:19" x14ac:dyDescent="0.3">
      <c r="S2868" s="18"/>
    </row>
    <row r="2869" spans="19:19" x14ac:dyDescent="0.3">
      <c r="S2869" s="19"/>
    </row>
    <row r="2870" spans="19:19" x14ac:dyDescent="0.3">
      <c r="S2870" s="18"/>
    </row>
    <row r="2871" spans="19:19" x14ac:dyDescent="0.3">
      <c r="S2871" s="19"/>
    </row>
    <row r="2872" spans="19:19" x14ac:dyDescent="0.3">
      <c r="S2872" s="18"/>
    </row>
    <row r="2873" spans="19:19" x14ac:dyDescent="0.3">
      <c r="S2873" s="19"/>
    </row>
    <row r="2874" spans="19:19" x14ac:dyDescent="0.3">
      <c r="S2874" s="18"/>
    </row>
    <row r="2875" spans="19:19" x14ac:dyDescent="0.3">
      <c r="S2875" s="19"/>
    </row>
    <row r="2876" spans="19:19" x14ac:dyDescent="0.3">
      <c r="S2876" s="18"/>
    </row>
    <row r="2877" spans="19:19" x14ac:dyDescent="0.3">
      <c r="S2877" s="19"/>
    </row>
    <row r="2878" spans="19:19" x14ac:dyDescent="0.3">
      <c r="S2878" s="18"/>
    </row>
    <row r="2879" spans="19:19" x14ac:dyDescent="0.3">
      <c r="S2879" s="19"/>
    </row>
    <row r="2880" spans="19:19" x14ac:dyDescent="0.3">
      <c r="S2880" s="18"/>
    </row>
    <row r="2881" spans="19:19" x14ac:dyDescent="0.3">
      <c r="S2881" s="19"/>
    </row>
    <row r="2882" spans="19:19" x14ac:dyDescent="0.3">
      <c r="S2882" s="18"/>
    </row>
    <row r="2883" spans="19:19" x14ac:dyDescent="0.3">
      <c r="S2883" s="19"/>
    </row>
    <row r="2884" spans="19:19" x14ac:dyDescent="0.3">
      <c r="S2884" s="18"/>
    </row>
    <row r="2885" spans="19:19" x14ac:dyDescent="0.3">
      <c r="S2885" s="19"/>
    </row>
    <row r="2886" spans="19:19" x14ac:dyDescent="0.3">
      <c r="S2886" s="18"/>
    </row>
    <row r="2887" spans="19:19" x14ac:dyDescent="0.3">
      <c r="S2887" s="19"/>
    </row>
    <row r="2888" spans="19:19" x14ac:dyDescent="0.3">
      <c r="S2888" s="18"/>
    </row>
    <row r="2889" spans="19:19" x14ac:dyDescent="0.3">
      <c r="S2889" s="19"/>
    </row>
    <row r="2890" spans="19:19" x14ac:dyDescent="0.3">
      <c r="S2890" s="18"/>
    </row>
    <row r="2891" spans="19:19" x14ac:dyDescent="0.3">
      <c r="S2891" s="19"/>
    </row>
    <row r="2892" spans="19:19" x14ac:dyDescent="0.3">
      <c r="S2892" s="18"/>
    </row>
    <row r="2893" spans="19:19" x14ac:dyDescent="0.3">
      <c r="S2893" s="19"/>
    </row>
    <row r="2894" spans="19:19" x14ac:dyDescent="0.3">
      <c r="S2894" s="18"/>
    </row>
    <row r="2895" spans="19:19" x14ac:dyDescent="0.3">
      <c r="S2895" s="19"/>
    </row>
    <row r="2896" spans="19:19" x14ac:dyDescent="0.3">
      <c r="S2896" s="18"/>
    </row>
    <row r="2897" spans="19:19" x14ac:dyDescent="0.3">
      <c r="S2897" s="19"/>
    </row>
    <row r="2898" spans="19:19" x14ac:dyDescent="0.3">
      <c r="S2898" s="18"/>
    </row>
    <row r="2899" spans="19:19" x14ac:dyDescent="0.3">
      <c r="S2899" s="19"/>
    </row>
    <row r="2900" spans="19:19" x14ac:dyDescent="0.3">
      <c r="S2900" s="18"/>
    </row>
    <row r="2901" spans="19:19" x14ac:dyDescent="0.3">
      <c r="S2901" s="19"/>
    </row>
    <row r="2902" spans="19:19" x14ac:dyDescent="0.3">
      <c r="S2902" s="18"/>
    </row>
    <row r="2903" spans="19:19" x14ac:dyDescent="0.3">
      <c r="S2903" s="19"/>
    </row>
    <row r="2904" spans="19:19" x14ac:dyDescent="0.3">
      <c r="S2904" s="18"/>
    </row>
    <row r="2905" spans="19:19" x14ac:dyDescent="0.3">
      <c r="S2905" s="19"/>
    </row>
    <row r="2906" spans="19:19" x14ac:dyDescent="0.3">
      <c r="S2906" s="18"/>
    </row>
    <row r="2907" spans="19:19" x14ac:dyDescent="0.3">
      <c r="S2907" s="19"/>
    </row>
    <row r="2908" spans="19:19" x14ac:dyDescent="0.3">
      <c r="S2908" s="18"/>
    </row>
    <row r="2909" spans="19:19" x14ac:dyDescent="0.3">
      <c r="S2909" s="19"/>
    </row>
    <row r="2910" spans="19:19" x14ac:dyDescent="0.3">
      <c r="S2910" s="18"/>
    </row>
    <row r="2911" spans="19:19" x14ac:dyDescent="0.3">
      <c r="S2911" s="19"/>
    </row>
    <row r="2912" spans="19:19" x14ac:dyDescent="0.3">
      <c r="S2912" s="18"/>
    </row>
    <row r="2913" spans="19:19" x14ac:dyDescent="0.3">
      <c r="S2913" s="19"/>
    </row>
    <row r="2914" spans="19:19" x14ac:dyDescent="0.3">
      <c r="S2914" s="18"/>
    </row>
    <row r="2915" spans="19:19" x14ac:dyDescent="0.3">
      <c r="S2915" s="19"/>
    </row>
    <row r="2916" spans="19:19" x14ac:dyDescent="0.3">
      <c r="S2916" s="18"/>
    </row>
    <row r="2917" spans="19:19" x14ac:dyDescent="0.3">
      <c r="S2917" s="19"/>
    </row>
    <row r="2918" spans="19:19" x14ac:dyDescent="0.3">
      <c r="S2918" s="18"/>
    </row>
    <row r="2919" spans="19:19" x14ac:dyDescent="0.3">
      <c r="S2919" s="19"/>
    </row>
    <row r="2920" spans="19:19" x14ac:dyDescent="0.3">
      <c r="S2920" s="18"/>
    </row>
    <row r="2921" spans="19:19" x14ac:dyDescent="0.3">
      <c r="S2921" s="19"/>
    </row>
    <row r="2922" spans="19:19" x14ac:dyDescent="0.3">
      <c r="S2922" s="18"/>
    </row>
    <row r="2923" spans="19:19" x14ac:dyDescent="0.3">
      <c r="S2923" s="19"/>
    </row>
    <row r="2924" spans="19:19" x14ac:dyDescent="0.3">
      <c r="S2924" s="18"/>
    </row>
    <row r="2925" spans="19:19" x14ac:dyDescent="0.3">
      <c r="S2925" s="19"/>
    </row>
    <row r="2926" spans="19:19" x14ac:dyDescent="0.3">
      <c r="S2926" s="18"/>
    </row>
    <row r="2927" spans="19:19" x14ac:dyDescent="0.3">
      <c r="S2927" s="19"/>
    </row>
    <row r="2928" spans="19:19" x14ac:dyDescent="0.3">
      <c r="S2928" s="18"/>
    </row>
    <row r="2929" spans="19:19" x14ac:dyDescent="0.3">
      <c r="S2929" s="19"/>
    </row>
    <row r="2930" spans="19:19" x14ac:dyDescent="0.3">
      <c r="S2930" s="18"/>
    </row>
    <row r="2931" spans="19:19" x14ac:dyDescent="0.3">
      <c r="S2931" s="19"/>
    </row>
    <row r="2932" spans="19:19" x14ac:dyDescent="0.3">
      <c r="S2932" s="18"/>
    </row>
    <row r="2933" spans="19:19" x14ac:dyDescent="0.3">
      <c r="S2933" s="19"/>
    </row>
    <row r="2934" spans="19:19" x14ac:dyDescent="0.3">
      <c r="S2934" s="18"/>
    </row>
    <row r="2935" spans="19:19" x14ac:dyDescent="0.3">
      <c r="S2935" s="19"/>
    </row>
    <row r="2936" spans="19:19" x14ac:dyDescent="0.3">
      <c r="S2936" s="18"/>
    </row>
    <row r="2937" spans="19:19" x14ac:dyDescent="0.3">
      <c r="S2937" s="19"/>
    </row>
    <row r="2938" spans="19:19" x14ac:dyDescent="0.3">
      <c r="S2938" s="18"/>
    </row>
    <row r="2939" spans="19:19" x14ac:dyDescent="0.3">
      <c r="S2939" s="19"/>
    </row>
    <row r="2940" spans="19:19" x14ac:dyDescent="0.3">
      <c r="S2940" s="18"/>
    </row>
    <row r="2941" spans="19:19" x14ac:dyDescent="0.3">
      <c r="S2941" s="19"/>
    </row>
    <row r="2942" spans="19:19" x14ac:dyDescent="0.3">
      <c r="S2942" s="18"/>
    </row>
    <row r="2943" spans="19:19" x14ac:dyDescent="0.3">
      <c r="S2943" s="19"/>
    </row>
    <row r="2944" spans="19:19" x14ac:dyDescent="0.3">
      <c r="S2944" s="18"/>
    </row>
    <row r="2945" spans="19:19" x14ac:dyDescent="0.3">
      <c r="S2945" s="19"/>
    </row>
    <row r="2946" spans="19:19" x14ac:dyDescent="0.3">
      <c r="S2946" s="18"/>
    </row>
    <row r="2947" spans="19:19" x14ac:dyDescent="0.3">
      <c r="S2947" s="19"/>
    </row>
    <row r="2948" spans="19:19" x14ac:dyDescent="0.3">
      <c r="S2948" s="18"/>
    </row>
    <row r="2949" spans="19:19" x14ac:dyDescent="0.3">
      <c r="S2949" s="19"/>
    </row>
    <row r="2950" spans="19:19" x14ac:dyDescent="0.3">
      <c r="S2950" s="18"/>
    </row>
    <row r="2951" spans="19:19" x14ac:dyDescent="0.3">
      <c r="S2951" s="19"/>
    </row>
    <row r="2952" spans="19:19" x14ac:dyDescent="0.3">
      <c r="S2952" s="18"/>
    </row>
    <row r="2953" spans="19:19" x14ac:dyDescent="0.3">
      <c r="S2953" s="19"/>
    </row>
    <row r="2954" spans="19:19" x14ac:dyDescent="0.3">
      <c r="S2954" s="18"/>
    </row>
    <row r="2955" spans="19:19" x14ac:dyDescent="0.3">
      <c r="S2955" s="19"/>
    </row>
    <row r="2956" spans="19:19" x14ac:dyDescent="0.3">
      <c r="S2956" s="18"/>
    </row>
    <row r="2957" spans="19:19" x14ac:dyDescent="0.3">
      <c r="S2957" s="19"/>
    </row>
    <row r="2958" spans="19:19" x14ac:dyDescent="0.3">
      <c r="S2958" s="18"/>
    </row>
    <row r="2959" spans="19:19" x14ac:dyDescent="0.3">
      <c r="S2959" s="19"/>
    </row>
    <row r="2960" spans="19:19" x14ac:dyDescent="0.3">
      <c r="S2960" s="18"/>
    </row>
    <row r="2961" spans="19:19" x14ac:dyDescent="0.3">
      <c r="S2961" s="19"/>
    </row>
    <row r="2962" spans="19:19" x14ac:dyDescent="0.3">
      <c r="S2962" s="18"/>
    </row>
    <row r="2963" spans="19:19" x14ac:dyDescent="0.3">
      <c r="S2963" s="19"/>
    </row>
    <row r="2964" spans="19:19" x14ac:dyDescent="0.3">
      <c r="S2964" s="18"/>
    </row>
    <row r="2965" spans="19:19" x14ac:dyDescent="0.3">
      <c r="S2965" s="19"/>
    </row>
    <row r="2966" spans="19:19" x14ac:dyDescent="0.3">
      <c r="S2966" s="18"/>
    </row>
    <row r="2967" spans="19:19" x14ac:dyDescent="0.3">
      <c r="S2967" s="19"/>
    </row>
    <row r="2968" spans="19:19" x14ac:dyDescent="0.3">
      <c r="S2968" s="18"/>
    </row>
    <row r="2969" spans="19:19" x14ac:dyDescent="0.3">
      <c r="S2969" s="19"/>
    </row>
    <row r="2970" spans="19:19" x14ac:dyDescent="0.3">
      <c r="S2970" s="18"/>
    </row>
    <row r="2971" spans="19:19" x14ac:dyDescent="0.3">
      <c r="S2971" s="19"/>
    </row>
    <row r="2972" spans="19:19" x14ac:dyDescent="0.3">
      <c r="S2972" s="18"/>
    </row>
    <row r="2973" spans="19:19" x14ac:dyDescent="0.3">
      <c r="S2973" s="19"/>
    </row>
    <row r="2974" spans="19:19" x14ac:dyDescent="0.3">
      <c r="S2974" s="18"/>
    </row>
    <row r="2975" spans="19:19" x14ac:dyDescent="0.3">
      <c r="S2975" s="19"/>
    </row>
    <row r="2976" spans="19:19" x14ac:dyDescent="0.3">
      <c r="S2976" s="18"/>
    </row>
    <row r="2977" spans="19:19" x14ac:dyDescent="0.3">
      <c r="S2977" s="19"/>
    </row>
    <row r="2978" spans="19:19" x14ac:dyDescent="0.3">
      <c r="S2978" s="18"/>
    </row>
    <row r="2979" spans="19:19" x14ac:dyDescent="0.3">
      <c r="S2979" s="19"/>
    </row>
    <row r="2980" spans="19:19" x14ac:dyDescent="0.3">
      <c r="S2980" s="18"/>
    </row>
    <row r="2981" spans="19:19" x14ac:dyDescent="0.3">
      <c r="S2981" s="19"/>
    </row>
    <row r="2982" spans="19:19" x14ac:dyDescent="0.3">
      <c r="S2982" s="18"/>
    </row>
    <row r="2983" spans="19:19" x14ac:dyDescent="0.3">
      <c r="S2983" s="19"/>
    </row>
    <row r="2984" spans="19:19" x14ac:dyDescent="0.3">
      <c r="S2984" s="18"/>
    </row>
    <row r="2985" spans="19:19" x14ac:dyDescent="0.3">
      <c r="S2985" s="19"/>
    </row>
    <row r="2986" spans="19:19" x14ac:dyDescent="0.3">
      <c r="S2986" s="18"/>
    </row>
    <row r="2987" spans="19:19" x14ac:dyDescent="0.3">
      <c r="S2987" s="19"/>
    </row>
    <row r="2988" spans="19:19" x14ac:dyDescent="0.3">
      <c r="S2988" s="18"/>
    </row>
    <row r="2989" spans="19:19" x14ac:dyDescent="0.3">
      <c r="S2989" s="19"/>
    </row>
    <row r="2990" spans="19:19" x14ac:dyDescent="0.3">
      <c r="S2990" s="18"/>
    </row>
    <row r="2991" spans="19:19" x14ac:dyDescent="0.3">
      <c r="S2991" s="19"/>
    </row>
    <row r="2992" spans="19:19" x14ac:dyDescent="0.3">
      <c r="S2992" s="18"/>
    </row>
    <row r="2993" spans="19:19" x14ac:dyDescent="0.3">
      <c r="S2993" s="19"/>
    </row>
    <row r="2994" spans="19:19" x14ac:dyDescent="0.3">
      <c r="S2994" s="18"/>
    </row>
    <row r="2995" spans="19:19" x14ac:dyDescent="0.3">
      <c r="S2995" s="19"/>
    </row>
    <row r="2996" spans="19:19" x14ac:dyDescent="0.3">
      <c r="S2996" s="18"/>
    </row>
    <row r="2997" spans="19:19" x14ac:dyDescent="0.3">
      <c r="S2997" s="19"/>
    </row>
    <row r="2998" spans="19:19" x14ac:dyDescent="0.3">
      <c r="S2998" s="18"/>
    </row>
    <row r="2999" spans="19:19" x14ac:dyDescent="0.3">
      <c r="S2999" s="19"/>
    </row>
    <row r="3000" spans="19:19" x14ac:dyDescent="0.3">
      <c r="S3000" s="18"/>
    </row>
    <row r="3001" spans="19:19" x14ac:dyDescent="0.3">
      <c r="S3001" s="19"/>
    </row>
    <row r="3002" spans="19:19" x14ac:dyDescent="0.3">
      <c r="S3002" s="18"/>
    </row>
    <row r="3003" spans="19:19" x14ac:dyDescent="0.3">
      <c r="S3003" s="19"/>
    </row>
    <row r="3004" spans="19:19" x14ac:dyDescent="0.3">
      <c r="S3004" s="18"/>
    </row>
    <row r="3005" spans="19:19" x14ac:dyDescent="0.3">
      <c r="S3005" s="19"/>
    </row>
    <row r="3006" spans="19:19" x14ac:dyDescent="0.3">
      <c r="S3006" s="18"/>
    </row>
    <row r="3007" spans="19:19" x14ac:dyDescent="0.3">
      <c r="S3007" s="19"/>
    </row>
    <row r="3008" spans="19:19" x14ac:dyDescent="0.3">
      <c r="S3008" s="18"/>
    </row>
    <row r="3009" spans="19:19" x14ac:dyDescent="0.3">
      <c r="S3009" s="19"/>
    </row>
    <row r="3010" spans="19:19" x14ac:dyDescent="0.3">
      <c r="S3010" s="18"/>
    </row>
    <row r="3011" spans="19:19" x14ac:dyDescent="0.3">
      <c r="S3011" s="19"/>
    </row>
    <row r="3012" spans="19:19" x14ac:dyDescent="0.3">
      <c r="S3012" s="18"/>
    </row>
    <row r="3013" spans="19:19" x14ac:dyDescent="0.3">
      <c r="S3013" s="19"/>
    </row>
    <row r="3014" spans="19:19" x14ac:dyDescent="0.3">
      <c r="S3014" s="18"/>
    </row>
    <row r="3015" spans="19:19" x14ac:dyDescent="0.3">
      <c r="S3015" s="19"/>
    </row>
    <row r="3016" spans="19:19" x14ac:dyDescent="0.3">
      <c r="S3016" s="18"/>
    </row>
    <row r="3017" spans="19:19" x14ac:dyDescent="0.3">
      <c r="S3017" s="19"/>
    </row>
    <row r="3018" spans="19:19" x14ac:dyDescent="0.3">
      <c r="S3018" s="18"/>
    </row>
    <row r="3019" spans="19:19" x14ac:dyDescent="0.3">
      <c r="S3019" s="19"/>
    </row>
    <row r="3020" spans="19:19" x14ac:dyDescent="0.3">
      <c r="S3020" s="18"/>
    </row>
    <row r="3021" spans="19:19" x14ac:dyDescent="0.3">
      <c r="S3021" s="19"/>
    </row>
    <row r="3022" spans="19:19" x14ac:dyDescent="0.3">
      <c r="S3022" s="18"/>
    </row>
    <row r="3023" spans="19:19" x14ac:dyDescent="0.3">
      <c r="S3023" s="19"/>
    </row>
    <row r="3024" spans="19:19" x14ac:dyDescent="0.3">
      <c r="S3024" s="18"/>
    </row>
    <row r="3025" spans="19:19" x14ac:dyDescent="0.3">
      <c r="S3025" s="19"/>
    </row>
    <row r="3026" spans="19:19" x14ac:dyDescent="0.3">
      <c r="S3026" s="18"/>
    </row>
    <row r="3027" spans="19:19" x14ac:dyDescent="0.3">
      <c r="S3027" s="19"/>
    </row>
    <row r="3028" spans="19:19" x14ac:dyDescent="0.3">
      <c r="S3028" s="18"/>
    </row>
    <row r="3029" spans="19:19" x14ac:dyDescent="0.3">
      <c r="S3029" s="19"/>
    </row>
    <row r="3030" spans="19:19" x14ac:dyDescent="0.3">
      <c r="S3030" s="18"/>
    </row>
    <row r="3031" spans="19:19" x14ac:dyDescent="0.3">
      <c r="S3031" s="19"/>
    </row>
    <row r="3032" spans="19:19" x14ac:dyDescent="0.3">
      <c r="S3032" s="18"/>
    </row>
    <row r="3033" spans="19:19" x14ac:dyDescent="0.3">
      <c r="S3033" s="19"/>
    </row>
    <row r="3034" spans="19:19" x14ac:dyDescent="0.3">
      <c r="S3034" s="18"/>
    </row>
    <row r="3035" spans="19:19" x14ac:dyDescent="0.3">
      <c r="S3035" s="19"/>
    </row>
    <row r="3036" spans="19:19" x14ac:dyDescent="0.3">
      <c r="S3036" s="18"/>
    </row>
    <row r="3037" spans="19:19" x14ac:dyDescent="0.3">
      <c r="S3037" s="19"/>
    </row>
    <row r="3038" spans="19:19" x14ac:dyDescent="0.3">
      <c r="S3038" s="18"/>
    </row>
    <row r="3039" spans="19:19" x14ac:dyDescent="0.3">
      <c r="S3039" s="19"/>
    </row>
    <row r="3040" spans="19:19" x14ac:dyDescent="0.3">
      <c r="S3040" s="18"/>
    </row>
    <row r="3041" spans="19:19" x14ac:dyDescent="0.3">
      <c r="S3041" s="19"/>
    </row>
    <row r="3042" spans="19:19" x14ac:dyDescent="0.3">
      <c r="S3042" s="18"/>
    </row>
    <row r="3043" spans="19:19" x14ac:dyDescent="0.3">
      <c r="S3043" s="19"/>
    </row>
    <row r="3044" spans="19:19" x14ac:dyDescent="0.3">
      <c r="S3044" s="18"/>
    </row>
    <row r="3045" spans="19:19" x14ac:dyDescent="0.3">
      <c r="S3045" s="19"/>
    </row>
    <row r="3046" spans="19:19" x14ac:dyDescent="0.3">
      <c r="S3046" s="18"/>
    </row>
    <row r="3047" spans="19:19" x14ac:dyDescent="0.3">
      <c r="S3047" s="19"/>
    </row>
    <row r="3048" spans="19:19" x14ac:dyDescent="0.3">
      <c r="S3048" s="18"/>
    </row>
    <row r="3049" spans="19:19" x14ac:dyDescent="0.3">
      <c r="S3049" s="19"/>
    </row>
    <row r="3050" spans="19:19" x14ac:dyDescent="0.3">
      <c r="S3050" s="18"/>
    </row>
    <row r="3051" spans="19:19" x14ac:dyDescent="0.3">
      <c r="S3051" s="19"/>
    </row>
    <row r="3052" spans="19:19" x14ac:dyDescent="0.3">
      <c r="S3052" s="18"/>
    </row>
    <row r="3053" spans="19:19" x14ac:dyDescent="0.3">
      <c r="S3053" s="19"/>
    </row>
    <row r="3054" spans="19:19" x14ac:dyDescent="0.3">
      <c r="S3054" s="18"/>
    </row>
    <row r="3055" spans="19:19" x14ac:dyDescent="0.3">
      <c r="S3055" s="19"/>
    </row>
    <row r="3056" spans="19:19" x14ac:dyDescent="0.3">
      <c r="S3056" s="18"/>
    </row>
    <row r="3057" spans="19:19" x14ac:dyDescent="0.3">
      <c r="S3057" s="19"/>
    </row>
    <row r="3058" spans="19:19" x14ac:dyDescent="0.3">
      <c r="S3058" s="18"/>
    </row>
    <row r="3059" spans="19:19" x14ac:dyDescent="0.3">
      <c r="S3059" s="19"/>
    </row>
    <row r="3060" spans="19:19" x14ac:dyDescent="0.3">
      <c r="S3060" s="18"/>
    </row>
    <row r="3061" spans="19:19" x14ac:dyDescent="0.3">
      <c r="S3061" s="19"/>
    </row>
    <row r="3062" spans="19:19" x14ac:dyDescent="0.3">
      <c r="S3062" s="18"/>
    </row>
    <row r="3063" spans="19:19" x14ac:dyDescent="0.3">
      <c r="S3063" s="19"/>
    </row>
    <row r="3064" spans="19:19" x14ac:dyDescent="0.3">
      <c r="S3064" s="18"/>
    </row>
    <row r="3065" spans="19:19" x14ac:dyDescent="0.3">
      <c r="S3065" s="19"/>
    </row>
    <row r="3066" spans="19:19" x14ac:dyDescent="0.3">
      <c r="S3066" s="18"/>
    </row>
    <row r="3067" spans="19:19" x14ac:dyDescent="0.3">
      <c r="S3067" s="19"/>
    </row>
    <row r="3068" spans="19:19" x14ac:dyDescent="0.3">
      <c r="S3068" s="18"/>
    </row>
    <row r="3069" spans="19:19" x14ac:dyDescent="0.3">
      <c r="S3069" s="19"/>
    </row>
    <row r="3070" spans="19:19" x14ac:dyDescent="0.3">
      <c r="S3070" s="18"/>
    </row>
    <row r="3071" spans="19:19" x14ac:dyDescent="0.3">
      <c r="S3071" s="19"/>
    </row>
    <row r="3072" spans="19:19" x14ac:dyDescent="0.3">
      <c r="S3072" s="18"/>
    </row>
    <row r="3073" spans="19:19" x14ac:dyDescent="0.3">
      <c r="S3073" s="19"/>
    </row>
    <row r="3074" spans="19:19" x14ac:dyDescent="0.3">
      <c r="S3074" s="18"/>
    </row>
    <row r="3075" spans="19:19" x14ac:dyDescent="0.3">
      <c r="S3075" s="19"/>
    </row>
    <row r="3076" spans="19:19" x14ac:dyDescent="0.3">
      <c r="S3076" s="18"/>
    </row>
    <row r="3077" spans="19:19" x14ac:dyDescent="0.3">
      <c r="S3077" s="19"/>
    </row>
    <row r="3078" spans="19:19" x14ac:dyDescent="0.3">
      <c r="S3078" s="18"/>
    </row>
    <row r="3079" spans="19:19" x14ac:dyDescent="0.3">
      <c r="S3079" s="19"/>
    </row>
    <row r="3080" spans="19:19" x14ac:dyDescent="0.3">
      <c r="S3080" s="18"/>
    </row>
    <row r="3081" spans="19:19" x14ac:dyDescent="0.3">
      <c r="S3081" s="19"/>
    </row>
    <row r="3082" spans="19:19" x14ac:dyDescent="0.3">
      <c r="S3082" s="18"/>
    </row>
    <row r="3083" spans="19:19" x14ac:dyDescent="0.3">
      <c r="S3083" s="19"/>
    </row>
    <row r="3084" spans="19:19" x14ac:dyDescent="0.3">
      <c r="S3084" s="18"/>
    </row>
    <row r="3085" spans="19:19" x14ac:dyDescent="0.3">
      <c r="S3085" s="19"/>
    </row>
    <row r="3086" spans="19:19" x14ac:dyDescent="0.3">
      <c r="S3086" s="18"/>
    </row>
    <row r="3087" spans="19:19" x14ac:dyDescent="0.3">
      <c r="S3087" s="19"/>
    </row>
    <row r="3088" spans="19:19" x14ac:dyDescent="0.3">
      <c r="S3088" s="18"/>
    </row>
    <row r="3089" spans="19:19" x14ac:dyDescent="0.3">
      <c r="S3089" s="19"/>
    </row>
    <row r="3090" spans="19:19" x14ac:dyDescent="0.3">
      <c r="S3090" s="18"/>
    </row>
    <row r="3091" spans="19:19" x14ac:dyDescent="0.3">
      <c r="S3091" s="19"/>
    </row>
    <row r="3092" spans="19:19" x14ac:dyDescent="0.3">
      <c r="S3092" s="18"/>
    </row>
    <row r="3093" spans="19:19" x14ac:dyDescent="0.3">
      <c r="S3093" s="19"/>
    </row>
    <row r="3094" spans="19:19" x14ac:dyDescent="0.3">
      <c r="S3094" s="18"/>
    </row>
    <row r="3095" spans="19:19" x14ac:dyDescent="0.3">
      <c r="S3095" s="19"/>
    </row>
    <row r="3096" spans="19:19" x14ac:dyDescent="0.3">
      <c r="S3096" s="18"/>
    </row>
    <row r="3097" spans="19:19" x14ac:dyDescent="0.3">
      <c r="S3097" s="19"/>
    </row>
    <row r="3098" spans="19:19" x14ac:dyDescent="0.3">
      <c r="S3098" s="18"/>
    </row>
    <row r="3099" spans="19:19" x14ac:dyDescent="0.3">
      <c r="S3099" s="19"/>
    </row>
    <row r="3100" spans="19:19" x14ac:dyDescent="0.3">
      <c r="S3100" s="18"/>
    </row>
    <row r="3101" spans="19:19" x14ac:dyDescent="0.3">
      <c r="S3101" s="19"/>
    </row>
    <row r="3102" spans="19:19" x14ac:dyDescent="0.3">
      <c r="S3102" s="18"/>
    </row>
    <row r="3103" spans="19:19" x14ac:dyDescent="0.3">
      <c r="S3103" s="19"/>
    </row>
    <row r="3104" spans="19:19" x14ac:dyDescent="0.3">
      <c r="S3104" s="18"/>
    </row>
    <row r="3105" spans="19:19" x14ac:dyDescent="0.3">
      <c r="S3105" s="19"/>
    </row>
    <row r="3106" spans="19:19" x14ac:dyDescent="0.3">
      <c r="S3106" s="18"/>
    </row>
    <row r="3107" spans="19:19" x14ac:dyDescent="0.3">
      <c r="S3107" s="19"/>
    </row>
    <row r="3108" spans="19:19" x14ac:dyDescent="0.3">
      <c r="S3108" s="18"/>
    </row>
    <row r="3109" spans="19:19" x14ac:dyDescent="0.3">
      <c r="S3109" s="19"/>
    </row>
    <row r="3110" spans="19:19" x14ac:dyDescent="0.3">
      <c r="S3110" s="18"/>
    </row>
    <row r="3111" spans="19:19" x14ac:dyDescent="0.3">
      <c r="S3111" s="19"/>
    </row>
    <row r="3112" spans="19:19" x14ac:dyDescent="0.3">
      <c r="S3112" s="18"/>
    </row>
    <row r="3113" spans="19:19" x14ac:dyDescent="0.3">
      <c r="S3113" s="19"/>
    </row>
    <row r="3114" spans="19:19" x14ac:dyDescent="0.3">
      <c r="S3114" s="18"/>
    </row>
    <row r="3115" spans="19:19" x14ac:dyDescent="0.3">
      <c r="S3115" s="19"/>
    </row>
    <row r="3116" spans="19:19" x14ac:dyDescent="0.3">
      <c r="S3116" s="18"/>
    </row>
    <row r="3117" spans="19:19" x14ac:dyDescent="0.3">
      <c r="S3117" s="19"/>
    </row>
    <row r="3118" spans="19:19" x14ac:dyDescent="0.3">
      <c r="S3118" s="18"/>
    </row>
    <row r="3119" spans="19:19" x14ac:dyDescent="0.3">
      <c r="S3119" s="19"/>
    </row>
    <row r="3120" spans="19:19" x14ac:dyDescent="0.3">
      <c r="S3120" s="18"/>
    </row>
    <row r="3121" spans="19:19" x14ac:dyDescent="0.3">
      <c r="S3121" s="19"/>
    </row>
    <row r="3122" spans="19:19" x14ac:dyDescent="0.3">
      <c r="S3122" s="18"/>
    </row>
    <row r="3123" spans="19:19" x14ac:dyDescent="0.3">
      <c r="S3123" s="19"/>
    </row>
    <row r="3124" spans="19:19" x14ac:dyDescent="0.3">
      <c r="S3124" s="18"/>
    </row>
    <row r="3125" spans="19:19" x14ac:dyDescent="0.3">
      <c r="S3125" s="19"/>
    </row>
    <row r="3126" spans="19:19" x14ac:dyDescent="0.3">
      <c r="S3126" s="18"/>
    </row>
    <row r="3127" spans="19:19" x14ac:dyDescent="0.3">
      <c r="S3127" s="19"/>
    </row>
    <row r="3128" spans="19:19" x14ac:dyDescent="0.3">
      <c r="S3128" s="18"/>
    </row>
    <row r="3129" spans="19:19" x14ac:dyDescent="0.3">
      <c r="S3129" s="19"/>
    </row>
    <row r="3130" spans="19:19" x14ac:dyDescent="0.3">
      <c r="S3130" s="18"/>
    </row>
    <row r="3131" spans="19:19" x14ac:dyDescent="0.3">
      <c r="S3131" s="19"/>
    </row>
    <row r="3132" spans="19:19" x14ac:dyDescent="0.3">
      <c r="S3132" s="18"/>
    </row>
    <row r="3133" spans="19:19" x14ac:dyDescent="0.3">
      <c r="S3133" s="19"/>
    </row>
    <row r="3134" spans="19:19" x14ac:dyDescent="0.3">
      <c r="S3134" s="18"/>
    </row>
    <row r="3135" spans="19:19" x14ac:dyDescent="0.3">
      <c r="S3135" s="19"/>
    </row>
    <row r="3136" spans="19:19" x14ac:dyDescent="0.3">
      <c r="S3136" s="18"/>
    </row>
    <row r="3137" spans="19:19" x14ac:dyDescent="0.3">
      <c r="S3137" s="19"/>
    </row>
    <row r="3138" spans="19:19" x14ac:dyDescent="0.3">
      <c r="S3138" s="18"/>
    </row>
    <row r="3139" spans="19:19" x14ac:dyDescent="0.3">
      <c r="S3139" s="19"/>
    </row>
    <row r="3140" spans="19:19" x14ac:dyDescent="0.3">
      <c r="S3140" s="18"/>
    </row>
    <row r="3141" spans="19:19" x14ac:dyDescent="0.3">
      <c r="S3141" s="19"/>
    </row>
    <row r="3142" spans="19:19" x14ac:dyDescent="0.3">
      <c r="S3142" s="18"/>
    </row>
    <row r="3143" spans="19:19" x14ac:dyDescent="0.3">
      <c r="S3143" s="19"/>
    </row>
    <row r="3144" spans="19:19" x14ac:dyDescent="0.3">
      <c r="S3144" s="18"/>
    </row>
    <row r="3145" spans="19:19" x14ac:dyDescent="0.3">
      <c r="S3145" s="19"/>
    </row>
    <row r="3146" spans="19:19" x14ac:dyDescent="0.3">
      <c r="S3146" s="18"/>
    </row>
    <row r="3147" spans="19:19" x14ac:dyDescent="0.3">
      <c r="S3147" s="19"/>
    </row>
    <row r="3148" spans="19:19" x14ac:dyDescent="0.3">
      <c r="S3148" s="18"/>
    </row>
    <row r="3149" spans="19:19" x14ac:dyDescent="0.3">
      <c r="S3149" s="19"/>
    </row>
    <row r="3150" spans="19:19" x14ac:dyDescent="0.3">
      <c r="S3150" s="18"/>
    </row>
    <row r="3151" spans="19:19" x14ac:dyDescent="0.3">
      <c r="S3151" s="19"/>
    </row>
    <row r="3152" spans="19:19" x14ac:dyDescent="0.3">
      <c r="S3152" s="18"/>
    </row>
    <row r="3153" spans="19:19" x14ac:dyDescent="0.3">
      <c r="S3153" s="19"/>
    </row>
    <row r="3154" spans="19:19" x14ac:dyDescent="0.3">
      <c r="S3154" s="18"/>
    </row>
    <row r="3155" spans="19:19" x14ac:dyDescent="0.3">
      <c r="S3155" s="19"/>
    </row>
    <row r="3156" spans="19:19" x14ac:dyDescent="0.3">
      <c r="S3156" s="18"/>
    </row>
    <row r="3157" spans="19:19" x14ac:dyDescent="0.3">
      <c r="S3157" s="19"/>
    </row>
    <row r="3158" spans="19:19" x14ac:dyDescent="0.3">
      <c r="S3158" s="18"/>
    </row>
    <row r="3159" spans="19:19" x14ac:dyDescent="0.3">
      <c r="S3159" s="19"/>
    </row>
    <row r="3160" spans="19:19" x14ac:dyDescent="0.3">
      <c r="S3160" s="18"/>
    </row>
    <row r="3161" spans="19:19" x14ac:dyDescent="0.3">
      <c r="S3161" s="19"/>
    </row>
    <row r="3162" spans="19:19" x14ac:dyDescent="0.3">
      <c r="S3162" s="18"/>
    </row>
    <row r="3163" spans="19:19" x14ac:dyDescent="0.3">
      <c r="S3163" s="19"/>
    </row>
    <row r="3164" spans="19:19" x14ac:dyDescent="0.3">
      <c r="S3164" s="18"/>
    </row>
    <row r="3165" spans="19:19" x14ac:dyDescent="0.3">
      <c r="S3165" s="19"/>
    </row>
    <row r="3166" spans="19:19" x14ac:dyDescent="0.3">
      <c r="S3166" s="18"/>
    </row>
    <row r="3167" spans="19:19" x14ac:dyDescent="0.3">
      <c r="S3167" s="19"/>
    </row>
    <row r="3168" spans="19:19" x14ac:dyDescent="0.3">
      <c r="S3168" s="18"/>
    </row>
    <row r="3169" spans="19:19" x14ac:dyDescent="0.3">
      <c r="S3169" s="19"/>
    </row>
    <row r="3170" spans="19:19" x14ac:dyDescent="0.3">
      <c r="S3170" s="18"/>
    </row>
    <row r="3171" spans="19:19" x14ac:dyDescent="0.3">
      <c r="S3171" s="19"/>
    </row>
    <row r="3172" spans="19:19" x14ac:dyDescent="0.3">
      <c r="S3172" s="18"/>
    </row>
    <row r="3173" spans="19:19" x14ac:dyDescent="0.3">
      <c r="S3173" s="19"/>
    </row>
    <row r="3174" spans="19:19" x14ac:dyDescent="0.3">
      <c r="S3174" s="18"/>
    </row>
    <row r="3175" spans="19:19" x14ac:dyDescent="0.3">
      <c r="S3175" s="19"/>
    </row>
    <row r="3176" spans="19:19" x14ac:dyDescent="0.3">
      <c r="S3176" s="18"/>
    </row>
    <row r="3177" spans="19:19" x14ac:dyDescent="0.3">
      <c r="S3177" s="19"/>
    </row>
    <row r="3178" spans="19:19" x14ac:dyDescent="0.3">
      <c r="S3178" s="18"/>
    </row>
    <row r="3179" spans="19:19" x14ac:dyDescent="0.3">
      <c r="S3179" s="19"/>
    </row>
    <row r="3180" spans="19:19" x14ac:dyDescent="0.3">
      <c r="S3180" s="18"/>
    </row>
    <row r="3181" spans="19:19" x14ac:dyDescent="0.3">
      <c r="S3181" s="19"/>
    </row>
    <row r="3182" spans="19:19" x14ac:dyDescent="0.3">
      <c r="S3182" s="18"/>
    </row>
    <row r="3183" spans="19:19" x14ac:dyDescent="0.3">
      <c r="S3183" s="19"/>
    </row>
    <row r="3184" spans="19:19" x14ac:dyDescent="0.3">
      <c r="S3184" s="18"/>
    </row>
    <row r="3185" spans="19:19" x14ac:dyDescent="0.3">
      <c r="S3185" s="19"/>
    </row>
    <row r="3186" spans="19:19" x14ac:dyDescent="0.3">
      <c r="S3186" s="18"/>
    </row>
    <row r="3187" spans="19:19" x14ac:dyDescent="0.3">
      <c r="S3187" s="19"/>
    </row>
    <row r="3188" spans="19:19" x14ac:dyDescent="0.3">
      <c r="S3188" s="18"/>
    </row>
    <row r="3189" spans="19:19" x14ac:dyDescent="0.3">
      <c r="S3189" s="19"/>
    </row>
    <row r="3190" spans="19:19" x14ac:dyDescent="0.3">
      <c r="S3190" s="18"/>
    </row>
    <row r="3191" spans="19:19" x14ac:dyDescent="0.3">
      <c r="S3191" s="19"/>
    </row>
    <row r="3192" spans="19:19" x14ac:dyDescent="0.3">
      <c r="S3192" s="18"/>
    </row>
    <row r="3193" spans="19:19" x14ac:dyDescent="0.3">
      <c r="S3193" s="19"/>
    </row>
    <row r="3194" spans="19:19" x14ac:dyDescent="0.3">
      <c r="S3194" s="18"/>
    </row>
    <row r="3195" spans="19:19" x14ac:dyDescent="0.3">
      <c r="S3195" s="19"/>
    </row>
    <row r="3196" spans="19:19" x14ac:dyDescent="0.3">
      <c r="S3196" s="18"/>
    </row>
    <row r="3197" spans="19:19" x14ac:dyDescent="0.3">
      <c r="S3197" s="19"/>
    </row>
    <row r="3198" spans="19:19" x14ac:dyDescent="0.3">
      <c r="S3198" s="18"/>
    </row>
    <row r="3199" spans="19:19" x14ac:dyDescent="0.3">
      <c r="S3199" s="19"/>
    </row>
    <row r="3200" spans="19:19" x14ac:dyDescent="0.3">
      <c r="S3200" s="18"/>
    </row>
    <row r="3201" spans="19:19" x14ac:dyDescent="0.3">
      <c r="S3201" s="19"/>
    </row>
    <row r="3202" spans="19:19" x14ac:dyDescent="0.3">
      <c r="S3202" s="18"/>
    </row>
    <row r="3203" spans="19:19" x14ac:dyDescent="0.3">
      <c r="S3203" s="19"/>
    </row>
    <row r="3204" spans="19:19" x14ac:dyDescent="0.3">
      <c r="S3204" s="18"/>
    </row>
    <row r="3205" spans="19:19" x14ac:dyDescent="0.3">
      <c r="S3205" s="19"/>
    </row>
    <row r="3206" spans="19:19" x14ac:dyDescent="0.3">
      <c r="S3206" s="18"/>
    </row>
    <row r="3207" spans="19:19" x14ac:dyDescent="0.3">
      <c r="S3207" s="19"/>
    </row>
    <row r="3208" spans="19:19" x14ac:dyDescent="0.3">
      <c r="S3208" s="18"/>
    </row>
    <row r="3209" spans="19:19" x14ac:dyDescent="0.3">
      <c r="S3209" s="19"/>
    </row>
    <row r="3210" spans="19:19" x14ac:dyDescent="0.3">
      <c r="S3210" s="18"/>
    </row>
    <row r="3211" spans="19:19" x14ac:dyDescent="0.3">
      <c r="S3211" s="19"/>
    </row>
    <row r="3212" spans="19:19" x14ac:dyDescent="0.3">
      <c r="S3212" s="18"/>
    </row>
    <row r="3213" spans="19:19" x14ac:dyDescent="0.3">
      <c r="S3213" s="19"/>
    </row>
    <row r="3214" spans="19:19" x14ac:dyDescent="0.3">
      <c r="S3214" s="18"/>
    </row>
    <row r="3215" spans="19:19" x14ac:dyDescent="0.3">
      <c r="S3215" s="19"/>
    </row>
    <row r="3216" spans="19:19" x14ac:dyDescent="0.3">
      <c r="S3216" s="18"/>
    </row>
    <row r="3217" spans="19:19" x14ac:dyDescent="0.3">
      <c r="S3217" s="19"/>
    </row>
    <row r="3218" spans="19:19" x14ac:dyDescent="0.3">
      <c r="S3218" s="18"/>
    </row>
    <row r="3219" spans="19:19" x14ac:dyDescent="0.3">
      <c r="S3219" s="19"/>
    </row>
    <row r="3220" spans="19:19" x14ac:dyDescent="0.3">
      <c r="S3220" s="18"/>
    </row>
    <row r="3221" spans="19:19" x14ac:dyDescent="0.3">
      <c r="S3221" s="19"/>
    </row>
    <row r="3222" spans="19:19" x14ac:dyDescent="0.3">
      <c r="S3222" s="18"/>
    </row>
    <row r="3223" spans="19:19" x14ac:dyDescent="0.3">
      <c r="S3223" s="19"/>
    </row>
    <row r="3224" spans="19:19" x14ac:dyDescent="0.3">
      <c r="S3224" s="18"/>
    </row>
    <row r="3225" spans="19:19" x14ac:dyDescent="0.3">
      <c r="S3225" s="19"/>
    </row>
    <row r="3226" spans="19:19" x14ac:dyDescent="0.3">
      <c r="S3226" s="18"/>
    </row>
    <row r="3227" spans="19:19" x14ac:dyDescent="0.3">
      <c r="S3227" s="19"/>
    </row>
    <row r="3228" spans="19:19" x14ac:dyDescent="0.3">
      <c r="S3228" s="18"/>
    </row>
    <row r="3229" spans="19:19" x14ac:dyDescent="0.3">
      <c r="S3229" s="19"/>
    </row>
    <row r="3230" spans="19:19" x14ac:dyDescent="0.3">
      <c r="S3230" s="18"/>
    </row>
    <row r="3231" spans="19:19" x14ac:dyDescent="0.3">
      <c r="S3231" s="19"/>
    </row>
    <row r="3232" spans="19:19" x14ac:dyDescent="0.3">
      <c r="S3232" s="18"/>
    </row>
    <row r="3233" spans="19:19" x14ac:dyDescent="0.3">
      <c r="S3233" s="19"/>
    </row>
    <row r="3234" spans="19:19" x14ac:dyDescent="0.3">
      <c r="S3234" s="18"/>
    </row>
    <row r="3235" spans="19:19" x14ac:dyDescent="0.3">
      <c r="S3235" s="19"/>
    </row>
    <row r="3236" spans="19:19" x14ac:dyDescent="0.3">
      <c r="S3236" s="18"/>
    </row>
    <row r="3237" spans="19:19" x14ac:dyDescent="0.3">
      <c r="S3237" s="19"/>
    </row>
    <row r="3238" spans="19:19" x14ac:dyDescent="0.3">
      <c r="S3238" s="18"/>
    </row>
    <row r="3239" spans="19:19" x14ac:dyDescent="0.3">
      <c r="S3239" s="19"/>
    </row>
    <row r="3240" spans="19:19" x14ac:dyDescent="0.3">
      <c r="S3240" s="18"/>
    </row>
    <row r="3241" spans="19:19" x14ac:dyDescent="0.3">
      <c r="S3241" s="19"/>
    </row>
    <row r="3242" spans="19:19" x14ac:dyDescent="0.3">
      <c r="S3242" s="18"/>
    </row>
    <row r="3243" spans="19:19" x14ac:dyDescent="0.3">
      <c r="S3243" s="19"/>
    </row>
    <row r="3244" spans="19:19" x14ac:dyDescent="0.3">
      <c r="S3244" s="18"/>
    </row>
    <row r="3245" spans="19:19" x14ac:dyDescent="0.3">
      <c r="S3245" s="19"/>
    </row>
    <row r="3246" spans="19:19" x14ac:dyDescent="0.3">
      <c r="S3246" s="18"/>
    </row>
    <row r="3247" spans="19:19" x14ac:dyDescent="0.3">
      <c r="S3247" s="19"/>
    </row>
    <row r="3248" spans="19:19" x14ac:dyDescent="0.3">
      <c r="S3248" s="18"/>
    </row>
    <row r="3249" spans="19:19" x14ac:dyDescent="0.3">
      <c r="S3249" s="19"/>
    </row>
    <row r="3250" spans="19:19" x14ac:dyDescent="0.3">
      <c r="S3250" s="18"/>
    </row>
    <row r="3251" spans="19:19" x14ac:dyDescent="0.3">
      <c r="S3251" s="19"/>
    </row>
    <row r="3252" spans="19:19" x14ac:dyDescent="0.3">
      <c r="S3252" s="18"/>
    </row>
    <row r="3253" spans="19:19" x14ac:dyDescent="0.3">
      <c r="S3253" s="19"/>
    </row>
    <row r="3254" spans="19:19" x14ac:dyDescent="0.3">
      <c r="S3254" s="18"/>
    </row>
    <row r="3255" spans="19:19" x14ac:dyDescent="0.3">
      <c r="S3255" s="19"/>
    </row>
    <row r="3256" spans="19:19" x14ac:dyDescent="0.3">
      <c r="S3256" s="18"/>
    </row>
    <row r="3257" spans="19:19" x14ac:dyDescent="0.3">
      <c r="S3257" s="19"/>
    </row>
    <row r="3258" spans="19:19" x14ac:dyDescent="0.3">
      <c r="S3258" s="18"/>
    </row>
    <row r="3259" spans="19:19" x14ac:dyDescent="0.3">
      <c r="S3259" s="19"/>
    </row>
    <row r="3260" spans="19:19" x14ac:dyDescent="0.3">
      <c r="S3260" s="18"/>
    </row>
    <row r="3261" spans="19:19" x14ac:dyDescent="0.3">
      <c r="S3261" s="19"/>
    </row>
    <row r="3262" spans="19:19" x14ac:dyDescent="0.3">
      <c r="S3262" s="18"/>
    </row>
    <row r="3263" spans="19:19" x14ac:dyDescent="0.3">
      <c r="S3263" s="19"/>
    </row>
    <row r="3264" spans="19:19" x14ac:dyDescent="0.3">
      <c r="S3264" s="18"/>
    </row>
    <row r="3265" spans="19:19" x14ac:dyDescent="0.3">
      <c r="S3265" s="19"/>
    </row>
    <row r="3266" spans="19:19" x14ac:dyDescent="0.3">
      <c r="S3266" s="18"/>
    </row>
    <row r="3267" spans="19:19" x14ac:dyDescent="0.3">
      <c r="S3267" s="19"/>
    </row>
    <row r="3268" spans="19:19" x14ac:dyDescent="0.3">
      <c r="S3268" s="18"/>
    </row>
    <row r="3269" spans="19:19" x14ac:dyDescent="0.3">
      <c r="S3269" s="19"/>
    </row>
    <row r="3270" spans="19:19" x14ac:dyDescent="0.3">
      <c r="S3270" s="18"/>
    </row>
    <row r="3271" spans="19:19" x14ac:dyDescent="0.3">
      <c r="S3271" s="19"/>
    </row>
    <row r="3272" spans="19:19" x14ac:dyDescent="0.3">
      <c r="S3272" s="18"/>
    </row>
    <row r="3273" spans="19:19" x14ac:dyDescent="0.3">
      <c r="S3273" s="19"/>
    </row>
    <row r="3274" spans="19:19" x14ac:dyDescent="0.3">
      <c r="S3274" s="18"/>
    </row>
    <row r="3275" spans="19:19" x14ac:dyDescent="0.3">
      <c r="S3275" s="19"/>
    </row>
    <row r="3276" spans="19:19" x14ac:dyDescent="0.3">
      <c r="S3276" s="18"/>
    </row>
    <row r="3277" spans="19:19" x14ac:dyDescent="0.3">
      <c r="S3277" s="19"/>
    </row>
    <row r="3278" spans="19:19" x14ac:dyDescent="0.3">
      <c r="S3278" s="18"/>
    </row>
    <row r="3279" spans="19:19" x14ac:dyDescent="0.3">
      <c r="S3279" s="19"/>
    </row>
    <row r="3280" spans="19:19" x14ac:dyDescent="0.3">
      <c r="S3280" s="18"/>
    </row>
    <row r="3281" spans="19:19" x14ac:dyDescent="0.3">
      <c r="S3281" s="19"/>
    </row>
    <row r="3282" spans="19:19" x14ac:dyDescent="0.3">
      <c r="S3282" s="18"/>
    </row>
    <row r="3283" spans="19:19" x14ac:dyDescent="0.3">
      <c r="S3283" s="19"/>
    </row>
    <row r="3284" spans="19:19" x14ac:dyDescent="0.3">
      <c r="S3284" s="18"/>
    </row>
    <row r="3285" spans="19:19" x14ac:dyDescent="0.3">
      <c r="S3285" s="19"/>
    </row>
    <row r="3286" spans="19:19" x14ac:dyDescent="0.3">
      <c r="S3286" s="18"/>
    </row>
    <row r="3287" spans="19:19" x14ac:dyDescent="0.3">
      <c r="S3287" s="19"/>
    </row>
    <row r="3288" spans="19:19" x14ac:dyDescent="0.3">
      <c r="S3288" s="18"/>
    </row>
    <row r="3289" spans="19:19" x14ac:dyDescent="0.3">
      <c r="S3289" s="19"/>
    </row>
    <row r="3290" spans="19:19" x14ac:dyDescent="0.3">
      <c r="S3290" s="18"/>
    </row>
    <row r="3291" spans="19:19" x14ac:dyDescent="0.3">
      <c r="S3291" s="19"/>
    </row>
    <row r="3292" spans="19:19" x14ac:dyDescent="0.3">
      <c r="S3292" s="18"/>
    </row>
    <row r="3293" spans="19:19" x14ac:dyDescent="0.3">
      <c r="S3293" s="19"/>
    </row>
    <row r="3294" spans="19:19" x14ac:dyDescent="0.3">
      <c r="S3294" s="18"/>
    </row>
    <row r="3295" spans="19:19" x14ac:dyDescent="0.3">
      <c r="S3295" s="19"/>
    </row>
    <row r="3296" spans="19:19" x14ac:dyDescent="0.3">
      <c r="S3296" s="18"/>
    </row>
    <row r="3297" spans="19:19" x14ac:dyDescent="0.3">
      <c r="S3297" s="19"/>
    </row>
    <row r="3298" spans="19:19" x14ac:dyDescent="0.3">
      <c r="S3298" s="18"/>
    </row>
    <row r="3299" spans="19:19" x14ac:dyDescent="0.3">
      <c r="S3299" s="19"/>
    </row>
    <row r="3300" spans="19:19" x14ac:dyDescent="0.3">
      <c r="S3300" s="18"/>
    </row>
    <row r="3301" spans="19:19" x14ac:dyDescent="0.3">
      <c r="S3301" s="19"/>
    </row>
    <row r="3302" spans="19:19" x14ac:dyDescent="0.3">
      <c r="S3302" s="18"/>
    </row>
    <row r="3303" spans="19:19" x14ac:dyDescent="0.3">
      <c r="S3303" s="19"/>
    </row>
    <row r="3304" spans="19:19" x14ac:dyDescent="0.3">
      <c r="S3304" s="18"/>
    </row>
    <row r="3305" spans="19:19" x14ac:dyDescent="0.3">
      <c r="S3305" s="19"/>
    </row>
    <row r="3306" spans="19:19" x14ac:dyDescent="0.3">
      <c r="S3306" s="18"/>
    </row>
    <row r="3307" spans="19:19" x14ac:dyDescent="0.3">
      <c r="S3307" s="19"/>
    </row>
    <row r="3308" spans="19:19" x14ac:dyDescent="0.3">
      <c r="S3308" s="18"/>
    </row>
    <row r="3309" spans="19:19" x14ac:dyDescent="0.3">
      <c r="S3309" s="19"/>
    </row>
    <row r="3310" spans="19:19" x14ac:dyDescent="0.3">
      <c r="S3310" s="18"/>
    </row>
    <row r="3311" spans="19:19" x14ac:dyDescent="0.3">
      <c r="S3311" s="19"/>
    </row>
    <row r="3312" spans="19:19" x14ac:dyDescent="0.3">
      <c r="S3312" s="18"/>
    </row>
    <row r="3313" spans="19:19" x14ac:dyDescent="0.3">
      <c r="S3313" s="19"/>
    </row>
    <row r="3314" spans="19:19" x14ac:dyDescent="0.3">
      <c r="S3314" s="18"/>
    </row>
    <row r="3315" spans="19:19" x14ac:dyDescent="0.3">
      <c r="S3315" s="19"/>
    </row>
    <row r="3316" spans="19:19" x14ac:dyDescent="0.3">
      <c r="S3316" s="18"/>
    </row>
    <row r="3317" spans="19:19" x14ac:dyDescent="0.3">
      <c r="S3317" s="19"/>
    </row>
    <row r="3318" spans="19:19" x14ac:dyDescent="0.3">
      <c r="S3318" s="18"/>
    </row>
    <row r="3319" spans="19:19" x14ac:dyDescent="0.3">
      <c r="S3319" s="19"/>
    </row>
    <row r="3320" spans="19:19" x14ac:dyDescent="0.3">
      <c r="S3320" s="18"/>
    </row>
    <row r="3321" spans="19:19" x14ac:dyDescent="0.3">
      <c r="S3321" s="19"/>
    </row>
    <row r="3322" spans="19:19" x14ac:dyDescent="0.3">
      <c r="S3322" s="18"/>
    </row>
    <row r="3323" spans="19:19" x14ac:dyDescent="0.3">
      <c r="S3323" s="19"/>
    </row>
    <row r="3324" spans="19:19" x14ac:dyDescent="0.3">
      <c r="S3324" s="18"/>
    </row>
    <row r="3325" spans="19:19" x14ac:dyDescent="0.3">
      <c r="S3325" s="19"/>
    </row>
    <row r="3326" spans="19:19" x14ac:dyDescent="0.3">
      <c r="S3326" s="18"/>
    </row>
    <row r="3327" spans="19:19" x14ac:dyDescent="0.3">
      <c r="S3327" s="19"/>
    </row>
    <row r="3328" spans="19:19" x14ac:dyDescent="0.3">
      <c r="S3328" s="18"/>
    </row>
    <row r="3329" spans="19:19" x14ac:dyDescent="0.3">
      <c r="S3329" s="19"/>
    </row>
    <row r="3330" spans="19:19" x14ac:dyDescent="0.3">
      <c r="S3330" s="18"/>
    </row>
    <row r="3331" spans="19:19" x14ac:dyDescent="0.3">
      <c r="S3331" s="19"/>
    </row>
    <row r="3332" spans="19:19" x14ac:dyDescent="0.3">
      <c r="S3332" s="18"/>
    </row>
    <row r="3333" spans="19:19" x14ac:dyDescent="0.3">
      <c r="S3333" s="19"/>
    </row>
    <row r="3334" spans="19:19" x14ac:dyDescent="0.3">
      <c r="S3334" s="18"/>
    </row>
    <row r="3335" spans="19:19" x14ac:dyDescent="0.3">
      <c r="S3335" s="19"/>
    </row>
    <row r="3336" spans="19:19" x14ac:dyDescent="0.3">
      <c r="S3336" s="18"/>
    </row>
    <row r="3337" spans="19:19" x14ac:dyDescent="0.3">
      <c r="S3337" s="19"/>
    </row>
    <row r="3338" spans="19:19" x14ac:dyDescent="0.3">
      <c r="S3338" s="18"/>
    </row>
    <row r="3339" spans="19:19" x14ac:dyDescent="0.3">
      <c r="S3339" s="19"/>
    </row>
    <row r="3340" spans="19:19" x14ac:dyDescent="0.3">
      <c r="S3340" s="18"/>
    </row>
    <row r="3341" spans="19:19" x14ac:dyDescent="0.3">
      <c r="S3341" s="19"/>
    </row>
    <row r="3342" spans="19:19" x14ac:dyDescent="0.3">
      <c r="S3342" s="18"/>
    </row>
    <row r="3343" spans="19:19" x14ac:dyDescent="0.3">
      <c r="S3343" s="19"/>
    </row>
    <row r="3344" spans="19:19" x14ac:dyDescent="0.3">
      <c r="S3344" s="18"/>
    </row>
    <row r="3345" spans="19:19" x14ac:dyDescent="0.3">
      <c r="S3345" s="19"/>
    </row>
    <row r="3346" spans="19:19" x14ac:dyDescent="0.3">
      <c r="S3346" s="18"/>
    </row>
    <row r="3347" spans="19:19" x14ac:dyDescent="0.3">
      <c r="S3347" s="19"/>
    </row>
    <row r="3348" spans="19:19" x14ac:dyDescent="0.3">
      <c r="S3348" s="18"/>
    </row>
    <row r="3349" spans="19:19" x14ac:dyDescent="0.3">
      <c r="S3349" s="19"/>
    </row>
    <row r="3350" spans="19:19" x14ac:dyDescent="0.3">
      <c r="S3350" s="18"/>
    </row>
    <row r="3351" spans="19:19" x14ac:dyDescent="0.3">
      <c r="S3351" s="19"/>
    </row>
    <row r="3352" spans="19:19" x14ac:dyDescent="0.3">
      <c r="S3352" s="18"/>
    </row>
    <row r="3353" spans="19:19" x14ac:dyDescent="0.3">
      <c r="S3353" s="19"/>
    </row>
    <row r="3354" spans="19:19" x14ac:dyDescent="0.3">
      <c r="S3354" s="18"/>
    </row>
    <row r="3355" spans="19:19" x14ac:dyDescent="0.3">
      <c r="S3355" s="19"/>
    </row>
    <row r="3356" spans="19:19" x14ac:dyDescent="0.3">
      <c r="S3356" s="18"/>
    </row>
    <row r="3357" spans="19:19" x14ac:dyDescent="0.3">
      <c r="S3357" s="19"/>
    </row>
    <row r="3358" spans="19:19" x14ac:dyDescent="0.3">
      <c r="S3358" s="18"/>
    </row>
    <row r="3359" spans="19:19" x14ac:dyDescent="0.3">
      <c r="S3359" s="19"/>
    </row>
    <row r="3360" spans="19:19" x14ac:dyDescent="0.3">
      <c r="S3360" s="18"/>
    </row>
    <row r="3361" spans="19:19" x14ac:dyDescent="0.3">
      <c r="S3361" s="19"/>
    </row>
    <row r="3362" spans="19:19" x14ac:dyDescent="0.3">
      <c r="S3362" s="18"/>
    </row>
    <row r="3363" spans="19:19" x14ac:dyDescent="0.3">
      <c r="S3363" s="19"/>
    </row>
    <row r="3364" spans="19:19" x14ac:dyDescent="0.3">
      <c r="S3364" s="18"/>
    </row>
    <row r="3365" spans="19:19" x14ac:dyDescent="0.3">
      <c r="S3365" s="19"/>
    </row>
    <row r="3366" spans="19:19" x14ac:dyDescent="0.3">
      <c r="S3366" s="18"/>
    </row>
    <row r="3367" spans="19:19" x14ac:dyDescent="0.3">
      <c r="S3367" s="19"/>
    </row>
    <row r="3368" spans="19:19" x14ac:dyDescent="0.3">
      <c r="S3368" s="18"/>
    </row>
    <row r="3369" spans="19:19" x14ac:dyDescent="0.3">
      <c r="S3369" s="19"/>
    </row>
    <row r="3370" spans="19:19" x14ac:dyDescent="0.3">
      <c r="S3370" s="18"/>
    </row>
    <row r="3371" spans="19:19" x14ac:dyDescent="0.3">
      <c r="S3371" s="19"/>
    </row>
    <row r="3372" spans="19:19" x14ac:dyDescent="0.3">
      <c r="S3372" s="18"/>
    </row>
    <row r="3373" spans="19:19" x14ac:dyDescent="0.3">
      <c r="S3373" s="19"/>
    </row>
    <row r="3374" spans="19:19" x14ac:dyDescent="0.3">
      <c r="S3374" s="18"/>
    </row>
    <row r="3375" spans="19:19" x14ac:dyDescent="0.3">
      <c r="S3375" s="19"/>
    </row>
    <row r="3376" spans="19:19" x14ac:dyDescent="0.3">
      <c r="S3376" s="18"/>
    </row>
    <row r="3377" spans="19:19" x14ac:dyDescent="0.3">
      <c r="S3377" s="19"/>
    </row>
    <row r="3378" spans="19:19" x14ac:dyDescent="0.3">
      <c r="S3378" s="18"/>
    </row>
    <row r="3379" spans="19:19" x14ac:dyDescent="0.3">
      <c r="S3379" s="19"/>
    </row>
    <row r="3380" spans="19:19" x14ac:dyDescent="0.3">
      <c r="S3380" s="18"/>
    </row>
    <row r="3381" spans="19:19" x14ac:dyDescent="0.3">
      <c r="S3381" s="19"/>
    </row>
    <row r="3382" spans="19:19" x14ac:dyDescent="0.3">
      <c r="S3382" s="18"/>
    </row>
    <row r="3383" spans="19:19" x14ac:dyDescent="0.3">
      <c r="S3383" s="19"/>
    </row>
    <row r="3384" spans="19:19" x14ac:dyDescent="0.3">
      <c r="S3384" s="18"/>
    </row>
    <row r="3385" spans="19:19" x14ac:dyDescent="0.3">
      <c r="S3385" s="19"/>
    </row>
    <row r="3386" spans="19:19" x14ac:dyDescent="0.3">
      <c r="S3386" s="18"/>
    </row>
    <row r="3387" spans="19:19" x14ac:dyDescent="0.3">
      <c r="S3387" s="19"/>
    </row>
    <row r="3388" spans="19:19" x14ac:dyDescent="0.3">
      <c r="S3388" s="18"/>
    </row>
    <row r="3389" spans="19:19" x14ac:dyDescent="0.3">
      <c r="S3389" s="19"/>
    </row>
    <row r="3390" spans="19:19" x14ac:dyDescent="0.3">
      <c r="S3390" s="18"/>
    </row>
    <row r="3391" spans="19:19" x14ac:dyDescent="0.3">
      <c r="S3391" s="19"/>
    </row>
    <row r="3392" spans="19:19" x14ac:dyDescent="0.3">
      <c r="S3392" s="18"/>
    </row>
    <row r="3393" spans="19:19" x14ac:dyDescent="0.3">
      <c r="S3393" s="19"/>
    </row>
    <row r="3394" spans="19:19" x14ac:dyDescent="0.3">
      <c r="S3394" s="18"/>
    </row>
    <row r="3395" spans="19:19" x14ac:dyDescent="0.3">
      <c r="S3395" s="19"/>
    </row>
    <row r="3396" spans="19:19" x14ac:dyDescent="0.3">
      <c r="S3396" s="18"/>
    </row>
    <row r="3397" spans="19:19" x14ac:dyDescent="0.3">
      <c r="S3397" s="19"/>
    </row>
    <row r="3398" spans="19:19" x14ac:dyDescent="0.3">
      <c r="S3398" s="18"/>
    </row>
    <row r="3399" spans="19:19" x14ac:dyDescent="0.3">
      <c r="S3399" s="19"/>
    </row>
    <row r="3400" spans="19:19" x14ac:dyDescent="0.3">
      <c r="S3400" s="18"/>
    </row>
    <row r="3401" spans="19:19" x14ac:dyDescent="0.3">
      <c r="S3401" s="19"/>
    </row>
    <row r="3402" spans="19:19" x14ac:dyDescent="0.3">
      <c r="S3402" s="18"/>
    </row>
    <row r="3403" spans="19:19" x14ac:dyDescent="0.3">
      <c r="S3403" s="19"/>
    </row>
    <row r="3404" spans="19:19" x14ac:dyDescent="0.3">
      <c r="S3404" s="18"/>
    </row>
    <row r="3405" spans="19:19" x14ac:dyDescent="0.3">
      <c r="S3405" s="19"/>
    </row>
    <row r="3406" spans="19:19" x14ac:dyDescent="0.3">
      <c r="S3406" s="18"/>
    </row>
    <row r="3407" spans="19:19" x14ac:dyDescent="0.3">
      <c r="S3407" s="19"/>
    </row>
    <row r="3408" spans="19:19" x14ac:dyDescent="0.3">
      <c r="S3408" s="18"/>
    </row>
    <row r="3409" spans="19:19" x14ac:dyDescent="0.3">
      <c r="S3409" s="19"/>
    </row>
    <row r="3410" spans="19:19" x14ac:dyDescent="0.3">
      <c r="S3410" s="18"/>
    </row>
    <row r="3411" spans="19:19" x14ac:dyDescent="0.3">
      <c r="S3411" s="19"/>
    </row>
    <row r="3412" spans="19:19" x14ac:dyDescent="0.3">
      <c r="S3412" s="18"/>
    </row>
    <row r="3413" spans="19:19" x14ac:dyDescent="0.3">
      <c r="S3413" s="19"/>
    </row>
    <row r="3414" spans="19:19" x14ac:dyDescent="0.3">
      <c r="S3414" s="18"/>
    </row>
    <row r="3415" spans="19:19" x14ac:dyDescent="0.3">
      <c r="S3415" s="19"/>
    </row>
    <row r="3416" spans="19:19" x14ac:dyDescent="0.3">
      <c r="S3416" s="18"/>
    </row>
    <row r="3417" spans="19:19" x14ac:dyDescent="0.3">
      <c r="S3417" s="19"/>
    </row>
    <row r="3418" spans="19:19" x14ac:dyDescent="0.3">
      <c r="S3418" s="18"/>
    </row>
    <row r="3419" spans="19:19" x14ac:dyDescent="0.3">
      <c r="S3419" s="19"/>
    </row>
    <row r="3420" spans="19:19" x14ac:dyDescent="0.3">
      <c r="S3420" s="18"/>
    </row>
    <row r="3421" spans="19:19" x14ac:dyDescent="0.3">
      <c r="S3421" s="19"/>
    </row>
    <row r="3422" spans="19:19" x14ac:dyDescent="0.3">
      <c r="S3422" s="18"/>
    </row>
    <row r="3423" spans="19:19" x14ac:dyDescent="0.3">
      <c r="S3423" s="19"/>
    </row>
    <row r="3424" spans="19:19" x14ac:dyDescent="0.3">
      <c r="S3424" s="18"/>
    </row>
    <row r="3425" spans="19:19" x14ac:dyDescent="0.3">
      <c r="S3425" s="19"/>
    </row>
    <row r="3426" spans="19:19" x14ac:dyDescent="0.3">
      <c r="S3426" s="18"/>
    </row>
    <row r="3427" spans="19:19" x14ac:dyDescent="0.3">
      <c r="S3427" s="19"/>
    </row>
    <row r="3428" spans="19:19" x14ac:dyDescent="0.3">
      <c r="S3428" s="18"/>
    </row>
    <row r="3429" spans="19:19" x14ac:dyDescent="0.3">
      <c r="S3429" s="19"/>
    </row>
    <row r="3430" spans="19:19" x14ac:dyDescent="0.3">
      <c r="S3430" s="18"/>
    </row>
    <row r="3431" spans="19:19" x14ac:dyDescent="0.3">
      <c r="S3431" s="19"/>
    </row>
    <row r="3432" spans="19:19" x14ac:dyDescent="0.3">
      <c r="S3432" s="18"/>
    </row>
    <row r="3433" spans="19:19" x14ac:dyDescent="0.3">
      <c r="S3433" s="19"/>
    </row>
    <row r="3434" spans="19:19" x14ac:dyDescent="0.3">
      <c r="S3434" s="18"/>
    </row>
    <row r="3435" spans="19:19" x14ac:dyDescent="0.3">
      <c r="S3435" s="19"/>
    </row>
    <row r="3436" spans="19:19" x14ac:dyDescent="0.3">
      <c r="S3436" s="18"/>
    </row>
    <row r="3437" spans="19:19" x14ac:dyDescent="0.3">
      <c r="S3437" s="19"/>
    </row>
    <row r="3438" spans="19:19" x14ac:dyDescent="0.3">
      <c r="S3438" s="18"/>
    </row>
    <row r="3439" spans="19:19" x14ac:dyDescent="0.3">
      <c r="S3439" s="19"/>
    </row>
    <row r="3440" spans="19:19" x14ac:dyDescent="0.3">
      <c r="S3440" s="18"/>
    </row>
    <row r="3441" spans="19:19" x14ac:dyDescent="0.3">
      <c r="S3441" s="19"/>
    </row>
    <row r="3442" spans="19:19" x14ac:dyDescent="0.3">
      <c r="S3442" s="18"/>
    </row>
    <row r="3443" spans="19:19" x14ac:dyDescent="0.3">
      <c r="S3443" s="19"/>
    </row>
    <row r="3444" spans="19:19" x14ac:dyDescent="0.3">
      <c r="S3444" s="18"/>
    </row>
    <row r="3445" spans="19:19" x14ac:dyDescent="0.3">
      <c r="S3445" s="19"/>
    </row>
    <row r="3446" spans="19:19" x14ac:dyDescent="0.3">
      <c r="S3446" s="18"/>
    </row>
    <row r="3447" spans="19:19" x14ac:dyDescent="0.3">
      <c r="S3447" s="19"/>
    </row>
    <row r="3448" spans="19:19" x14ac:dyDescent="0.3">
      <c r="S3448" s="18"/>
    </row>
    <row r="3449" spans="19:19" x14ac:dyDescent="0.3">
      <c r="S3449" s="19"/>
    </row>
    <row r="3450" spans="19:19" x14ac:dyDescent="0.3">
      <c r="S3450" s="18"/>
    </row>
    <row r="3451" spans="19:19" x14ac:dyDescent="0.3">
      <c r="S3451" s="19"/>
    </row>
    <row r="3452" spans="19:19" x14ac:dyDescent="0.3">
      <c r="S3452" s="18"/>
    </row>
    <row r="3453" spans="19:19" x14ac:dyDescent="0.3">
      <c r="S3453" s="19"/>
    </row>
    <row r="3454" spans="19:19" x14ac:dyDescent="0.3">
      <c r="S3454" s="18"/>
    </row>
    <row r="3455" spans="19:19" x14ac:dyDescent="0.3">
      <c r="S3455" s="19"/>
    </row>
    <row r="3456" spans="19:19" x14ac:dyDescent="0.3">
      <c r="S3456" s="18"/>
    </row>
    <row r="3457" spans="19:19" x14ac:dyDescent="0.3">
      <c r="S3457" s="19"/>
    </row>
    <row r="3458" spans="19:19" x14ac:dyDescent="0.3">
      <c r="S3458" s="18"/>
    </row>
    <row r="3459" spans="19:19" x14ac:dyDescent="0.3">
      <c r="S3459" s="19"/>
    </row>
    <row r="3460" spans="19:19" x14ac:dyDescent="0.3">
      <c r="S3460" s="18"/>
    </row>
    <row r="3461" spans="19:19" x14ac:dyDescent="0.3">
      <c r="S3461" s="19"/>
    </row>
    <row r="3462" spans="19:19" x14ac:dyDescent="0.3">
      <c r="S3462" s="18"/>
    </row>
    <row r="3463" spans="19:19" x14ac:dyDescent="0.3">
      <c r="S3463" s="19"/>
    </row>
    <row r="3464" spans="19:19" x14ac:dyDescent="0.3">
      <c r="S3464" s="18"/>
    </row>
    <row r="3465" spans="19:19" x14ac:dyDescent="0.3">
      <c r="S3465" s="19"/>
    </row>
    <row r="3466" spans="19:19" x14ac:dyDescent="0.3">
      <c r="S3466" s="18"/>
    </row>
    <row r="3467" spans="19:19" x14ac:dyDescent="0.3">
      <c r="S3467" s="19"/>
    </row>
    <row r="3468" spans="19:19" x14ac:dyDescent="0.3">
      <c r="S3468" s="18"/>
    </row>
    <row r="3469" spans="19:19" x14ac:dyDescent="0.3">
      <c r="S3469" s="19"/>
    </row>
    <row r="3470" spans="19:19" x14ac:dyDescent="0.3">
      <c r="S3470" s="18"/>
    </row>
    <row r="3471" spans="19:19" x14ac:dyDescent="0.3">
      <c r="S3471" s="19"/>
    </row>
    <row r="3472" spans="19:19" x14ac:dyDescent="0.3">
      <c r="S3472" s="18"/>
    </row>
    <row r="3473" spans="19:19" x14ac:dyDescent="0.3">
      <c r="S3473" s="19"/>
    </row>
    <row r="3474" spans="19:19" x14ac:dyDescent="0.3">
      <c r="S3474" s="18"/>
    </row>
    <row r="3475" spans="19:19" x14ac:dyDescent="0.3">
      <c r="S3475" s="19"/>
    </row>
    <row r="3476" spans="19:19" x14ac:dyDescent="0.3">
      <c r="S3476" s="18"/>
    </row>
    <row r="3477" spans="19:19" x14ac:dyDescent="0.3">
      <c r="S3477" s="19"/>
    </row>
    <row r="3478" spans="19:19" x14ac:dyDescent="0.3">
      <c r="S3478" s="18"/>
    </row>
    <row r="3479" spans="19:19" x14ac:dyDescent="0.3">
      <c r="S3479" s="19"/>
    </row>
    <row r="3480" spans="19:19" x14ac:dyDescent="0.3">
      <c r="S3480" s="18"/>
    </row>
    <row r="3481" spans="19:19" x14ac:dyDescent="0.3">
      <c r="S3481" s="19"/>
    </row>
    <row r="3482" spans="19:19" x14ac:dyDescent="0.3">
      <c r="S3482" s="18"/>
    </row>
    <row r="3483" spans="19:19" x14ac:dyDescent="0.3">
      <c r="S3483" s="19"/>
    </row>
    <row r="3484" spans="19:19" x14ac:dyDescent="0.3">
      <c r="S3484" s="18"/>
    </row>
    <row r="3485" spans="19:19" x14ac:dyDescent="0.3">
      <c r="S3485" s="19"/>
    </row>
    <row r="3486" spans="19:19" x14ac:dyDescent="0.3">
      <c r="S3486" s="18"/>
    </row>
    <row r="3487" spans="19:19" x14ac:dyDescent="0.3">
      <c r="S3487" s="19"/>
    </row>
    <row r="3488" spans="19:19" x14ac:dyDescent="0.3">
      <c r="S3488" s="18"/>
    </row>
    <row r="3489" spans="19:19" x14ac:dyDescent="0.3">
      <c r="S3489" s="19"/>
    </row>
    <row r="3490" spans="19:19" x14ac:dyDescent="0.3">
      <c r="S3490" s="18"/>
    </row>
    <row r="3491" spans="19:19" x14ac:dyDescent="0.3">
      <c r="S3491" s="19"/>
    </row>
    <row r="3492" spans="19:19" x14ac:dyDescent="0.3">
      <c r="S3492" s="18"/>
    </row>
    <row r="3493" spans="19:19" x14ac:dyDescent="0.3">
      <c r="S3493" s="19"/>
    </row>
    <row r="3494" spans="19:19" x14ac:dyDescent="0.3">
      <c r="S3494" s="18"/>
    </row>
    <row r="3495" spans="19:19" x14ac:dyDescent="0.3">
      <c r="S3495" s="19"/>
    </row>
    <row r="3496" spans="19:19" x14ac:dyDescent="0.3">
      <c r="S3496" s="18"/>
    </row>
    <row r="3497" spans="19:19" x14ac:dyDescent="0.3">
      <c r="S3497" s="19"/>
    </row>
    <row r="3498" spans="19:19" x14ac:dyDescent="0.3">
      <c r="S3498" s="18"/>
    </row>
    <row r="3499" spans="19:19" x14ac:dyDescent="0.3">
      <c r="S3499" s="19"/>
    </row>
    <row r="3500" spans="19:19" x14ac:dyDescent="0.3">
      <c r="S3500" s="18"/>
    </row>
    <row r="3501" spans="19:19" x14ac:dyDescent="0.3">
      <c r="S3501" s="19"/>
    </row>
    <row r="3502" spans="19:19" x14ac:dyDescent="0.3">
      <c r="S3502" s="18"/>
    </row>
    <row r="3503" spans="19:19" x14ac:dyDescent="0.3">
      <c r="S3503" s="19"/>
    </row>
    <row r="3504" spans="19:19" x14ac:dyDescent="0.3">
      <c r="S3504" s="18"/>
    </row>
    <row r="3505" spans="19:19" x14ac:dyDescent="0.3">
      <c r="S3505" s="19"/>
    </row>
    <row r="3506" spans="19:19" x14ac:dyDescent="0.3">
      <c r="S3506" s="18"/>
    </row>
    <row r="3507" spans="19:19" x14ac:dyDescent="0.3">
      <c r="S3507" s="19"/>
    </row>
    <row r="3508" spans="19:19" x14ac:dyDescent="0.3">
      <c r="S3508" s="18"/>
    </row>
    <row r="3509" spans="19:19" x14ac:dyDescent="0.3">
      <c r="S3509" s="19"/>
    </row>
    <row r="3510" spans="19:19" x14ac:dyDescent="0.3">
      <c r="S3510" s="18"/>
    </row>
    <row r="3511" spans="19:19" x14ac:dyDescent="0.3">
      <c r="S3511" s="19"/>
    </row>
    <row r="3512" spans="19:19" x14ac:dyDescent="0.3">
      <c r="S3512" s="18"/>
    </row>
    <row r="3513" spans="19:19" x14ac:dyDescent="0.3">
      <c r="S3513" s="19"/>
    </row>
    <row r="3514" spans="19:19" x14ac:dyDescent="0.3">
      <c r="S3514" s="18"/>
    </row>
    <row r="3515" spans="19:19" x14ac:dyDescent="0.3">
      <c r="S3515" s="19"/>
    </row>
    <row r="3516" spans="19:19" x14ac:dyDescent="0.3">
      <c r="S3516" s="18"/>
    </row>
    <row r="3517" spans="19:19" x14ac:dyDescent="0.3">
      <c r="S3517" s="19"/>
    </row>
    <row r="3518" spans="19:19" x14ac:dyDescent="0.3">
      <c r="S3518" s="18"/>
    </row>
    <row r="3519" spans="19:19" x14ac:dyDescent="0.3">
      <c r="S3519" s="19"/>
    </row>
    <row r="3520" spans="19:19" x14ac:dyDescent="0.3">
      <c r="S3520" s="18"/>
    </row>
    <row r="3521" spans="19:19" x14ac:dyDescent="0.3">
      <c r="S3521" s="19"/>
    </row>
    <row r="3522" spans="19:19" x14ac:dyDescent="0.3">
      <c r="S3522" s="18"/>
    </row>
    <row r="3523" spans="19:19" x14ac:dyDescent="0.3">
      <c r="S3523" s="19"/>
    </row>
    <row r="3524" spans="19:19" x14ac:dyDescent="0.3">
      <c r="S3524" s="18"/>
    </row>
    <row r="3525" spans="19:19" x14ac:dyDescent="0.3">
      <c r="S3525" s="19"/>
    </row>
    <row r="3526" spans="19:19" x14ac:dyDescent="0.3">
      <c r="S3526" s="18"/>
    </row>
    <row r="3527" spans="19:19" x14ac:dyDescent="0.3">
      <c r="S3527" s="19"/>
    </row>
    <row r="3528" spans="19:19" x14ac:dyDescent="0.3">
      <c r="S3528" s="18"/>
    </row>
    <row r="3529" spans="19:19" x14ac:dyDescent="0.3">
      <c r="S3529" s="19"/>
    </row>
    <row r="3530" spans="19:19" x14ac:dyDescent="0.3">
      <c r="S3530" s="18"/>
    </row>
    <row r="3531" spans="19:19" x14ac:dyDescent="0.3">
      <c r="S3531" s="19"/>
    </row>
    <row r="3532" spans="19:19" x14ac:dyDescent="0.3">
      <c r="S3532" s="18"/>
    </row>
    <row r="3533" spans="19:19" x14ac:dyDescent="0.3">
      <c r="S3533" s="19"/>
    </row>
    <row r="3534" spans="19:19" x14ac:dyDescent="0.3">
      <c r="S3534" s="18"/>
    </row>
    <row r="3535" spans="19:19" x14ac:dyDescent="0.3">
      <c r="S3535" s="19"/>
    </row>
    <row r="3536" spans="19:19" x14ac:dyDescent="0.3">
      <c r="S3536" s="18"/>
    </row>
    <row r="3537" spans="19:19" x14ac:dyDescent="0.3">
      <c r="S3537" s="19"/>
    </row>
    <row r="3538" spans="19:19" x14ac:dyDescent="0.3">
      <c r="S3538" s="18"/>
    </row>
    <row r="3539" spans="19:19" x14ac:dyDescent="0.3">
      <c r="S3539" s="19"/>
    </row>
    <row r="3540" spans="19:19" x14ac:dyDescent="0.3">
      <c r="S3540" s="18"/>
    </row>
    <row r="3541" spans="19:19" x14ac:dyDescent="0.3">
      <c r="S3541" s="19"/>
    </row>
    <row r="3542" spans="19:19" x14ac:dyDescent="0.3">
      <c r="S3542" s="18"/>
    </row>
    <row r="3543" spans="19:19" x14ac:dyDescent="0.3">
      <c r="S3543" s="19"/>
    </row>
    <row r="3544" spans="19:19" x14ac:dyDescent="0.3">
      <c r="S3544" s="18"/>
    </row>
    <row r="3545" spans="19:19" x14ac:dyDescent="0.3">
      <c r="S3545" s="19"/>
    </row>
    <row r="3546" spans="19:19" x14ac:dyDescent="0.3">
      <c r="S3546" s="18"/>
    </row>
    <row r="3547" spans="19:19" x14ac:dyDescent="0.3">
      <c r="S3547" s="19"/>
    </row>
    <row r="3548" spans="19:19" x14ac:dyDescent="0.3">
      <c r="S3548" s="18"/>
    </row>
    <row r="3549" spans="19:19" x14ac:dyDescent="0.3">
      <c r="S3549" s="19"/>
    </row>
    <row r="3550" spans="19:19" x14ac:dyDescent="0.3">
      <c r="S3550" s="18"/>
    </row>
    <row r="3551" spans="19:19" x14ac:dyDescent="0.3">
      <c r="S3551" s="19"/>
    </row>
    <row r="3552" spans="19:19" x14ac:dyDescent="0.3">
      <c r="S3552" s="18"/>
    </row>
    <row r="3553" spans="19:19" x14ac:dyDescent="0.3">
      <c r="S3553" s="19"/>
    </row>
    <row r="3554" spans="19:19" x14ac:dyDescent="0.3">
      <c r="S3554" s="18"/>
    </row>
    <row r="3555" spans="19:19" x14ac:dyDescent="0.3">
      <c r="S3555" s="19"/>
    </row>
    <row r="3556" spans="19:19" x14ac:dyDescent="0.3">
      <c r="S3556" s="18"/>
    </row>
    <row r="3557" spans="19:19" x14ac:dyDescent="0.3">
      <c r="S3557" s="19"/>
    </row>
    <row r="3558" spans="19:19" x14ac:dyDescent="0.3">
      <c r="S3558" s="18"/>
    </row>
    <row r="3559" spans="19:19" x14ac:dyDescent="0.3">
      <c r="S3559" s="19"/>
    </row>
    <row r="3560" spans="19:19" x14ac:dyDescent="0.3">
      <c r="S3560" s="18"/>
    </row>
    <row r="3561" spans="19:19" x14ac:dyDescent="0.3">
      <c r="S3561" s="19"/>
    </row>
    <row r="3562" spans="19:19" x14ac:dyDescent="0.3">
      <c r="S3562" s="18"/>
    </row>
    <row r="3563" spans="19:19" x14ac:dyDescent="0.3">
      <c r="S3563" s="19"/>
    </row>
    <row r="3564" spans="19:19" x14ac:dyDescent="0.3">
      <c r="S3564" s="18"/>
    </row>
    <row r="3565" spans="19:19" x14ac:dyDescent="0.3">
      <c r="S3565" s="19"/>
    </row>
    <row r="3566" spans="19:19" x14ac:dyDescent="0.3">
      <c r="S3566" s="18"/>
    </row>
    <row r="3567" spans="19:19" x14ac:dyDescent="0.3">
      <c r="S3567" s="19"/>
    </row>
    <row r="3568" spans="19:19" x14ac:dyDescent="0.3">
      <c r="S3568" s="18"/>
    </row>
    <row r="3569" spans="19:19" x14ac:dyDescent="0.3">
      <c r="S3569" s="19"/>
    </row>
    <row r="3570" spans="19:19" x14ac:dyDescent="0.3">
      <c r="S3570" s="18"/>
    </row>
    <row r="3571" spans="19:19" x14ac:dyDescent="0.3">
      <c r="S3571" s="19"/>
    </row>
    <row r="3572" spans="19:19" x14ac:dyDescent="0.3">
      <c r="S3572" s="18"/>
    </row>
    <row r="3573" spans="19:19" x14ac:dyDescent="0.3">
      <c r="S3573" s="19"/>
    </row>
    <row r="3574" spans="19:19" x14ac:dyDescent="0.3">
      <c r="S3574" s="18"/>
    </row>
    <row r="3575" spans="19:19" x14ac:dyDescent="0.3">
      <c r="S3575" s="19"/>
    </row>
    <row r="3576" spans="19:19" x14ac:dyDescent="0.3">
      <c r="S3576" s="18"/>
    </row>
    <row r="3577" spans="19:19" x14ac:dyDescent="0.3">
      <c r="S3577" s="19"/>
    </row>
    <row r="3578" spans="19:19" x14ac:dyDescent="0.3">
      <c r="S3578" s="18"/>
    </row>
    <row r="3579" spans="19:19" x14ac:dyDescent="0.3">
      <c r="S3579" s="19"/>
    </row>
    <row r="3580" spans="19:19" x14ac:dyDescent="0.3">
      <c r="S3580" s="18"/>
    </row>
    <row r="3581" spans="19:19" x14ac:dyDescent="0.3">
      <c r="S3581" s="19"/>
    </row>
    <row r="3582" spans="19:19" x14ac:dyDescent="0.3">
      <c r="S3582" s="18"/>
    </row>
    <row r="3583" spans="19:19" x14ac:dyDescent="0.3">
      <c r="S3583" s="19"/>
    </row>
    <row r="3584" spans="19:19" x14ac:dyDescent="0.3">
      <c r="S3584" s="18"/>
    </row>
    <row r="3585" spans="19:19" x14ac:dyDescent="0.3">
      <c r="S3585" s="19"/>
    </row>
    <row r="3586" spans="19:19" x14ac:dyDescent="0.3">
      <c r="S3586" s="18"/>
    </row>
    <row r="3587" spans="19:19" x14ac:dyDescent="0.3">
      <c r="S3587" s="19"/>
    </row>
    <row r="3588" spans="19:19" x14ac:dyDescent="0.3">
      <c r="S3588" s="18"/>
    </row>
    <row r="3589" spans="19:19" x14ac:dyDescent="0.3">
      <c r="S3589" s="19"/>
    </row>
    <row r="3590" spans="19:19" x14ac:dyDescent="0.3">
      <c r="S3590" s="18"/>
    </row>
    <row r="3591" spans="19:19" x14ac:dyDescent="0.3">
      <c r="S3591" s="19"/>
    </row>
    <row r="3592" spans="19:19" x14ac:dyDescent="0.3">
      <c r="S3592" s="18"/>
    </row>
    <row r="3593" spans="19:19" x14ac:dyDescent="0.3">
      <c r="S3593" s="19"/>
    </row>
    <row r="3594" spans="19:19" x14ac:dyDescent="0.3">
      <c r="S3594" s="18"/>
    </row>
    <row r="3595" spans="19:19" x14ac:dyDescent="0.3">
      <c r="S3595" s="19"/>
    </row>
    <row r="3596" spans="19:19" x14ac:dyDescent="0.3">
      <c r="S3596" s="18"/>
    </row>
    <row r="3597" spans="19:19" x14ac:dyDescent="0.3">
      <c r="S3597" s="19"/>
    </row>
    <row r="3598" spans="19:19" x14ac:dyDescent="0.3">
      <c r="S3598" s="18"/>
    </row>
    <row r="3599" spans="19:19" x14ac:dyDescent="0.3">
      <c r="S3599" s="19"/>
    </row>
    <row r="3600" spans="19:19" x14ac:dyDescent="0.3">
      <c r="S3600" s="18"/>
    </row>
    <row r="3601" spans="19:19" x14ac:dyDescent="0.3">
      <c r="S3601" s="19"/>
    </row>
    <row r="3602" spans="19:19" x14ac:dyDescent="0.3">
      <c r="S3602" s="18"/>
    </row>
    <row r="3603" spans="19:19" x14ac:dyDescent="0.3">
      <c r="S3603" s="19"/>
    </row>
    <row r="3604" spans="19:19" x14ac:dyDescent="0.3">
      <c r="S3604" s="18"/>
    </row>
    <row r="3605" spans="19:19" x14ac:dyDescent="0.3">
      <c r="S3605" s="19"/>
    </row>
    <row r="3606" spans="19:19" x14ac:dyDescent="0.3">
      <c r="S3606" s="18"/>
    </row>
    <row r="3607" spans="19:19" x14ac:dyDescent="0.3">
      <c r="S3607" s="19"/>
    </row>
    <row r="3608" spans="19:19" x14ac:dyDescent="0.3">
      <c r="S3608" s="18"/>
    </row>
    <row r="3609" spans="19:19" x14ac:dyDescent="0.3">
      <c r="S3609" s="19"/>
    </row>
    <row r="3610" spans="19:19" x14ac:dyDescent="0.3">
      <c r="S3610" s="18"/>
    </row>
    <row r="3611" spans="19:19" x14ac:dyDescent="0.3">
      <c r="S3611" s="19"/>
    </row>
    <row r="3612" spans="19:19" x14ac:dyDescent="0.3">
      <c r="S3612" s="18"/>
    </row>
    <row r="3613" spans="19:19" x14ac:dyDescent="0.3">
      <c r="S3613" s="19"/>
    </row>
    <row r="3614" spans="19:19" x14ac:dyDescent="0.3">
      <c r="S3614" s="18"/>
    </row>
    <row r="3615" spans="19:19" x14ac:dyDescent="0.3">
      <c r="S3615" s="19"/>
    </row>
    <row r="3616" spans="19:19" x14ac:dyDescent="0.3">
      <c r="S3616" s="18"/>
    </row>
    <row r="3617" spans="19:19" x14ac:dyDescent="0.3">
      <c r="S3617" s="19"/>
    </row>
    <row r="3618" spans="19:19" x14ac:dyDescent="0.3">
      <c r="S3618" s="18"/>
    </row>
    <row r="3619" spans="19:19" x14ac:dyDescent="0.3">
      <c r="S3619" s="19"/>
    </row>
    <row r="3620" spans="19:19" x14ac:dyDescent="0.3">
      <c r="S3620" s="18"/>
    </row>
    <row r="3621" spans="19:19" x14ac:dyDescent="0.3">
      <c r="S3621" s="19"/>
    </row>
    <row r="3622" spans="19:19" x14ac:dyDescent="0.3">
      <c r="S3622" s="18"/>
    </row>
    <row r="3623" spans="19:19" x14ac:dyDescent="0.3">
      <c r="S3623" s="19"/>
    </row>
    <row r="3624" spans="19:19" x14ac:dyDescent="0.3">
      <c r="S3624" s="18"/>
    </row>
    <row r="3625" spans="19:19" x14ac:dyDescent="0.3">
      <c r="S3625" s="19"/>
    </row>
    <row r="3626" spans="19:19" x14ac:dyDescent="0.3">
      <c r="S3626" s="18"/>
    </row>
    <row r="3627" spans="19:19" x14ac:dyDescent="0.3">
      <c r="S3627" s="19"/>
    </row>
    <row r="3628" spans="19:19" x14ac:dyDescent="0.3">
      <c r="S3628" s="18"/>
    </row>
    <row r="3629" spans="19:19" x14ac:dyDescent="0.3">
      <c r="S3629" s="19"/>
    </row>
    <row r="3630" spans="19:19" x14ac:dyDescent="0.3">
      <c r="S3630" s="18"/>
    </row>
    <row r="3631" spans="19:19" x14ac:dyDescent="0.3">
      <c r="S3631" s="19"/>
    </row>
    <row r="3632" spans="19:19" x14ac:dyDescent="0.3">
      <c r="S3632" s="18"/>
    </row>
    <row r="3633" spans="19:19" x14ac:dyDescent="0.3">
      <c r="S3633" s="19"/>
    </row>
    <row r="3634" spans="19:19" x14ac:dyDescent="0.3">
      <c r="S3634" s="18"/>
    </row>
    <row r="3635" spans="19:19" x14ac:dyDescent="0.3">
      <c r="S3635" s="19"/>
    </row>
    <row r="3636" spans="19:19" x14ac:dyDescent="0.3">
      <c r="S3636" s="18"/>
    </row>
    <row r="3637" spans="19:19" x14ac:dyDescent="0.3">
      <c r="S3637" s="19"/>
    </row>
    <row r="3638" spans="19:19" x14ac:dyDescent="0.3">
      <c r="S3638" s="18"/>
    </row>
    <row r="3639" spans="19:19" x14ac:dyDescent="0.3">
      <c r="S3639" s="19"/>
    </row>
    <row r="3640" spans="19:19" x14ac:dyDescent="0.3">
      <c r="S3640" s="18"/>
    </row>
    <row r="3641" spans="19:19" x14ac:dyDescent="0.3">
      <c r="S3641" s="19"/>
    </row>
    <row r="3642" spans="19:19" x14ac:dyDescent="0.3">
      <c r="S3642" s="18"/>
    </row>
    <row r="3643" spans="19:19" x14ac:dyDescent="0.3">
      <c r="S3643" s="19"/>
    </row>
    <row r="3644" spans="19:19" x14ac:dyDescent="0.3">
      <c r="S3644" s="18"/>
    </row>
    <row r="3645" spans="19:19" x14ac:dyDescent="0.3">
      <c r="S3645" s="19"/>
    </row>
    <row r="3646" spans="19:19" x14ac:dyDescent="0.3">
      <c r="S3646" s="18"/>
    </row>
    <row r="3647" spans="19:19" x14ac:dyDescent="0.3">
      <c r="S3647" s="19"/>
    </row>
    <row r="3648" spans="19:19" x14ac:dyDescent="0.3">
      <c r="S3648" s="18"/>
    </row>
    <row r="3649" spans="19:19" x14ac:dyDescent="0.3">
      <c r="S3649" s="19"/>
    </row>
    <row r="3650" spans="19:19" x14ac:dyDescent="0.3">
      <c r="S3650" s="18"/>
    </row>
    <row r="3651" spans="19:19" x14ac:dyDescent="0.3">
      <c r="S3651" s="19"/>
    </row>
    <row r="3652" spans="19:19" x14ac:dyDescent="0.3">
      <c r="S3652" s="18"/>
    </row>
    <row r="3653" spans="19:19" x14ac:dyDescent="0.3">
      <c r="S3653" s="19"/>
    </row>
    <row r="3654" spans="19:19" x14ac:dyDescent="0.3">
      <c r="S3654" s="18"/>
    </row>
    <row r="3655" spans="19:19" x14ac:dyDescent="0.3">
      <c r="S3655" s="19"/>
    </row>
    <row r="3656" spans="19:19" x14ac:dyDescent="0.3">
      <c r="S3656" s="18"/>
    </row>
    <row r="3657" spans="19:19" x14ac:dyDescent="0.3">
      <c r="S3657" s="19"/>
    </row>
    <row r="3658" spans="19:19" x14ac:dyDescent="0.3">
      <c r="S3658" s="18"/>
    </row>
    <row r="3659" spans="19:19" x14ac:dyDescent="0.3">
      <c r="S3659" s="19"/>
    </row>
    <row r="3660" spans="19:19" x14ac:dyDescent="0.3">
      <c r="S3660" s="18"/>
    </row>
    <row r="3661" spans="19:19" x14ac:dyDescent="0.3">
      <c r="S3661" s="19"/>
    </row>
    <row r="3662" spans="19:19" x14ac:dyDescent="0.3">
      <c r="S3662" s="18"/>
    </row>
    <row r="3663" spans="19:19" x14ac:dyDescent="0.3">
      <c r="S3663" s="19"/>
    </row>
    <row r="3664" spans="19:19" x14ac:dyDescent="0.3">
      <c r="S3664" s="18"/>
    </row>
    <row r="3665" spans="19:19" x14ac:dyDescent="0.3">
      <c r="S3665" s="19"/>
    </row>
    <row r="3666" spans="19:19" x14ac:dyDescent="0.3">
      <c r="S3666" s="18"/>
    </row>
    <row r="3667" spans="19:19" x14ac:dyDescent="0.3">
      <c r="S3667" s="19"/>
    </row>
    <row r="3668" spans="19:19" x14ac:dyDescent="0.3">
      <c r="S3668" s="18"/>
    </row>
    <row r="3669" spans="19:19" x14ac:dyDescent="0.3">
      <c r="S3669" s="19"/>
    </row>
    <row r="3670" spans="19:19" x14ac:dyDescent="0.3">
      <c r="S3670" s="18"/>
    </row>
    <row r="3671" spans="19:19" x14ac:dyDescent="0.3">
      <c r="S3671" s="19"/>
    </row>
    <row r="3672" spans="19:19" x14ac:dyDescent="0.3">
      <c r="S3672" s="18"/>
    </row>
    <row r="3673" spans="19:19" x14ac:dyDescent="0.3">
      <c r="S3673" s="19"/>
    </row>
    <row r="3674" spans="19:19" x14ac:dyDescent="0.3">
      <c r="S3674" s="18"/>
    </row>
    <row r="3675" spans="19:19" x14ac:dyDescent="0.3">
      <c r="S3675" s="19"/>
    </row>
    <row r="3676" spans="19:19" x14ac:dyDescent="0.3">
      <c r="S3676" s="18"/>
    </row>
    <row r="3677" spans="19:19" x14ac:dyDescent="0.3">
      <c r="S3677" s="19"/>
    </row>
    <row r="3678" spans="19:19" x14ac:dyDescent="0.3">
      <c r="S3678" s="18"/>
    </row>
    <row r="3679" spans="19:19" x14ac:dyDescent="0.3">
      <c r="S3679" s="19"/>
    </row>
    <row r="3680" spans="19:19" x14ac:dyDescent="0.3">
      <c r="S3680" s="18"/>
    </row>
    <row r="3681" spans="19:19" x14ac:dyDescent="0.3">
      <c r="S3681" s="19"/>
    </row>
    <row r="3682" spans="19:19" x14ac:dyDescent="0.3">
      <c r="S3682" s="18"/>
    </row>
    <row r="3683" spans="19:19" x14ac:dyDescent="0.3">
      <c r="S3683" s="19"/>
    </row>
    <row r="3684" spans="19:19" x14ac:dyDescent="0.3">
      <c r="S3684" s="18"/>
    </row>
    <row r="3685" spans="19:19" x14ac:dyDescent="0.3">
      <c r="S3685" s="19"/>
    </row>
    <row r="3686" spans="19:19" x14ac:dyDescent="0.3">
      <c r="S3686" s="18"/>
    </row>
    <row r="3687" spans="19:19" x14ac:dyDescent="0.3">
      <c r="S3687" s="19"/>
    </row>
    <row r="3688" spans="19:19" x14ac:dyDescent="0.3">
      <c r="S3688" s="18"/>
    </row>
    <row r="3689" spans="19:19" x14ac:dyDescent="0.3">
      <c r="S3689" s="19"/>
    </row>
    <row r="3690" spans="19:19" x14ac:dyDescent="0.3">
      <c r="S3690" s="18"/>
    </row>
    <row r="3691" spans="19:19" x14ac:dyDescent="0.3">
      <c r="S3691" s="19"/>
    </row>
    <row r="3692" spans="19:19" x14ac:dyDescent="0.3">
      <c r="S3692" s="18"/>
    </row>
    <row r="3693" spans="19:19" x14ac:dyDescent="0.3">
      <c r="S3693" s="19"/>
    </row>
    <row r="3694" spans="19:19" x14ac:dyDescent="0.3">
      <c r="S3694" s="18"/>
    </row>
    <row r="3695" spans="19:19" x14ac:dyDescent="0.3">
      <c r="S3695" s="19"/>
    </row>
    <row r="3696" spans="19:19" x14ac:dyDescent="0.3">
      <c r="S3696" s="18"/>
    </row>
    <row r="3697" spans="19:19" x14ac:dyDescent="0.3">
      <c r="S3697" s="19"/>
    </row>
    <row r="3698" spans="19:19" x14ac:dyDescent="0.3">
      <c r="S3698" s="18"/>
    </row>
    <row r="3699" spans="19:19" x14ac:dyDescent="0.3">
      <c r="S3699" s="19"/>
    </row>
    <row r="3700" spans="19:19" x14ac:dyDescent="0.3">
      <c r="S3700" s="18"/>
    </row>
    <row r="3701" spans="19:19" x14ac:dyDescent="0.3">
      <c r="S3701" s="19"/>
    </row>
    <row r="3702" spans="19:19" x14ac:dyDescent="0.3">
      <c r="S3702" s="18"/>
    </row>
    <row r="3703" spans="19:19" x14ac:dyDescent="0.3">
      <c r="S3703" s="19"/>
    </row>
    <row r="3704" spans="19:19" x14ac:dyDescent="0.3">
      <c r="S3704" s="18"/>
    </row>
    <row r="3705" spans="19:19" x14ac:dyDescent="0.3">
      <c r="S3705" s="19"/>
    </row>
    <row r="3706" spans="19:19" x14ac:dyDescent="0.3">
      <c r="S3706" s="18"/>
    </row>
    <row r="3707" spans="19:19" x14ac:dyDescent="0.3">
      <c r="S3707" s="19"/>
    </row>
    <row r="3708" spans="19:19" x14ac:dyDescent="0.3">
      <c r="S3708" s="18"/>
    </row>
    <row r="3709" spans="19:19" x14ac:dyDescent="0.3">
      <c r="S3709" s="19"/>
    </row>
    <row r="3710" spans="19:19" x14ac:dyDescent="0.3">
      <c r="S3710" s="18"/>
    </row>
    <row r="3711" spans="19:19" x14ac:dyDescent="0.3">
      <c r="S3711" s="19"/>
    </row>
    <row r="3712" spans="19:19" x14ac:dyDescent="0.3">
      <c r="S3712" s="18"/>
    </row>
    <row r="3713" spans="19:19" x14ac:dyDescent="0.3">
      <c r="S3713" s="19"/>
    </row>
    <row r="3714" spans="19:19" x14ac:dyDescent="0.3">
      <c r="S3714" s="18"/>
    </row>
    <row r="3715" spans="19:19" x14ac:dyDescent="0.3">
      <c r="S3715" s="19"/>
    </row>
    <row r="3716" spans="19:19" x14ac:dyDescent="0.3">
      <c r="S3716" s="18"/>
    </row>
    <row r="3717" spans="19:19" x14ac:dyDescent="0.3">
      <c r="S3717" s="19"/>
    </row>
    <row r="3718" spans="19:19" x14ac:dyDescent="0.3">
      <c r="S3718" s="18"/>
    </row>
    <row r="3719" spans="19:19" x14ac:dyDescent="0.3">
      <c r="S3719" s="19"/>
    </row>
    <row r="3720" spans="19:19" x14ac:dyDescent="0.3">
      <c r="S3720" s="18"/>
    </row>
    <row r="3721" spans="19:19" x14ac:dyDescent="0.3">
      <c r="S3721" s="19"/>
    </row>
    <row r="3722" spans="19:19" x14ac:dyDescent="0.3">
      <c r="S3722" s="18"/>
    </row>
    <row r="3723" spans="19:19" x14ac:dyDescent="0.3">
      <c r="S3723" s="19"/>
    </row>
    <row r="3724" spans="19:19" x14ac:dyDescent="0.3">
      <c r="S3724" s="18"/>
    </row>
    <row r="3725" spans="19:19" x14ac:dyDescent="0.3">
      <c r="S3725" s="19"/>
    </row>
    <row r="3726" spans="19:19" x14ac:dyDescent="0.3">
      <c r="S3726" s="18"/>
    </row>
    <row r="3727" spans="19:19" x14ac:dyDescent="0.3">
      <c r="S3727" s="19"/>
    </row>
    <row r="3728" spans="19:19" x14ac:dyDescent="0.3">
      <c r="S3728" s="18"/>
    </row>
    <row r="3729" spans="19:19" x14ac:dyDescent="0.3">
      <c r="S3729" s="19"/>
    </row>
    <row r="3730" spans="19:19" x14ac:dyDescent="0.3">
      <c r="S3730" s="18"/>
    </row>
    <row r="3731" spans="19:19" x14ac:dyDescent="0.3">
      <c r="S3731" s="19"/>
    </row>
    <row r="3732" spans="19:19" x14ac:dyDescent="0.3">
      <c r="S3732" s="18"/>
    </row>
    <row r="3733" spans="19:19" x14ac:dyDescent="0.3">
      <c r="S3733" s="19"/>
    </row>
    <row r="3734" spans="19:19" x14ac:dyDescent="0.3">
      <c r="S3734" s="18"/>
    </row>
    <row r="3735" spans="19:19" x14ac:dyDescent="0.3">
      <c r="S3735" s="19"/>
    </row>
    <row r="3736" spans="19:19" x14ac:dyDescent="0.3">
      <c r="S3736" s="18"/>
    </row>
    <row r="3737" spans="19:19" x14ac:dyDescent="0.3">
      <c r="S3737" s="19"/>
    </row>
    <row r="3738" spans="19:19" x14ac:dyDescent="0.3">
      <c r="S3738" s="18"/>
    </row>
    <row r="3739" spans="19:19" x14ac:dyDescent="0.3">
      <c r="S3739" s="19"/>
    </row>
    <row r="3740" spans="19:19" x14ac:dyDescent="0.3">
      <c r="S3740" s="18"/>
    </row>
    <row r="3741" spans="19:19" x14ac:dyDescent="0.3">
      <c r="S3741" s="19"/>
    </row>
    <row r="3742" spans="19:19" x14ac:dyDescent="0.3">
      <c r="S3742" s="18"/>
    </row>
    <row r="3743" spans="19:19" x14ac:dyDescent="0.3">
      <c r="S3743" s="19"/>
    </row>
    <row r="3744" spans="19:19" x14ac:dyDescent="0.3">
      <c r="S3744" s="18"/>
    </row>
    <row r="3745" spans="19:19" x14ac:dyDescent="0.3">
      <c r="S3745" s="19"/>
    </row>
    <row r="3746" spans="19:19" x14ac:dyDescent="0.3">
      <c r="S3746" s="18"/>
    </row>
    <row r="3747" spans="19:19" x14ac:dyDescent="0.3">
      <c r="S3747" s="19"/>
    </row>
    <row r="3748" spans="19:19" x14ac:dyDescent="0.3">
      <c r="S3748" s="18"/>
    </row>
    <row r="3749" spans="19:19" x14ac:dyDescent="0.3">
      <c r="S3749" s="19"/>
    </row>
    <row r="3750" spans="19:19" x14ac:dyDescent="0.3">
      <c r="S3750" s="18"/>
    </row>
    <row r="3751" spans="19:19" x14ac:dyDescent="0.3">
      <c r="S3751" s="19"/>
    </row>
    <row r="3752" spans="19:19" x14ac:dyDescent="0.3">
      <c r="S3752" s="18"/>
    </row>
    <row r="3753" spans="19:19" x14ac:dyDescent="0.3">
      <c r="S3753" s="19"/>
    </row>
    <row r="3754" spans="19:19" x14ac:dyDescent="0.3">
      <c r="S3754" s="18"/>
    </row>
    <row r="3755" spans="19:19" x14ac:dyDescent="0.3">
      <c r="S3755" s="19"/>
    </row>
    <row r="3756" spans="19:19" x14ac:dyDescent="0.3">
      <c r="S3756" s="18"/>
    </row>
    <row r="3757" spans="19:19" x14ac:dyDescent="0.3">
      <c r="S3757" s="19"/>
    </row>
    <row r="3758" spans="19:19" x14ac:dyDescent="0.3">
      <c r="S3758" s="18"/>
    </row>
    <row r="3759" spans="19:19" x14ac:dyDescent="0.3">
      <c r="S3759" s="19"/>
    </row>
    <row r="3760" spans="19:19" x14ac:dyDescent="0.3">
      <c r="S3760" s="18"/>
    </row>
    <row r="3761" spans="19:19" x14ac:dyDescent="0.3">
      <c r="S3761" s="19"/>
    </row>
    <row r="3762" spans="19:19" x14ac:dyDescent="0.3">
      <c r="S3762" s="18"/>
    </row>
    <row r="3763" spans="19:19" x14ac:dyDescent="0.3">
      <c r="S3763" s="19"/>
    </row>
    <row r="3764" spans="19:19" x14ac:dyDescent="0.3">
      <c r="S3764" s="18"/>
    </row>
    <row r="3765" spans="19:19" x14ac:dyDescent="0.3">
      <c r="S3765" s="19"/>
    </row>
    <row r="3766" spans="19:19" x14ac:dyDescent="0.3">
      <c r="S3766" s="18"/>
    </row>
    <row r="3767" spans="19:19" x14ac:dyDescent="0.3">
      <c r="S3767" s="19"/>
    </row>
    <row r="3768" spans="19:19" x14ac:dyDescent="0.3">
      <c r="S3768" s="18"/>
    </row>
    <row r="3769" spans="19:19" x14ac:dyDescent="0.3">
      <c r="S3769" s="19"/>
    </row>
    <row r="3770" spans="19:19" x14ac:dyDescent="0.3">
      <c r="S3770" s="18"/>
    </row>
    <row r="3771" spans="19:19" x14ac:dyDescent="0.3">
      <c r="S3771" s="19"/>
    </row>
    <row r="3772" spans="19:19" x14ac:dyDescent="0.3">
      <c r="S3772" s="18"/>
    </row>
    <row r="3773" spans="19:19" x14ac:dyDescent="0.3">
      <c r="S3773" s="19"/>
    </row>
    <row r="3774" spans="19:19" x14ac:dyDescent="0.3">
      <c r="S3774" s="18"/>
    </row>
    <row r="3775" spans="19:19" x14ac:dyDescent="0.3">
      <c r="S3775" s="19"/>
    </row>
    <row r="3776" spans="19:19" x14ac:dyDescent="0.3">
      <c r="S3776" s="18"/>
    </row>
    <row r="3777" spans="19:19" x14ac:dyDescent="0.3">
      <c r="S3777" s="19"/>
    </row>
    <row r="3778" spans="19:19" x14ac:dyDescent="0.3">
      <c r="S3778" s="18"/>
    </row>
    <row r="3779" spans="19:19" x14ac:dyDescent="0.3">
      <c r="S3779" s="19"/>
    </row>
    <row r="3780" spans="19:19" x14ac:dyDescent="0.3">
      <c r="S3780" s="18"/>
    </row>
    <row r="3781" spans="19:19" x14ac:dyDescent="0.3">
      <c r="S3781" s="19"/>
    </row>
    <row r="3782" spans="19:19" x14ac:dyDescent="0.3">
      <c r="S3782" s="18"/>
    </row>
    <row r="3783" spans="19:19" x14ac:dyDescent="0.3">
      <c r="S3783" s="19"/>
    </row>
    <row r="3784" spans="19:19" x14ac:dyDescent="0.3">
      <c r="S3784" s="18"/>
    </row>
    <row r="3785" spans="19:19" x14ac:dyDescent="0.3">
      <c r="S3785" s="19"/>
    </row>
    <row r="3786" spans="19:19" x14ac:dyDescent="0.3">
      <c r="S3786" s="18"/>
    </row>
    <row r="3787" spans="19:19" x14ac:dyDescent="0.3">
      <c r="S3787" s="19"/>
    </row>
    <row r="3788" spans="19:19" x14ac:dyDescent="0.3">
      <c r="S3788" s="18"/>
    </row>
    <row r="3789" spans="19:19" x14ac:dyDescent="0.3">
      <c r="S3789" s="19"/>
    </row>
    <row r="3790" spans="19:19" x14ac:dyDescent="0.3">
      <c r="S3790" s="18"/>
    </row>
    <row r="3791" spans="19:19" x14ac:dyDescent="0.3">
      <c r="S3791" s="19"/>
    </row>
    <row r="3792" spans="19:19" x14ac:dyDescent="0.3">
      <c r="S3792" s="18"/>
    </row>
    <row r="3793" spans="19:19" x14ac:dyDescent="0.3">
      <c r="S3793" s="19"/>
    </row>
    <row r="3794" spans="19:19" x14ac:dyDescent="0.3">
      <c r="S3794" s="18"/>
    </row>
    <row r="3795" spans="19:19" x14ac:dyDescent="0.3">
      <c r="S3795" s="19"/>
    </row>
    <row r="3796" spans="19:19" x14ac:dyDescent="0.3">
      <c r="S3796" s="18"/>
    </row>
    <row r="3797" spans="19:19" x14ac:dyDescent="0.3">
      <c r="S3797" s="19"/>
    </row>
    <row r="3798" spans="19:19" x14ac:dyDescent="0.3">
      <c r="S3798" s="18"/>
    </row>
    <row r="3799" spans="19:19" x14ac:dyDescent="0.3">
      <c r="S3799" s="19"/>
    </row>
    <row r="3800" spans="19:19" x14ac:dyDescent="0.3">
      <c r="S3800" s="18"/>
    </row>
    <row r="3801" spans="19:19" x14ac:dyDescent="0.3">
      <c r="S3801" s="19"/>
    </row>
    <row r="3802" spans="19:19" x14ac:dyDescent="0.3">
      <c r="S3802" s="18"/>
    </row>
    <row r="3803" spans="19:19" x14ac:dyDescent="0.3">
      <c r="S3803" s="19"/>
    </row>
    <row r="3804" spans="19:19" x14ac:dyDescent="0.3">
      <c r="S3804" s="18"/>
    </row>
    <row r="3805" spans="19:19" x14ac:dyDescent="0.3">
      <c r="S3805" s="19"/>
    </row>
    <row r="3806" spans="19:19" x14ac:dyDescent="0.3">
      <c r="S3806" s="18"/>
    </row>
    <row r="3807" spans="19:19" x14ac:dyDescent="0.3">
      <c r="S3807" s="19"/>
    </row>
    <row r="3808" spans="19:19" x14ac:dyDescent="0.3">
      <c r="S3808" s="18"/>
    </row>
    <row r="3809" spans="19:19" x14ac:dyDescent="0.3">
      <c r="S3809" s="19"/>
    </row>
    <row r="3810" spans="19:19" x14ac:dyDescent="0.3">
      <c r="S3810" s="18"/>
    </row>
    <row r="3811" spans="19:19" x14ac:dyDescent="0.3">
      <c r="S3811" s="19"/>
    </row>
    <row r="3812" spans="19:19" x14ac:dyDescent="0.3">
      <c r="S3812" s="18"/>
    </row>
    <row r="3813" spans="19:19" x14ac:dyDescent="0.3">
      <c r="S3813" s="19"/>
    </row>
    <row r="3814" spans="19:19" x14ac:dyDescent="0.3">
      <c r="S3814" s="18"/>
    </row>
    <row r="3815" spans="19:19" x14ac:dyDescent="0.3">
      <c r="S3815" s="19"/>
    </row>
    <row r="3816" spans="19:19" x14ac:dyDescent="0.3">
      <c r="S3816" s="18"/>
    </row>
    <row r="3817" spans="19:19" x14ac:dyDescent="0.3">
      <c r="S3817" s="19"/>
    </row>
    <row r="3818" spans="19:19" x14ac:dyDescent="0.3">
      <c r="S3818" s="18"/>
    </row>
    <row r="3819" spans="19:19" x14ac:dyDescent="0.3">
      <c r="S3819" s="19"/>
    </row>
    <row r="3820" spans="19:19" x14ac:dyDescent="0.3">
      <c r="S3820" s="18"/>
    </row>
    <row r="3821" spans="19:19" x14ac:dyDescent="0.3">
      <c r="S3821" s="19"/>
    </row>
    <row r="3822" spans="19:19" x14ac:dyDescent="0.3">
      <c r="S3822" s="18"/>
    </row>
    <row r="3823" spans="19:19" x14ac:dyDescent="0.3">
      <c r="S3823" s="19"/>
    </row>
    <row r="3824" spans="19:19" x14ac:dyDescent="0.3">
      <c r="S3824" s="18"/>
    </row>
    <row r="3825" spans="19:19" x14ac:dyDescent="0.3">
      <c r="S3825" s="19"/>
    </row>
    <row r="3826" spans="19:19" x14ac:dyDescent="0.3">
      <c r="S3826" s="18"/>
    </row>
    <row r="3827" spans="19:19" x14ac:dyDescent="0.3">
      <c r="S3827" s="19"/>
    </row>
    <row r="3828" spans="19:19" x14ac:dyDescent="0.3">
      <c r="S3828" s="18"/>
    </row>
    <row r="3829" spans="19:19" x14ac:dyDescent="0.3">
      <c r="S3829" s="19"/>
    </row>
    <row r="3830" spans="19:19" x14ac:dyDescent="0.3">
      <c r="S3830" s="18"/>
    </row>
    <row r="3831" spans="19:19" x14ac:dyDescent="0.3">
      <c r="S3831" s="19"/>
    </row>
    <row r="3832" spans="19:19" x14ac:dyDescent="0.3">
      <c r="S3832" s="18"/>
    </row>
    <row r="3833" spans="19:19" x14ac:dyDescent="0.3">
      <c r="S3833" s="19"/>
    </row>
    <row r="3834" spans="19:19" x14ac:dyDescent="0.3">
      <c r="S3834" s="18"/>
    </row>
    <row r="3835" spans="19:19" x14ac:dyDescent="0.3">
      <c r="S3835" s="19"/>
    </row>
    <row r="3836" spans="19:19" x14ac:dyDescent="0.3">
      <c r="S3836" s="18"/>
    </row>
    <row r="3837" spans="19:19" x14ac:dyDescent="0.3">
      <c r="S3837" s="19"/>
    </row>
    <row r="3838" spans="19:19" x14ac:dyDescent="0.3">
      <c r="S3838" s="18"/>
    </row>
    <row r="3839" spans="19:19" x14ac:dyDescent="0.3">
      <c r="S3839" s="19"/>
    </row>
    <row r="3840" spans="19:19" x14ac:dyDescent="0.3">
      <c r="S3840" s="18"/>
    </row>
    <row r="3841" spans="19:19" x14ac:dyDescent="0.3">
      <c r="S3841" s="19"/>
    </row>
    <row r="3842" spans="19:19" x14ac:dyDescent="0.3">
      <c r="S3842" s="18"/>
    </row>
    <row r="3843" spans="19:19" x14ac:dyDescent="0.3">
      <c r="S3843" s="19"/>
    </row>
    <row r="3844" spans="19:19" x14ac:dyDescent="0.3">
      <c r="S3844" s="18"/>
    </row>
    <row r="3845" spans="19:19" x14ac:dyDescent="0.3">
      <c r="S3845" s="19"/>
    </row>
    <row r="3846" spans="19:19" x14ac:dyDescent="0.3">
      <c r="S3846" s="18"/>
    </row>
    <row r="3847" spans="19:19" x14ac:dyDescent="0.3">
      <c r="S3847" s="19"/>
    </row>
    <row r="3848" spans="19:19" x14ac:dyDescent="0.3">
      <c r="S3848" s="18"/>
    </row>
    <row r="3849" spans="19:19" x14ac:dyDescent="0.3">
      <c r="S3849" s="19"/>
    </row>
    <row r="3850" spans="19:19" x14ac:dyDescent="0.3">
      <c r="S3850" s="18"/>
    </row>
    <row r="3851" spans="19:19" x14ac:dyDescent="0.3">
      <c r="S3851" s="19"/>
    </row>
    <row r="3852" spans="19:19" x14ac:dyDescent="0.3">
      <c r="S3852" s="18"/>
    </row>
    <row r="3853" spans="19:19" x14ac:dyDescent="0.3">
      <c r="S3853" s="19"/>
    </row>
    <row r="3854" spans="19:19" x14ac:dyDescent="0.3">
      <c r="S3854" s="18"/>
    </row>
    <row r="3855" spans="19:19" x14ac:dyDescent="0.3">
      <c r="S3855" s="19"/>
    </row>
    <row r="3856" spans="19:19" x14ac:dyDescent="0.3">
      <c r="S3856" s="18"/>
    </row>
    <row r="3857" spans="19:19" x14ac:dyDescent="0.3">
      <c r="S3857" s="19"/>
    </row>
    <row r="3858" spans="19:19" x14ac:dyDescent="0.3">
      <c r="S3858" s="18"/>
    </row>
    <row r="3859" spans="19:19" x14ac:dyDescent="0.3">
      <c r="S3859" s="19"/>
    </row>
    <row r="3860" spans="19:19" x14ac:dyDescent="0.3">
      <c r="S3860" s="18"/>
    </row>
    <row r="3861" spans="19:19" x14ac:dyDescent="0.3">
      <c r="S3861" s="19"/>
    </row>
    <row r="3862" spans="19:19" x14ac:dyDescent="0.3">
      <c r="S3862" s="18"/>
    </row>
    <row r="3863" spans="19:19" x14ac:dyDescent="0.3">
      <c r="S3863" s="19"/>
    </row>
    <row r="3864" spans="19:19" x14ac:dyDescent="0.3">
      <c r="S3864" s="18"/>
    </row>
    <row r="3865" spans="19:19" x14ac:dyDescent="0.3">
      <c r="S3865" s="19"/>
    </row>
    <row r="3866" spans="19:19" x14ac:dyDescent="0.3">
      <c r="S3866" s="18"/>
    </row>
    <row r="3867" spans="19:19" x14ac:dyDescent="0.3">
      <c r="S3867" s="19"/>
    </row>
    <row r="3868" spans="19:19" x14ac:dyDescent="0.3">
      <c r="S3868" s="18"/>
    </row>
    <row r="3869" spans="19:19" x14ac:dyDescent="0.3">
      <c r="S3869" s="19"/>
    </row>
    <row r="3870" spans="19:19" x14ac:dyDescent="0.3">
      <c r="S3870" s="18"/>
    </row>
    <row r="3871" spans="19:19" x14ac:dyDescent="0.3">
      <c r="S3871" s="19"/>
    </row>
    <row r="3872" spans="19:19" x14ac:dyDescent="0.3">
      <c r="S3872" s="18"/>
    </row>
    <row r="3873" spans="19:19" x14ac:dyDescent="0.3">
      <c r="S3873" s="19"/>
    </row>
    <row r="3874" spans="19:19" x14ac:dyDescent="0.3">
      <c r="S3874" s="18"/>
    </row>
    <row r="3875" spans="19:19" x14ac:dyDescent="0.3">
      <c r="S3875" s="19"/>
    </row>
    <row r="3876" spans="19:19" x14ac:dyDescent="0.3">
      <c r="S3876" s="18"/>
    </row>
    <row r="3877" spans="19:19" x14ac:dyDescent="0.3">
      <c r="S3877" s="19"/>
    </row>
    <row r="3878" spans="19:19" x14ac:dyDescent="0.3">
      <c r="S3878" s="18"/>
    </row>
    <row r="3879" spans="19:19" x14ac:dyDescent="0.3">
      <c r="S3879" s="19"/>
    </row>
    <row r="3880" spans="19:19" x14ac:dyDescent="0.3">
      <c r="S3880" s="18"/>
    </row>
    <row r="3881" spans="19:19" x14ac:dyDescent="0.3">
      <c r="S3881" s="19"/>
    </row>
    <row r="3882" spans="19:19" x14ac:dyDescent="0.3">
      <c r="S3882" s="18"/>
    </row>
    <row r="3883" spans="19:19" x14ac:dyDescent="0.3">
      <c r="S3883" s="19"/>
    </row>
    <row r="3884" spans="19:19" x14ac:dyDescent="0.3">
      <c r="S3884" s="18"/>
    </row>
    <row r="3885" spans="19:19" x14ac:dyDescent="0.3">
      <c r="S3885" s="19"/>
    </row>
    <row r="3886" spans="19:19" x14ac:dyDescent="0.3">
      <c r="S3886" s="18"/>
    </row>
    <row r="3887" spans="19:19" x14ac:dyDescent="0.3">
      <c r="S3887" s="19"/>
    </row>
    <row r="3888" spans="19:19" x14ac:dyDescent="0.3">
      <c r="S3888" s="18"/>
    </row>
    <row r="3889" spans="19:19" x14ac:dyDescent="0.3">
      <c r="S3889" s="19"/>
    </row>
    <row r="3890" spans="19:19" x14ac:dyDescent="0.3">
      <c r="S3890" s="18"/>
    </row>
    <row r="3891" spans="19:19" x14ac:dyDescent="0.3">
      <c r="S3891" s="19"/>
    </row>
    <row r="3892" spans="19:19" x14ac:dyDescent="0.3">
      <c r="S3892" s="18"/>
    </row>
    <row r="3893" spans="19:19" x14ac:dyDescent="0.3">
      <c r="S3893" s="19"/>
    </row>
    <row r="3894" spans="19:19" x14ac:dyDescent="0.3">
      <c r="S3894" s="18"/>
    </row>
    <row r="3895" spans="19:19" x14ac:dyDescent="0.3">
      <c r="S3895" s="19"/>
    </row>
    <row r="3896" spans="19:19" x14ac:dyDescent="0.3">
      <c r="S3896" s="18"/>
    </row>
    <row r="3897" spans="19:19" x14ac:dyDescent="0.3">
      <c r="S3897" s="19"/>
    </row>
    <row r="3898" spans="19:19" x14ac:dyDescent="0.3">
      <c r="S3898" s="18"/>
    </row>
    <row r="3899" spans="19:19" x14ac:dyDescent="0.3">
      <c r="S3899" s="19"/>
    </row>
    <row r="3900" spans="19:19" x14ac:dyDescent="0.3">
      <c r="S3900" s="18"/>
    </row>
    <row r="3901" spans="19:19" x14ac:dyDescent="0.3">
      <c r="S3901" s="19"/>
    </row>
    <row r="3902" spans="19:19" x14ac:dyDescent="0.3">
      <c r="S3902" s="18"/>
    </row>
    <row r="3903" spans="19:19" x14ac:dyDescent="0.3">
      <c r="S3903" s="19"/>
    </row>
    <row r="3904" spans="19:19" x14ac:dyDescent="0.3">
      <c r="S3904" s="18"/>
    </row>
    <row r="3905" spans="19:19" x14ac:dyDescent="0.3">
      <c r="S3905" s="19"/>
    </row>
    <row r="3906" spans="19:19" x14ac:dyDescent="0.3">
      <c r="S3906" s="18"/>
    </row>
    <row r="3907" spans="19:19" x14ac:dyDescent="0.3">
      <c r="S3907" s="19"/>
    </row>
    <row r="3908" spans="19:19" x14ac:dyDescent="0.3">
      <c r="S3908" s="18"/>
    </row>
    <row r="3909" spans="19:19" x14ac:dyDescent="0.3">
      <c r="S3909" s="19"/>
    </row>
    <row r="3910" spans="19:19" x14ac:dyDescent="0.3">
      <c r="S3910" s="18"/>
    </row>
    <row r="3911" spans="19:19" x14ac:dyDescent="0.3">
      <c r="S3911" s="19"/>
    </row>
    <row r="3912" spans="19:19" x14ac:dyDescent="0.3">
      <c r="S3912" s="18"/>
    </row>
    <row r="3913" spans="19:19" x14ac:dyDescent="0.3">
      <c r="S3913" s="19"/>
    </row>
    <row r="3914" spans="19:19" x14ac:dyDescent="0.3">
      <c r="S3914" s="18"/>
    </row>
    <row r="3915" spans="19:19" x14ac:dyDescent="0.3">
      <c r="S3915" s="19"/>
    </row>
    <row r="3916" spans="19:19" x14ac:dyDescent="0.3">
      <c r="S3916" s="18"/>
    </row>
    <row r="3917" spans="19:19" x14ac:dyDescent="0.3">
      <c r="S3917" s="19"/>
    </row>
    <row r="3918" spans="19:19" x14ac:dyDescent="0.3">
      <c r="S3918" s="18"/>
    </row>
    <row r="3919" spans="19:19" x14ac:dyDescent="0.3">
      <c r="S3919" s="19"/>
    </row>
    <row r="3920" spans="19:19" x14ac:dyDescent="0.3">
      <c r="S3920" s="18"/>
    </row>
    <row r="3921" spans="19:19" x14ac:dyDescent="0.3">
      <c r="S3921" s="19"/>
    </row>
    <row r="3922" spans="19:19" x14ac:dyDescent="0.3">
      <c r="S3922" s="18"/>
    </row>
    <row r="3923" spans="19:19" x14ac:dyDescent="0.3">
      <c r="S3923" s="19"/>
    </row>
    <row r="3924" spans="19:19" x14ac:dyDescent="0.3">
      <c r="S3924" s="18"/>
    </row>
    <row r="3925" spans="19:19" x14ac:dyDescent="0.3">
      <c r="S3925" s="19"/>
    </row>
    <row r="3926" spans="19:19" x14ac:dyDescent="0.3">
      <c r="S3926" s="18"/>
    </row>
    <row r="3927" spans="19:19" x14ac:dyDescent="0.3">
      <c r="S3927" s="19"/>
    </row>
    <row r="3928" spans="19:19" x14ac:dyDescent="0.3">
      <c r="S3928" s="18"/>
    </row>
    <row r="3929" spans="19:19" x14ac:dyDescent="0.3">
      <c r="S3929" s="19"/>
    </row>
    <row r="3930" spans="19:19" x14ac:dyDescent="0.3">
      <c r="S3930" s="18"/>
    </row>
    <row r="3931" spans="19:19" x14ac:dyDescent="0.3">
      <c r="S3931" s="19"/>
    </row>
    <row r="3932" spans="19:19" x14ac:dyDescent="0.3">
      <c r="S3932" s="18"/>
    </row>
    <row r="3933" spans="19:19" x14ac:dyDescent="0.3">
      <c r="S3933" s="19"/>
    </row>
    <row r="3934" spans="19:19" x14ac:dyDescent="0.3">
      <c r="S3934" s="18"/>
    </row>
    <row r="3935" spans="19:19" x14ac:dyDescent="0.3">
      <c r="S3935" s="19"/>
    </row>
    <row r="3936" spans="19:19" x14ac:dyDescent="0.3">
      <c r="S3936" s="18"/>
    </row>
    <row r="3937" spans="19:19" x14ac:dyDescent="0.3">
      <c r="S3937" s="19"/>
    </row>
    <row r="3938" spans="19:19" x14ac:dyDescent="0.3">
      <c r="S3938" s="18"/>
    </row>
    <row r="3939" spans="19:19" x14ac:dyDescent="0.3">
      <c r="S3939" s="19"/>
    </row>
    <row r="3940" spans="19:19" x14ac:dyDescent="0.3">
      <c r="S3940" s="18"/>
    </row>
    <row r="3941" spans="19:19" x14ac:dyDescent="0.3">
      <c r="S3941" s="19"/>
    </row>
    <row r="3942" spans="19:19" x14ac:dyDescent="0.3">
      <c r="S3942" s="18"/>
    </row>
    <row r="3943" spans="19:19" x14ac:dyDescent="0.3">
      <c r="S3943" s="19"/>
    </row>
    <row r="3944" spans="19:19" x14ac:dyDescent="0.3">
      <c r="S3944" s="18"/>
    </row>
    <row r="3945" spans="19:19" x14ac:dyDescent="0.3">
      <c r="S3945" s="19"/>
    </row>
    <row r="3946" spans="19:19" x14ac:dyDescent="0.3">
      <c r="S3946" s="18"/>
    </row>
    <row r="3947" spans="19:19" x14ac:dyDescent="0.3">
      <c r="S3947" s="19"/>
    </row>
    <row r="3948" spans="19:19" x14ac:dyDescent="0.3">
      <c r="S3948" s="18"/>
    </row>
    <row r="3949" spans="19:19" x14ac:dyDescent="0.3">
      <c r="S3949" s="19"/>
    </row>
    <row r="3950" spans="19:19" x14ac:dyDescent="0.3">
      <c r="S3950" s="18"/>
    </row>
    <row r="3951" spans="19:19" x14ac:dyDescent="0.3">
      <c r="S3951" s="19"/>
    </row>
    <row r="3952" spans="19:19" x14ac:dyDescent="0.3">
      <c r="S3952" s="18"/>
    </row>
    <row r="3953" spans="19:19" x14ac:dyDescent="0.3">
      <c r="S3953" s="19"/>
    </row>
    <row r="3954" spans="19:19" x14ac:dyDescent="0.3">
      <c r="S3954" s="18"/>
    </row>
    <row r="3955" spans="19:19" x14ac:dyDescent="0.3">
      <c r="S3955" s="19"/>
    </row>
    <row r="3956" spans="19:19" x14ac:dyDescent="0.3">
      <c r="S3956" s="18"/>
    </row>
    <row r="3957" spans="19:19" x14ac:dyDescent="0.3">
      <c r="S3957" s="19"/>
    </row>
    <row r="3958" spans="19:19" x14ac:dyDescent="0.3">
      <c r="S3958" s="18"/>
    </row>
    <row r="3959" spans="19:19" x14ac:dyDescent="0.3">
      <c r="S3959" s="19"/>
    </row>
    <row r="3960" spans="19:19" x14ac:dyDescent="0.3">
      <c r="S3960" s="18"/>
    </row>
    <row r="3961" spans="19:19" x14ac:dyDescent="0.3">
      <c r="S3961" s="19"/>
    </row>
    <row r="3962" spans="19:19" x14ac:dyDescent="0.3">
      <c r="S3962" s="18"/>
    </row>
    <row r="3963" spans="19:19" x14ac:dyDescent="0.3">
      <c r="S3963" s="19"/>
    </row>
    <row r="3964" spans="19:19" x14ac:dyDescent="0.3">
      <c r="S3964" s="18"/>
    </row>
    <row r="3965" spans="19:19" x14ac:dyDescent="0.3">
      <c r="S3965" s="19"/>
    </row>
    <row r="3966" spans="19:19" x14ac:dyDescent="0.3">
      <c r="S3966" s="18"/>
    </row>
    <row r="3967" spans="19:19" x14ac:dyDescent="0.3">
      <c r="S3967" s="19"/>
    </row>
    <row r="3968" spans="19:19" x14ac:dyDescent="0.3">
      <c r="S3968" s="18"/>
    </row>
    <row r="3969" spans="19:19" x14ac:dyDescent="0.3">
      <c r="S3969" s="19"/>
    </row>
    <row r="3970" spans="19:19" x14ac:dyDescent="0.3">
      <c r="S3970" s="18"/>
    </row>
    <row r="3971" spans="19:19" x14ac:dyDescent="0.3">
      <c r="S3971" s="19"/>
    </row>
    <row r="3972" spans="19:19" x14ac:dyDescent="0.3">
      <c r="S3972" s="18"/>
    </row>
    <row r="3973" spans="19:19" x14ac:dyDescent="0.3">
      <c r="S3973" s="19"/>
    </row>
    <row r="3974" spans="19:19" x14ac:dyDescent="0.3">
      <c r="S3974" s="18"/>
    </row>
    <row r="3975" spans="19:19" x14ac:dyDescent="0.3">
      <c r="S3975" s="19"/>
    </row>
    <row r="3976" spans="19:19" x14ac:dyDescent="0.3">
      <c r="S3976" s="18"/>
    </row>
    <row r="3977" spans="19:19" x14ac:dyDescent="0.3">
      <c r="S3977" s="19"/>
    </row>
    <row r="3978" spans="19:19" x14ac:dyDescent="0.3">
      <c r="S3978" s="18"/>
    </row>
    <row r="3979" spans="19:19" x14ac:dyDescent="0.3">
      <c r="S3979" s="19"/>
    </row>
    <row r="3980" spans="19:19" x14ac:dyDescent="0.3">
      <c r="S3980" s="18"/>
    </row>
    <row r="3981" spans="19:19" x14ac:dyDescent="0.3">
      <c r="S3981" s="19"/>
    </row>
    <row r="3982" spans="19:19" x14ac:dyDescent="0.3">
      <c r="S3982" s="18"/>
    </row>
    <row r="3983" spans="19:19" x14ac:dyDescent="0.3">
      <c r="S3983" s="19"/>
    </row>
    <row r="3984" spans="19:19" x14ac:dyDescent="0.3">
      <c r="S3984" s="18"/>
    </row>
    <row r="3985" spans="19:19" x14ac:dyDescent="0.3">
      <c r="S3985" s="19"/>
    </row>
    <row r="3986" spans="19:19" x14ac:dyDescent="0.3">
      <c r="S3986" s="18"/>
    </row>
    <row r="3987" spans="19:19" x14ac:dyDescent="0.3">
      <c r="S3987" s="19"/>
    </row>
    <row r="3988" spans="19:19" x14ac:dyDescent="0.3">
      <c r="S3988" s="18"/>
    </row>
    <row r="3989" spans="19:19" x14ac:dyDescent="0.3">
      <c r="S3989" s="19"/>
    </row>
    <row r="3990" spans="19:19" x14ac:dyDescent="0.3">
      <c r="S3990" s="18"/>
    </row>
    <row r="3991" spans="19:19" x14ac:dyDescent="0.3">
      <c r="S3991" s="19"/>
    </row>
    <row r="3992" spans="19:19" x14ac:dyDescent="0.3">
      <c r="S3992" s="18"/>
    </row>
    <row r="3993" spans="19:19" x14ac:dyDescent="0.3">
      <c r="S3993" s="19"/>
    </row>
    <row r="3994" spans="19:19" x14ac:dyDescent="0.3">
      <c r="S3994" s="18"/>
    </row>
    <row r="3995" spans="19:19" x14ac:dyDescent="0.3">
      <c r="S3995" s="19"/>
    </row>
    <row r="3996" spans="19:19" x14ac:dyDescent="0.3">
      <c r="S3996" s="18"/>
    </row>
    <row r="3997" spans="19:19" x14ac:dyDescent="0.3">
      <c r="S3997" s="19"/>
    </row>
    <row r="3998" spans="19:19" x14ac:dyDescent="0.3">
      <c r="S3998" s="18"/>
    </row>
    <row r="3999" spans="19:19" x14ac:dyDescent="0.3">
      <c r="S3999" s="19"/>
    </row>
    <row r="4000" spans="19:19" x14ac:dyDescent="0.3">
      <c r="S4000" s="18"/>
    </row>
    <row r="4001" spans="19:19" x14ac:dyDescent="0.3">
      <c r="S4001" s="19"/>
    </row>
    <row r="4002" spans="19:19" x14ac:dyDescent="0.3">
      <c r="S4002" s="18"/>
    </row>
    <row r="4003" spans="19:19" x14ac:dyDescent="0.3">
      <c r="S4003" s="19"/>
    </row>
    <row r="4004" spans="19:19" x14ac:dyDescent="0.3">
      <c r="S4004" s="18"/>
    </row>
    <row r="4005" spans="19:19" x14ac:dyDescent="0.3">
      <c r="S4005" s="19"/>
    </row>
    <row r="4006" spans="19:19" x14ac:dyDescent="0.3">
      <c r="S4006" s="18"/>
    </row>
    <row r="4007" spans="19:19" x14ac:dyDescent="0.3">
      <c r="S4007" s="19"/>
    </row>
    <row r="4008" spans="19:19" x14ac:dyDescent="0.3">
      <c r="S4008" s="18"/>
    </row>
    <row r="4009" spans="19:19" x14ac:dyDescent="0.3">
      <c r="S4009" s="19"/>
    </row>
    <row r="4010" spans="19:19" x14ac:dyDescent="0.3">
      <c r="S4010" s="18"/>
    </row>
    <row r="4011" spans="19:19" x14ac:dyDescent="0.3">
      <c r="S4011" s="19"/>
    </row>
    <row r="4012" spans="19:19" x14ac:dyDescent="0.3">
      <c r="S4012" s="18"/>
    </row>
    <row r="4013" spans="19:19" x14ac:dyDescent="0.3">
      <c r="S4013" s="19"/>
    </row>
    <row r="4014" spans="19:19" x14ac:dyDescent="0.3">
      <c r="S4014" s="18"/>
    </row>
    <row r="4015" spans="19:19" x14ac:dyDescent="0.3">
      <c r="S4015" s="19"/>
    </row>
    <row r="4016" spans="19:19" x14ac:dyDescent="0.3">
      <c r="S4016" s="18"/>
    </row>
    <row r="4017" spans="19:19" x14ac:dyDescent="0.3">
      <c r="S4017" s="19"/>
    </row>
    <row r="4018" spans="19:19" x14ac:dyDescent="0.3">
      <c r="S4018" s="18"/>
    </row>
    <row r="4019" spans="19:19" x14ac:dyDescent="0.3">
      <c r="S4019" s="19"/>
    </row>
    <row r="4020" spans="19:19" x14ac:dyDescent="0.3">
      <c r="S4020" s="18"/>
    </row>
    <row r="4021" spans="19:19" x14ac:dyDescent="0.3">
      <c r="S4021" s="19"/>
    </row>
    <row r="4022" spans="19:19" x14ac:dyDescent="0.3">
      <c r="S4022" s="18"/>
    </row>
    <row r="4023" spans="19:19" x14ac:dyDescent="0.3">
      <c r="S4023" s="19"/>
    </row>
    <row r="4024" spans="19:19" x14ac:dyDescent="0.3">
      <c r="S4024" s="18"/>
    </row>
    <row r="4025" spans="19:19" x14ac:dyDescent="0.3">
      <c r="S4025" s="19"/>
    </row>
    <row r="4026" spans="19:19" x14ac:dyDescent="0.3">
      <c r="S4026" s="18"/>
    </row>
    <row r="4027" spans="19:19" x14ac:dyDescent="0.3">
      <c r="S4027" s="19"/>
    </row>
    <row r="4028" spans="19:19" x14ac:dyDescent="0.3">
      <c r="S4028" s="18"/>
    </row>
    <row r="4029" spans="19:19" x14ac:dyDescent="0.3">
      <c r="S4029" s="19"/>
    </row>
    <row r="4030" spans="19:19" x14ac:dyDescent="0.3">
      <c r="S4030" s="18"/>
    </row>
    <row r="4031" spans="19:19" x14ac:dyDescent="0.3">
      <c r="S4031" s="19"/>
    </row>
    <row r="4032" spans="19:19" x14ac:dyDescent="0.3">
      <c r="S4032" s="18"/>
    </row>
    <row r="4033" spans="19:19" x14ac:dyDescent="0.3">
      <c r="S4033" s="19"/>
    </row>
    <row r="4034" spans="19:19" x14ac:dyDescent="0.3">
      <c r="S4034" s="18"/>
    </row>
    <row r="4035" spans="19:19" x14ac:dyDescent="0.3">
      <c r="S4035" s="19"/>
    </row>
    <row r="4036" spans="19:19" x14ac:dyDescent="0.3">
      <c r="S4036" s="18"/>
    </row>
    <row r="4037" spans="19:19" x14ac:dyDescent="0.3">
      <c r="S4037" s="19"/>
    </row>
    <row r="4038" spans="19:19" x14ac:dyDescent="0.3">
      <c r="S4038" s="18"/>
    </row>
    <row r="4039" spans="19:19" x14ac:dyDescent="0.3">
      <c r="S4039" s="19"/>
    </row>
    <row r="4040" spans="19:19" x14ac:dyDescent="0.3">
      <c r="S4040" s="18"/>
    </row>
    <row r="4041" spans="19:19" x14ac:dyDescent="0.3">
      <c r="S4041" s="19"/>
    </row>
    <row r="4042" spans="19:19" x14ac:dyDescent="0.3">
      <c r="S4042" s="18"/>
    </row>
    <row r="4043" spans="19:19" x14ac:dyDescent="0.3">
      <c r="S4043" s="19"/>
    </row>
    <row r="4044" spans="19:19" x14ac:dyDescent="0.3">
      <c r="S4044" s="18"/>
    </row>
    <row r="4045" spans="19:19" x14ac:dyDescent="0.3">
      <c r="S4045" s="19"/>
    </row>
    <row r="4046" spans="19:19" x14ac:dyDescent="0.3">
      <c r="S4046" s="18"/>
    </row>
    <row r="4047" spans="19:19" x14ac:dyDescent="0.3">
      <c r="S4047" s="19"/>
    </row>
    <row r="4048" spans="19:19" x14ac:dyDescent="0.3">
      <c r="S4048" s="18"/>
    </row>
    <row r="4049" spans="19:19" x14ac:dyDescent="0.3">
      <c r="S4049" s="19"/>
    </row>
    <row r="4050" spans="19:19" x14ac:dyDescent="0.3">
      <c r="S4050" s="18"/>
    </row>
    <row r="4051" spans="19:19" x14ac:dyDescent="0.3">
      <c r="S4051" s="19"/>
    </row>
    <row r="4052" spans="19:19" x14ac:dyDescent="0.3">
      <c r="S4052" s="18"/>
    </row>
    <row r="4053" spans="19:19" x14ac:dyDescent="0.3">
      <c r="S4053" s="19"/>
    </row>
    <row r="4054" spans="19:19" x14ac:dyDescent="0.3">
      <c r="S4054" s="18"/>
    </row>
    <row r="4055" spans="19:19" x14ac:dyDescent="0.3">
      <c r="S4055" s="19"/>
    </row>
    <row r="4056" spans="19:19" x14ac:dyDescent="0.3">
      <c r="S4056" s="18"/>
    </row>
    <row r="4057" spans="19:19" x14ac:dyDescent="0.3">
      <c r="S4057" s="19"/>
    </row>
    <row r="4058" spans="19:19" x14ac:dyDescent="0.3">
      <c r="S4058" s="18"/>
    </row>
    <row r="4059" spans="19:19" x14ac:dyDescent="0.3">
      <c r="S4059" s="19"/>
    </row>
    <row r="4060" spans="19:19" x14ac:dyDescent="0.3">
      <c r="S4060" s="18"/>
    </row>
    <row r="4061" spans="19:19" x14ac:dyDescent="0.3">
      <c r="S4061" s="19"/>
    </row>
    <row r="4062" spans="19:19" x14ac:dyDescent="0.3">
      <c r="S4062" s="18"/>
    </row>
    <row r="4063" spans="19:19" x14ac:dyDescent="0.3">
      <c r="S4063" s="19"/>
    </row>
    <row r="4064" spans="19:19" x14ac:dyDescent="0.3">
      <c r="S4064" s="18"/>
    </row>
    <row r="4065" spans="19:19" x14ac:dyDescent="0.3">
      <c r="S4065" s="19"/>
    </row>
    <row r="4066" spans="19:19" x14ac:dyDescent="0.3">
      <c r="S4066" s="18"/>
    </row>
    <row r="4067" spans="19:19" x14ac:dyDescent="0.3">
      <c r="S4067" s="19"/>
    </row>
    <row r="4068" spans="19:19" x14ac:dyDescent="0.3">
      <c r="S4068" s="18"/>
    </row>
    <row r="4069" spans="19:19" x14ac:dyDescent="0.3">
      <c r="S4069" s="19"/>
    </row>
    <row r="4070" spans="19:19" x14ac:dyDescent="0.3">
      <c r="S4070" s="18"/>
    </row>
    <row r="4071" spans="19:19" x14ac:dyDescent="0.3">
      <c r="S4071" s="19"/>
    </row>
    <row r="4072" spans="19:19" x14ac:dyDescent="0.3">
      <c r="S4072" s="18"/>
    </row>
    <row r="4073" spans="19:19" x14ac:dyDescent="0.3">
      <c r="S4073" s="19"/>
    </row>
    <row r="4074" spans="19:19" x14ac:dyDescent="0.3">
      <c r="S4074" s="18"/>
    </row>
    <row r="4075" spans="19:19" x14ac:dyDescent="0.3">
      <c r="S4075" s="19"/>
    </row>
    <row r="4076" spans="19:19" x14ac:dyDescent="0.3">
      <c r="S4076" s="18"/>
    </row>
    <row r="4077" spans="19:19" x14ac:dyDescent="0.3">
      <c r="S4077" s="19"/>
    </row>
    <row r="4078" spans="19:19" x14ac:dyDescent="0.3">
      <c r="S4078" s="18"/>
    </row>
    <row r="4079" spans="19:19" x14ac:dyDescent="0.3">
      <c r="S4079" s="19"/>
    </row>
    <row r="4080" spans="19:19" x14ac:dyDescent="0.3">
      <c r="S4080" s="18"/>
    </row>
    <row r="4081" spans="19:19" x14ac:dyDescent="0.3">
      <c r="S4081" s="19"/>
    </row>
    <row r="4082" spans="19:19" x14ac:dyDescent="0.3">
      <c r="S4082" s="18"/>
    </row>
    <row r="4083" spans="19:19" x14ac:dyDescent="0.3">
      <c r="S4083" s="19"/>
    </row>
    <row r="4084" spans="19:19" x14ac:dyDescent="0.3">
      <c r="S4084" s="18"/>
    </row>
    <row r="4085" spans="19:19" x14ac:dyDescent="0.3">
      <c r="S4085" s="19"/>
    </row>
    <row r="4086" spans="19:19" x14ac:dyDescent="0.3">
      <c r="S4086" s="18"/>
    </row>
    <row r="4087" spans="19:19" x14ac:dyDescent="0.3">
      <c r="S4087" s="19"/>
    </row>
    <row r="4088" spans="19:19" x14ac:dyDescent="0.3">
      <c r="S4088" s="18"/>
    </row>
    <row r="4089" spans="19:19" x14ac:dyDescent="0.3">
      <c r="S4089" s="19"/>
    </row>
    <row r="4090" spans="19:19" x14ac:dyDescent="0.3">
      <c r="S4090" s="18"/>
    </row>
    <row r="4091" spans="19:19" x14ac:dyDescent="0.3">
      <c r="S4091" s="19"/>
    </row>
    <row r="4092" spans="19:19" x14ac:dyDescent="0.3">
      <c r="S4092" s="18"/>
    </row>
    <row r="4093" spans="19:19" x14ac:dyDescent="0.3">
      <c r="S4093" s="19"/>
    </row>
    <row r="4094" spans="19:19" x14ac:dyDescent="0.3">
      <c r="S4094" s="18"/>
    </row>
    <row r="4095" spans="19:19" x14ac:dyDescent="0.3">
      <c r="S4095" s="19"/>
    </row>
    <row r="4096" spans="19:19" x14ac:dyDescent="0.3">
      <c r="S4096" s="18"/>
    </row>
    <row r="4097" spans="19:19" x14ac:dyDescent="0.3">
      <c r="S4097" s="19"/>
    </row>
    <row r="4098" spans="19:19" x14ac:dyDescent="0.3">
      <c r="S4098" s="18"/>
    </row>
    <row r="4099" spans="19:19" x14ac:dyDescent="0.3">
      <c r="S4099" s="19"/>
    </row>
    <row r="4100" spans="19:19" x14ac:dyDescent="0.3">
      <c r="S4100" s="18"/>
    </row>
    <row r="4101" spans="19:19" x14ac:dyDescent="0.3">
      <c r="S4101" s="19"/>
    </row>
    <row r="4102" spans="19:19" x14ac:dyDescent="0.3">
      <c r="S4102" s="18"/>
    </row>
    <row r="4103" spans="19:19" x14ac:dyDescent="0.3">
      <c r="S4103" s="19"/>
    </row>
    <row r="4104" spans="19:19" x14ac:dyDescent="0.3">
      <c r="S4104" s="18"/>
    </row>
    <row r="4105" spans="19:19" x14ac:dyDescent="0.3">
      <c r="S4105" s="19"/>
    </row>
    <row r="4106" spans="19:19" x14ac:dyDescent="0.3">
      <c r="S4106" s="18"/>
    </row>
    <row r="4107" spans="19:19" x14ac:dyDescent="0.3">
      <c r="S4107" s="19"/>
    </row>
    <row r="4108" spans="19:19" x14ac:dyDescent="0.3">
      <c r="S4108" s="18"/>
    </row>
    <row r="4109" spans="19:19" x14ac:dyDescent="0.3">
      <c r="S4109" s="19"/>
    </row>
    <row r="4110" spans="19:19" x14ac:dyDescent="0.3">
      <c r="S4110" s="18"/>
    </row>
    <row r="4111" spans="19:19" x14ac:dyDescent="0.3">
      <c r="S4111" s="19"/>
    </row>
    <row r="4112" spans="19:19" x14ac:dyDescent="0.3">
      <c r="S4112" s="18"/>
    </row>
    <row r="4113" spans="19:19" x14ac:dyDescent="0.3">
      <c r="S4113" s="19"/>
    </row>
    <row r="4114" spans="19:19" x14ac:dyDescent="0.3">
      <c r="S4114" s="18"/>
    </row>
    <row r="4115" spans="19:19" x14ac:dyDescent="0.3">
      <c r="S4115" s="19"/>
    </row>
    <row r="4116" spans="19:19" x14ac:dyDescent="0.3">
      <c r="S4116" s="18"/>
    </row>
    <row r="4117" spans="19:19" x14ac:dyDescent="0.3">
      <c r="S4117" s="19"/>
    </row>
    <row r="4118" spans="19:19" x14ac:dyDescent="0.3">
      <c r="S4118" s="18"/>
    </row>
    <row r="4119" spans="19:19" x14ac:dyDescent="0.3">
      <c r="S4119" s="19"/>
    </row>
    <row r="4120" spans="19:19" x14ac:dyDescent="0.3">
      <c r="S4120" s="18"/>
    </row>
    <row r="4121" spans="19:19" x14ac:dyDescent="0.3">
      <c r="S4121" s="19"/>
    </row>
    <row r="4122" spans="19:19" x14ac:dyDescent="0.3">
      <c r="S4122" s="18"/>
    </row>
    <row r="4123" spans="19:19" x14ac:dyDescent="0.3">
      <c r="S4123" s="19"/>
    </row>
    <row r="4124" spans="19:19" x14ac:dyDescent="0.3">
      <c r="S4124" s="18"/>
    </row>
    <row r="4125" spans="19:19" x14ac:dyDescent="0.3">
      <c r="S4125" s="19"/>
    </row>
    <row r="4126" spans="19:19" x14ac:dyDescent="0.3">
      <c r="S4126" s="18"/>
    </row>
    <row r="4127" spans="19:19" x14ac:dyDescent="0.3">
      <c r="S4127" s="19"/>
    </row>
    <row r="4128" spans="19:19" x14ac:dyDescent="0.3">
      <c r="S4128" s="18"/>
    </row>
    <row r="4129" spans="19:19" x14ac:dyDescent="0.3">
      <c r="S4129" s="19"/>
    </row>
    <row r="4130" spans="19:19" x14ac:dyDescent="0.3">
      <c r="S4130" s="18"/>
    </row>
    <row r="4131" spans="19:19" x14ac:dyDescent="0.3">
      <c r="S4131" s="19"/>
    </row>
    <row r="4132" spans="19:19" x14ac:dyDescent="0.3">
      <c r="S4132" s="18"/>
    </row>
    <row r="4133" spans="19:19" x14ac:dyDescent="0.3">
      <c r="S4133" s="19"/>
    </row>
    <row r="4134" spans="19:19" x14ac:dyDescent="0.3">
      <c r="S4134" s="18"/>
    </row>
    <row r="4135" spans="19:19" x14ac:dyDescent="0.3">
      <c r="S4135" s="19"/>
    </row>
    <row r="4136" spans="19:19" x14ac:dyDescent="0.3">
      <c r="S4136" s="18"/>
    </row>
    <row r="4137" spans="19:19" x14ac:dyDescent="0.3">
      <c r="S4137" s="19"/>
    </row>
    <row r="4138" spans="19:19" x14ac:dyDescent="0.3">
      <c r="S4138" s="18"/>
    </row>
    <row r="4139" spans="19:19" x14ac:dyDescent="0.3">
      <c r="S4139" s="19"/>
    </row>
    <row r="4140" spans="19:19" x14ac:dyDescent="0.3">
      <c r="S4140" s="18"/>
    </row>
    <row r="4141" spans="19:19" x14ac:dyDescent="0.3">
      <c r="S4141" s="19"/>
    </row>
    <row r="4142" spans="19:19" x14ac:dyDescent="0.3">
      <c r="S4142" s="18"/>
    </row>
    <row r="4143" spans="19:19" x14ac:dyDescent="0.3">
      <c r="S4143" s="19"/>
    </row>
    <row r="4144" spans="19:19" x14ac:dyDescent="0.3">
      <c r="S4144" s="18"/>
    </row>
    <row r="4145" spans="19:19" x14ac:dyDescent="0.3">
      <c r="S4145" s="19"/>
    </row>
    <row r="4146" spans="19:19" x14ac:dyDescent="0.3">
      <c r="S4146" s="18"/>
    </row>
    <row r="4147" spans="19:19" x14ac:dyDescent="0.3">
      <c r="S4147" s="19"/>
    </row>
    <row r="4148" spans="19:19" x14ac:dyDescent="0.3">
      <c r="S4148" s="18"/>
    </row>
    <row r="4149" spans="19:19" x14ac:dyDescent="0.3">
      <c r="S4149" s="19"/>
    </row>
    <row r="4150" spans="19:19" x14ac:dyDescent="0.3">
      <c r="S4150" s="18"/>
    </row>
    <row r="4151" spans="19:19" x14ac:dyDescent="0.3">
      <c r="S4151" s="19"/>
    </row>
    <row r="4152" spans="19:19" x14ac:dyDescent="0.3">
      <c r="S4152" s="18"/>
    </row>
    <row r="4153" spans="19:19" x14ac:dyDescent="0.3">
      <c r="S4153" s="19"/>
    </row>
    <row r="4154" spans="19:19" x14ac:dyDescent="0.3">
      <c r="S4154" s="18"/>
    </row>
    <row r="4155" spans="19:19" x14ac:dyDescent="0.3">
      <c r="S4155" s="19"/>
    </row>
    <row r="4156" spans="19:19" x14ac:dyDescent="0.3">
      <c r="S4156" s="18"/>
    </row>
    <row r="4157" spans="19:19" x14ac:dyDescent="0.3">
      <c r="S4157" s="19"/>
    </row>
    <row r="4158" spans="19:19" x14ac:dyDescent="0.3">
      <c r="S4158" s="18"/>
    </row>
    <row r="4159" spans="19:19" x14ac:dyDescent="0.3">
      <c r="S4159" s="19"/>
    </row>
    <row r="4160" spans="19:19" x14ac:dyDescent="0.3">
      <c r="S4160" s="18"/>
    </row>
    <row r="4161" spans="19:19" x14ac:dyDescent="0.3">
      <c r="S4161" s="19"/>
    </row>
    <row r="4162" spans="19:19" x14ac:dyDescent="0.3">
      <c r="S4162" s="18"/>
    </row>
    <row r="4163" spans="19:19" x14ac:dyDescent="0.3">
      <c r="S4163" s="19"/>
    </row>
    <row r="4164" spans="19:19" x14ac:dyDescent="0.3">
      <c r="S4164" s="18"/>
    </row>
    <row r="4165" spans="19:19" x14ac:dyDescent="0.3">
      <c r="S4165" s="19"/>
    </row>
    <row r="4166" spans="19:19" x14ac:dyDescent="0.3">
      <c r="S4166" s="18"/>
    </row>
    <row r="4167" spans="19:19" x14ac:dyDescent="0.3">
      <c r="S4167" s="19"/>
    </row>
    <row r="4168" spans="19:19" x14ac:dyDescent="0.3">
      <c r="S4168" s="18"/>
    </row>
    <row r="4169" spans="19:19" x14ac:dyDescent="0.3">
      <c r="S4169" s="19"/>
    </row>
    <row r="4170" spans="19:19" x14ac:dyDescent="0.3">
      <c r="S4170" s="18"/>
    </row>
    <row r="4171" spans="19:19" x14ac:dyDescent="0.3">
      <c r="S4171" s="19"/>
    </row>
    <row r="4172" spans="19:19" x14ac:dyDescent="0.3">
      <c r="S4172" s="18"/>
    </row>
    <row r="4173" spans="19:19" x14ac:dyDescent="0.3">
      <c r="S4173" s="19"/>
    </row>
    <row r="4174" spans="19:19" x14ac:dyDescent="0.3">
      <c r="S4174" s="18"/>
    </row>
    <row r="4175" spans="19:19" x14ac:dyDescent="0.3">
      <c r="S4175" s="19"/>
    </row>
    <row r="4176" spans="19:19" x14ac:dyDescent="0.3">
      <c r="S4176" s="18"/>
    </row>
    <row r="4177" spans="19:19" x14ac:dyDescent="0.3">
      <c r="S4177" s="19"/>
    </row>
    <row r="4178" spans="19:19" x14ac:dyDescent="0.3">
      <c r="S4178" s="18"/>
    </row>
    <row r="4179" spans="19:19" x14ac:dyDescent="0.3">
      <c r="S4179" s="19"/>
    </row>
    <row r="4180" spans="19:19" x14ac:dyDescent="0.3">
      <c r="S4180" s="18"/>
    </row>
    <row r="4181" spans="19:19" x14ac:dyDescent="0.3">
      <c r="S4181" s="19"/>
    </row>
    <row r="4182" spans="19:19" x14ac:dyDescent="0.3">
      <c r="S4182" s="18"/>
    </row>
    <row r="4183" spans="19:19" x14ac:dyDescent="0.3">
      <c r="S4183" s="19"/>
    </row>
    <row r="4184" spans="19:19" x14ac:dyDescent="0.3">
      <c r="S4184" s="18"/>
    </row>
    <row r="4185" spans="19:19" x14ac:dyDescent="0.3">
      <c r="S4185" s="19"/>
    </row>
    <row r="4186" spans="19:19" x14ac:dyDescent="0.3">
      <c r="S4186" s="18"/>
    </row>
    <row r="4187" spans="19:19" x14ac:dyDescent="0.3">
      <c r="S4187" s="19"/>
    </row>
    <row r="4188" spans="19:19" x14ac:dyDescent="0.3">
      <c r="S4188" s="18"/>
    </row>
    <row r="4189" spans="19:19" x14ac:dyDescent="0.3">
      <c r="S4189" s="19"/>
    </row>
    <row r="4190" spans="19:19" x14ac:dyDescent="0.3">
      <c r="S4190" s="18"/>
    </row>
    <row r="4191" spans="19:19" x14ac:dyDescent="0.3">
      <c r="S4191" s="19"/>
    </row>
    <row r="4192" spans="19:19" x14ac:dyDescent="0.3">
      <c r="S4192" s="18"/>
    </row>
    <row r="4193" spans="19:19" x14ac:dyDescent="0.3">
      <c r="S4193" s="19"/>
    </row>
    <row r="4194" spans="19:19" x14ac:dyDescent="0.3">
      <c r="S4194" s="18"/>
    </row>
    <row r="4195" spans="19:19" x14ac:dyDescent="0.3">
      <c r="S4195" s="19"/>
    </row>
    <row r="4196" spans="19:19" x14ac:dyDescent="0.3">
      <c r="S4196" s="18"/>
    </row>
    <row r="4197" spans="19:19" x14ac:dyDescent="0.3">
      <c r="S4197" s="19"/>
    </row>
    <row r="4198" spans="19:19" x14ac:dyDescent="0.3">
      <c r="S4198" s="18"/>
    </row>
    <row r="4199" spans="19:19" x14ac:dyDescent="0.3">
      <c r="S4199" s="19"/>
    </row>
    <row r="4200" spans="19:19" x14ac:dyDescent="0.3">
      <c r="S4200" s="18"/>
    </row>
    <row r="4201" spans="19:19" x14ac:dyDescent="0.3">
      <c r="S4201" s="19"/>
    </row>
    <row r="4202" spans="19:19" x14ac:dyDescent="0.3">
      <c r="S4202" s="18"/>
    </row>
    <row r="4203" spans="19:19" x14ac:dyDescent="0.3">
      <c r="S4203" s="19"/>
    </row>
    <row r="4204" spans="19:19" x14ac:dyDescent="0.3">
      <c r="S4204" s="18"/>
    </row>
    <row r="4205" spans="19:19" x14ac:dyDescent="0.3">
      <c r="S4205" s="19"/>
    </row>
    <row r="4206" spans="19:19" x14ac:dyDescent="0.3">
      <c r="S4206" s="18"/>
    </row>
    <row r="4207" spans="19:19" x14ac:dyDescent="0.3">
      <c r="S4207" s="19"/>
    </row>
    <row r="4208" spans="19:19" x14ac:dyDescent="0.3">
      <c r="S4208" s="18"/>
    </row>
    <row r="4209" spans="19:19" x14ac:dyDescent="0.3">
      <c r="S4209" s="19"/>
    </row>
    <row r="4210" spans="19:19" x14ac:dyDescent="0.3">
      <c r="S4210" s="18"/>
    </row>
    <row r="4211" spans="19:19" x14ac:dyDescent="0.3">
      <c r="S4211" s="19"/>
    </row>
    <row r="4212" spans="19:19" x14ac:dyDescent="0.3">
      <c r="S4212" s="18"/>
    </row>
    <row r="4213" spans="19:19" x14ac:dyDescent="0.3">
      <c r="S4213" s="19"/>
    </row>
    <row r="4214" spans="19:19" x14ac:dyDescent="0.3">
      <c r="S4214" s="18"/>
    </row>
    <row r="4215" spans="19:19" x14ac:dyDescent="0.3">
      <c r="S4215" s="19"/>
    </row>
    <row r="4216" spans="19:19" x14ac:dyDescent="0.3">
      <c r="S4216" s="18"/>
    </row>
    <row r="4217" spans="19:19" x14ac:dyDescent="0.3">
      <c r="S4217" s="19"/>
    </row>
    <row r="4218" spans="19:19" x14ac:dyDescent="0.3">
      <c r="S4218" s="18"/>
    </row>
    <row r="4219" spans="19:19" x14ac:dyDescent="0.3">
      <c r="S4219" s="19"/>
    </row>
    <row r="4220" spans="19:19" x14ac:dyDescent="0.3">
      <c r="S4220" s="18"/>
    </row>
    <row r="4221" spans="19:19" x14ac:dyDescent="0.3">
      <c r="S4221" s="19"/>
    </row>
    <row r="4222" spans="19:19" x14ac:dyDescent="0.3">
      <c r="S4222" s="18"/>
    </row>
    <row r="4223" spans="19:19" x14ac:dyDescent="0.3">
      <c r="S4223" s="19"/>
    </row>
    <row r="4224" spans="19:19" x14ac:dyDescent="0.3">
      <c r="S4224" s="18"/>
    </row>
    <row r="4225" spans="19:19" x14ac:dyDescent="0.3">
      <c r="S4225" s="19"/>
    </row>
    <row r="4226" spans="19:19" x14ac:dyDescent="0.3">
      <c r="S4226" s="18"/>
    </row>
    <row r="4227" spans="19:19" x14ac:dyDescent="0.3">
      <c r="S4227" s="19"/>
    </row>
    <row r="4228" spans="19:19" x14ac:dyDescent="0.3">
      <c r="S4228" s="18"/>
    </row>
    <row r="4229" spans="19:19" x14ac:dyDescent="0.3">
      <c r="S4229" s="19"/>
    </row>
    <row r="4230" spans="19:19" x14ac:dyDescent="0.3">
      <c r="S4230" s="18"/>
    </row>
    <row r="4231" spans="19:19" x14ac:dyDescent="0.3">
      <c r="S4231" s="19"/>
    </row>
    <row r="4232" spans="19:19" x14ac:dyDescent="0.3">
      <c r="S4232" s="18"/>
    </row>
    <row r="4233" spans="19:19" x14ac:dyDescent="0.3">
      <c r="S4233" s="19"/>
    </row>
    <row r="4234" spans="19:19" x14ac:dyDescent="0.3">
      <c r="S4234" s="18"/>
    </row>
    <row r="4235" spans="19:19" x14ac:dyDescent="0.3">
      <c r="S4235" s="19"/>
    </row>
    <row r="4236" spans="19:19" x14ac:dyDescent="0.3">
      <c r="S4236" s="18"/>
    </row>
    <row r="4237" spans="19:19" x14ac:dyDescent="0.3">
      <c r="S4237" s="19"/>
    </row>
    <row r="4238" spans="19:19" x14ac:dyDescent="0.3">
      <c r="S4238" s="18"/>
    </row>
    <row r="4239" spans="19:19" x14ac:dyDescent="0.3">
      <c r="S4239" s="19"/>
    </row>
    <row r="4240" spans="19:19" x14ac:dyDescent="0.3">
      <c r="S4240" s="18"/>
    </row>
    <row r="4241" spans="19:19" x14ac:dyDescent="0.3">
      <c r="S4241" s="19"/>
    </row>
    <row r="4242" spans="19:19" x14ac:dyDescent="0.3">
      <c r="S4242" s="18"/>
    </row>
    <row r="4243" spans="19:19" x14ac:dyDescent="0.3">
      <c r="S4243" s="19"/>
    </row>
    <row r="4244" spans="19:19" x14ac:dyDescent="0.3">
      <c r="S4244" s="18"/>
    </row>
    <row r="4245" spans="19:19" x14ac:dyDescent="0.3">
      <c r="S4245" s="19"/>
    </row>
    <row r="4246" spans="19:19" x14ac:dyDescent="0.3">
      <c r="S4246" s="18"/>
    </row>
    <row r="4247" spans="19:19" x14ac:dyDescent="0.3">
      <c r="S4247" s="19"/>
    </row>
    <row r="4248" spans="19:19" x14ac:dyDescent="0.3">
      <c r="S4248" s="18"/>
    </row>
    <row r="4249" spans="19:19" x14ac:dyDescent="0.3">
      <c r="S4249" s="19"/>
    </row>
    <row r="4250" spans="19:19" x14ac:dyDescent="0.3">
      <c r="S4250" s="18"/>
    </row>
    <row r="4251" spans="19:19" x14ac:dyDescent="0.3">
      <c r="S4251" s="19"/>
    </row>
    <row r="4252" spans="19:19" x14ac:dyDescent="0.3">
      <c r="S4252" s="18"/>
    </row>
    <row r="4253" spans="19:19" x14ac:dyDescent="0.3">
      <c r="S4253" s="19"/>
    </row>
    <row r="4254" spans="19:19" x14ac:dyDescent="0.3">
      <c r="S4254" s="18"/>
    </row>
    <row r="4255" spans="19:19" x14ac:dyDescent="0.3">
      <c r="S4255" s="19"/>
    </row>
    <row r="4256" spans="19:19" x14ac:dyDescent="0.3">
      <c r="S4256" s="18"/>
    </row>
    <row r="4257" spans="19:19" x14ac:dyDescent="0.3">
      <c r="S4257" s="19"/>
    </row>
    <row r="4258" spans="19:19" x14ac:dyDescent="0.3">
      <c r="S4258" s="18"/>
    </row>
    <row r="4259" spans="19:19" x14ac:dyDescent="0.3">
      <c r="S4259" s="19"/>
    </row>
    <row r="4260" spans="19:19" x14ac:dyDescent="0.3">
      <c r="S4260" s="18"/>
    </row>
    <row r="4261" spans="19:19" x14ac:dyDescent="0.3">
      <c r="S4261" s="19"/>
    </row>
    <row r="4262" spans="19:19" x14ac:dyDescent="0.3">
      <c r="S4262" s="18"/>
    </row>
    <row r="4263" spans="19:19" x14ac:dyDescent="0.3">
      <c r="S4263" s="19"/>
    </row>
    <row r="4264" spans="19:19" x14ac:dyDescent="0.3">
      <c r="S4264" s="18"/>
    </row>
    <row r="4265" spans="19:19" x14ac:dyDescent="0.3">
      <c r="S4265" s="19"/>
    </row>
    <row r="4266" spans="19:19" x14ac:dyDescent="0.3">
      <c r="S4266" s="18"/>
    </row>
    <row r="4267" spans="19:19" x14ac:dyDescent="0.3">
      <c r="S4267" s="19"/>
    </row>
    <row r="4268" spans="19:19" x14ac:dyDescent="0.3">
      <c r="S4268" s="18"/>
    </row>
    <row r="4269" spans="19:19" x14ac:dyDescent="0.3">
      <c r="S4269" s="19"/>
    </row>
    <row r="4270" spans="19:19" x14ac:dyDescent="0.3">
      <c r="S4270" s="18"/>
    </row>
    <row r="4271" spans="19:19" x14ac:dyDescent="0.3">
      <c r="S4271" s="19"/>
    </row>
    <row r="4272" spans="19:19" x14ac:dyDescent="0.3">
      <c r="S4272" s="18"/>
    </row>
    <row r="4273" spans="19:19" x14ac:dyDescent="0.3">
      <c r="S4273" s="19"/>
    </row>
    <row r="4274" spans="19:19" x14ac:dyDescent="0.3">
      <c r="S4274" s="18"/>
    </row>
    <row r="4275" spans="19:19" x14ac:dyDescent="0.3">
      <c r="S4275" s="19"/>
    </row>
    <row r="4276" spans="19:19" x14ac:dyDescent="0.3">
      <c r="S4276" s="18"/>
    </row>
    <row r="4277" spans="19:19" x14ac:dyDescent="0.3">
      <c r="S4277" s="19"/>
    </row>
    <row r="4278" spans="19:19" x14ac:dyDescent="0.3">
      <c r="S4278" s="18"/>
    </row>
    <row r="4279" spans="19:19" x14ac:dyDescent="0.3">
      <c r="S4279" s="19"/>
    </row>
    <row r="4280" spans="19:19" x14ac:dyDescent="0.3">
      <c r="S4280" s="18"/>
    </row>
    <row r="4281" spans="19:19" x14ac:dyDescent="0.3">
      <c r="S4281" s="19"/>
    </row>
    <row r="4282" spans="19:19" x14ac:dyDescent="0.3">
      <c r="S4282" s="18"/>
    </row>
    <row r="4283" spans="19:19" x14ac:dyDescent="0.3">
      <c r="S4283" s="19"/>
    </row>
    <row r="4284" spans="19:19" x14ac:dyDescent="0.3">
      <c r="S4284" s="18"/>
    </row>
    <row r="4285" spans="19:19" x14ac:dyDescent="0.3">
      <c r="S4285" s="19"/>
    </row>
    <row r="4286" spans="19:19" x14ac:dyDescent="0.3">
      <c r="S4286" s="18"/>
    </row>
    <row r="4287" spans="19:19" x14ac:dyDescent="0.3">
      <c r="S4287" s="19"/>
    </row>
    <row r="4288" spans="19:19" x14ac:dyDescent="0.3">
      <c r="S4288" s="18"/>
    </row>
    <row r="4289" spans="19:19" x14ac:dyDescent="0.3">
      <c r="S4289" s="19"/>
    </row>
    <row r="4290" spans="19:19" x14ac:dyDescent="0.3">
      <c r="S4290" s="18"/>
    </row>
    <row r="4291" spans="19:19" x14ac:dyDescent="0.3">
      <c r="S4291" s="19"/>
    </row>
    <row r="4292" spans="19:19" x14ac:dyDescent="0.3">
      <c r="S4292" s="18"/>
    </row>
    <row r="4293" spans="19:19" x14ac:dyDescent="0.3">
      <c r="S4293" s="19"/>
    </row>
    <row r="4294" spans="19:19" x14ac:dyDescent="0.3">
      <c r="S4294" s="18"/>
    </row>
    <row r="4295" spans="19:19" x14ac:dyDescent="0.3">
      <c r="S4295" s="19"/>
    </row>
    <row r="4296" spans="19:19" x14ac:dyDescent="0.3">
      <c r="S4296" s="18"/>
    </row>
    <row r="4297" spans="19:19" x14ac:dyDescent="0.3">
      <c r="S4297" s="19"/>
    </row>
    <row r="4298" spans="19:19" x14ac:dyDescent="0.3">
      <c r="S4298" s="18"/>
    </row>
    <row r="4299" spans="19:19" x14ac:dyDescent="0.3">
      <c r="S4299" s="19"/>
    </row>
    <row r="4300" spans="19:19" x14ac:dyDescent="0.3">
      <c r="S4300" s="18"/>
    </row>
    <row r="4301" spans="19:19" x14ac:dyDescent="0.3">
      <c r="S4301" s="19"/>
    </row>
    <row r="4302" spans="19:19" x14ac:dyDescent="0.3">
      <c r="S4302" s="18"/>
    </row>
    <row r="4303" spans="19:19" x14ac:dyDescent="0.3">
      <c r="S4303" s="19"/>
    </row>
    <row r="4304" spans="19:19" x14ac:dyDescent="0.3">
      <c r="S4304" s="18"/>
    </row>
    <row r="4305" spans="19:19" x14ac:dyDescent="0.3">
      <c r="S4305" s="19"/>
    </row>
    <row r="4306" spans="19:19" x14ac:dyDescent="0.3">
      <c r="S4306" s="18"/>
    </row>
    <row r="4307" spans="19:19" x14ac:dyDescent="0.3">
      <c r="S4307" s="19"/>
    </row>
    <row r="4308" spans="19:19" x14ac:dyDescent="0.3">
      <c r="S4308" s="18"/>
    </row>
    <row r="4309" spans="19:19" x14ac:dyDescent="0.3">
      <c r="S4309" s="19"/>
    </row>
    <row r="4310" spans="19:19" x14ac:dyDescent="0.3">
      <c r="S4310" s="18"/>
    </row>
    <row r="4311" spans="19:19" x14ac:dyDescent="0.3">
      <c r="S4311" s="19"/>
    </row>
    <row r="4312" spans="19:19" x14ac:dyDescent="0.3">
      <c r="S4312" s="18"/>
    </row>
    <row r="4313" spans="19:19" x14ac:dyDescent="0.3">
      <c r="S4313" s="19"/>
    </row>
    <row r="4314" spans="19:19" x14ac:dyDescent="0.3">
      <c r="S4314" s="18"/>
    </row>
    <row r="4315" spans="19:19" x14ac:dyDescent="0.3">
      <c r="S4315" s="19"/>
    </row>
    <row r="4316" spans="19:19" x14ac:dyDescent="0.3">
      <c r="S4316" s="18"/>
    </row>
    <row r="4317" spans="19:19" x14ac:dyDescent="0.3">
      <c r="S4317" s="19"/>
    </row>
    <row r="4318" spans="19:19" x14ac:dyDescent="0.3">
      <c r="S4318" s="18"/>
    </row>
    <row r="4319" spans="19:19" x14ac:dyDescent="0.3">
      <c r="S4319" s="19"/>
    </row>
    <row r="4320" spans="19:19" x14ac:dyDescent="0.3">
      <c r="S4320" s="18"/>
    </row>
    <row r="4321" spans="19:19" x14ac:dyDescent="0.3">
      <c r="S4321" s="19"/>
    </row>
    <row r="4322" spans="19:19" x14ac:dyDescent="0.3">
      <c r="S4322" s="18"/>
    </row>
    <row r="4323" spans="19:19" x14ac:dyDescent="0.3">
      <c r="S4323" s="19"/>
    </row>
    <row r="4324" spans="19:19" x14ac:dyDescent="0.3">
      <c r="S4324" s="18"/>
    </row>
    <row r="4325" spans="19:19" x14ac:dyDescent="0.3">
      <c r="S4325" s="19"/>
    </row>
    <row r="4326" spans="19:19" x14ac:dyDescent="0.3">
      <c r="S4326" s="18"/>
    </row>
    <row r="4327" spans="19:19" x14ac:dyDescent="0.3">
      <c r="S4327" s="19"/>
    </row>
    <row r="4328" spans="19:19" x14ac:dyDescent="0.3">
      <c r="S4328" s="18"/>
    </row>
    <row r="4329" spans="19:19" x14ac:dyDescent="0.3">
      <c r="S4329" s="19"/>
    </row>
    <row r="4330" spans="19:19" x14ac:dyDescent="0.3">
      <c r="S4330" s="18"/>
    </row>
    <row r="4331" spans="19:19" x14ac:dyDescent="0.3">
      <c r="S4331" s="19"/>
    </row>
    <row r="4332" spans="19:19" x14ac:dyDescent="0.3">
      <c r="S4332" s="18"/>
    </row>
    <row r="4333" spans="19:19" x14ac:dyDescent="0.3">
      <c r="S4333" s="19"/>
    </row>
    <row r="4334" spans="19:19" x14ac:dyDescent="0.3">
      <c r="S4334" s="18"/>
    </row>
    <row r="4335" spans="19:19" x14ac:dyDescent="0.3">
      <c r="S4335" s="19"/>
    </row>
    <row r="4336" spans="19:19" x14ac:dyDescent="0.3">
      <c r="S4336" s="18"/>
    </row>
    <row r="4337" spans="19:19" x14ac:dyDescent="0.3">
      <c r="S4337" s="19"/>
    </row>
    <row r="4338" spans="19:19" x14ac:dyDescent="0.3">
      <c r="S4338" s="18"/>
    </row>
    <row r="4339" spans="19:19" x14ac:dyDescent="0.3">
      <c r="S4339" s="19"/>
    </row>
    <row r="4340" spans="19:19" x14ac:dyDescent="0.3">
      <c r="S4340" s="18"/>
    </row>
    <row r="4341" spans="19:19" x14ac:dyDescent="0.3">
      <c r="S4341" s="19"/>
    </row>
    <row r="4342" spans="19:19" x14ac:dyDescent="0.3">
      <c r="S4342" s="18"/>
    </row>
    <row r="4343" spans="19:19" x14ac:dyDescent="0.3">
      <c r="S4343" s="19"/>
    </row>
    <row r="4344" spans="19:19" x14ac:dyDescent="0.3">
      <c r="S4344" s="18"/>
    </row>
    <row r="4345" spans="19:19" x14ac:dyDescent="0.3">
      <c r="S4345" s="19"/>
    </row>
    <row r="4346" spans="19:19" x14ac:dyDescent="0.3">
      <c r="S4346" s="18"/>
    </row>
    <row r="4347" spans="19:19" x14ac:dyDescent="0.3">
      <c r="S4347" s="19"/>
    </row>
    <row r="4348" spans="19:19" x14ac:dyDescent="0.3">
      <c r="S4348" s="18"/>
    </row>
    <row r="4349" spans="19:19" x14ac:dyDescent="0.3">
      <c r="S4349" s="19"/>
    </row>
    <row r="4350" spans="19:19" x14ac:dyDescent="0.3">
      <c r="S4350" s="18"/>
    </row>
    <row r="4351" spans="19:19" x14ac:dyDescent="0.3">
      <c r="S4351" s="19"/>
    </row>
    <row r="4352" spans="19:19" x14ac:dyDescent="0.3">
      <c r="S4352" s="18"/>
    </row>
    <row r="4353" spans="19:19" x14ac:dyDescent="0.3">
      <c r="S4353" s="19"/>
    </row>
    <row r="4354" spans="19:19" x14ac:dyDescent="0.3">
      <c r="S4354" s="18"/>
    </row>
    <row r="4355" spans="19:19" x14ac:dyDescent="0.3">
      <c r="S4355" s="19"/>
    </row>
    <row r="4356" spans="19:19" x14ac:dyDescent="0.3">
      <c r="S4356" s="18"/>
    </row>
    <row r="4357" spans="19:19" x14ac:dyDescent="0.3">
      <c r="S4357" s="19"/>
    </row>
    <row r="4358" spans="19:19" x14ac:dyDescent="0.3">
      <c r="S4358" s="18"/>
    </row>
    <row r="4359" spans="19:19" x14ac:dyDescent="0.3">
      <c r="S4359" s="19"/>
    </row>
    <row r="4360" spans="19:19" x14ac:dyDescent="0.3">
      <c r="S4360" s="18"/>
    </row>
    <row r="4361" spans="19:19" x14ac:dyDescent="0.3">
      <c r="S4361" s="19"/>
    </row>
    <row r="4362" spans="19:19" x14ac:dyDescent="0.3">
      <c r="S4362" s="18"/>
    </row>
    <row r="4363" spans="19:19" x14ac:dyDescent="0.3">
      <c r="S4363" s="19"/>
    </row>
    <row r="4364" spans="19:19" x14ac:dyDescent="0.3">
      <c r="S4364" s="18"/>
    </row>
    <row r="4365" spans="19:19" x14ac:dyDescent="0.3">
      <c r="S4365" s="19"/>
    </row>
    <row r="4366" spans="19:19" x14ac:dyDescent="0.3">
      <c r="S4366" s="18"/>
    </row>
    <row r="4367" spans="19:19" x14ac:dyDescent="0.3">
      <c r="S4367" s="19"/>
    </row>
    <row r="4368" spans="19:19" x14ac:dyDescent="0.3">
      <c r="S4368" s="18"/>
    </row>
    <row r="4369" spans="19:19" x14ac:dyDescent="0.3">
      <c r="S4369" s="19"/>
    </row>
    <row r="4370" spans="19:19" x14ac:dyDescent="0.3">
      <c r="S4370" s="18"/>
    </row>
    <row r="4371" spans="19:19" x14ac:dyDescent="0.3">
      <c r="S4371" s="19"/>
    </row>
    <row r="4372" spans="19:19" x14ac:dyDescent="0.3">
      <c r="S4372" s="18"/>
    </row>
    <row r="4373" spans="19:19" x14ac:dyDescent="0.3">
      <c r="S4373" s="19"/>
    </row>
    <row r="4374" spans="19:19" x14ac:dyDescent="0.3">
      <c r="S4374" s="18"/>
    </row>
    <row r="4375" spans="19:19" x14ac:dyDescent="0.3">
      <c r="S4375" s="19"/>
    </row>
    <row r="4376" spans="19:19" x14ac:dyDescent="0.3">
      <c r="S4376" s="18"/>
    </row>
    <row r="4377" spans="19:19" x14ac:dyDescent="0.3">
      <c r="S4377" s="19"/>
    </row>
    <row r="4378" spans="19:19" x14ac:dyDescent="0.3">
      <c r="S4378" s="18"/>
    </row>
    <row r="4379" spans="19:19" x14ac:dyDescent="0.3">
      <c r="S4379" s="19"/>
    </row>
    <row r="4380" spans="19:19" x14ac:dyDescent="0.3">
      <c r="S4380" s="18"/>
    </row>
    <row r="4381" spans="19:19" x14ac:dyDescent="0.3">
      <c r="S4381" s="19"/>
    </row>
    <row r="4382" spans="19:19" x14ac:dyDescent="0.3">
      <c r="S4382" s="18"/>
    </row>
    <row r="4383" spans="19:19" x14ac:dyDescent="0.3">
      <c r="S4383" s="19"/>
    </row>
    <row r="4384" spans="19:19" x14ac:dyDescent="0.3">
      <c r="S4384" s="18"/>
    </row>
    <row r="4385" spans="19:19" x14ac:dyDescent="0.3">
      <c r="S4385" s="19"/>
    </row>
    <row r="4386" spans="19:19" x14ac:dyDescent="0.3">
      <c r="S4386" s="18"/>
    </row>
    <row r="4387" spans="19:19" x14ac:dyDescent="0.3">
      <c r="S4387" s="19"/>
    </row>
    <row r="4388" spans="19:19" x14ac:dyDescent="0.3">
      <c r="S4388" s="18"/>
    </row>
    <row r="4389" spans="19:19" x14ac:dyDescent="0.3">
      <c r="S4389" s="19"/>
    </row>
    <row r="4390" spans="19:19" x14ac:dyDescent="0.3">
      <c r="S4390" s="18"/>
    </row>
    <row r="4391" spans="19:19" x14ac:dyDescent="0.3">
      <c r="S4391" s="19"/>
    </row>
    <row r="4392" spans="19:19" x14ac:dyDescent="0.3">
      <c r="S4392" s="18"/>
    </row>
    <row r="4393" spans="19:19" x14ac:dyDescent="0.3">
      <c r="S4393" s="19"/>
    </row>
    <row r="4394" spans="19:19" x14ac:dyDescent="0.3">
      <c r="S4394" s="18"/>
    </row>
    <row r="4395" spans="19:19" x14ac:dyDescent="0.3">
      <c r="S4395" s="19"/>
    </row>
    <row r="4396" spans="19:19" x14ac:dyDescent="0.3">
      <c r="S4396" s="18"/>
    </row>
    <row r="4397" spans="19:19" x14ac:dyDescent="0.3">
      <c r="S4397" s="19"/>
    </row>
    <row r="4398" spans="19:19" x14ac:dyDescent="0.3">
      <c r="S4398" s="18"/>
    </row>
    <row r="4399" spans="19:19" x14ac:dyDescent="0.3">
      <c r="S4399" s="19"/>
    </row>
    <row r="4400" spans="19:19" x14ac:dyDescent="0.3">
      <c r="S4400" s="18"/>
    </row>
    <row r="4401" spans="19:19" x14ac:dyDescent="0.3">
      <c r="S4401" s="19"/>
    </row>
    <row r="4402" spans="19:19" x14ac:dyDescent="0.3">
      <c r="S4402" s="18"/>
    </row>
    <row r="4403" spans="19:19" x14ac:dyDescent="0.3">
      <c r="S4403" s="19"/>
    </row>
    <row r="4404" spans="19:19" x14ac:dyDescent="0.3">
      <c r="S4404" s="18"/>
    </row>
    <row r="4405" spans="19:19" x14ac:dyDescent="0.3">
      <c r="S4405" s="19"/>
    </row>
    <row r="4406" spans="19:19" x14ac:dyDescent="0.3">
      <c r="S4406" s="18"/>
    </row>
    <row r="4407" spans="19:19" x14ac:dyDescent="0.3">
      <c r="S4407" s="19"/>
    </row>
    <row r="4408" spans="19:19" x14ac:dyDescent="0.3">
      <c r="S4408" s="18"/>
    </row>
    <row r="4409" spans="19:19" x14ac:dyDescent="0.3">
      <c r="S4409" s="19"/>
    </row>
    <row r="4410" spans="19:19" x14ac:dyDescent="0.3">
      <c r="S4410" s="18"/>
    </row>
    <row r="4411" spans="19:19" x14ac:dyDescent="0.3">
      <c r="S4411" s="19"/>
    </row>
    <row r="4412" spans="19:19" x14ac:dyDescent="0.3">
      <c r="S4412" s="18"/>
    </row>
    <row r="4413" spans="19:19" x14ac:dyDescent="0.3">
      <c r="S4413" s="19"/>
    </row>
    <row r="4414" spans="19:19" x14ac:dyDescent="0.3">
      <c r="S4414" s="18"/>
    </row>
    <row r="4415" spans="19:19" x14ac:dyDescent="0.3">
      <c r="S4415" s="19"/>
    </row>
    <row r="4416" spans="19:19" x14ac:dyDescent="0.3">
      <c r="S4416" s="18"/>
    </row>
    <row r="4417" spans="19:19" x14ac:dyDescent="0.3">
      <c r="S4417" s="19"/>
    </row>
    <row r="4418" spans="19:19" x14ac:dyDescent="0.3">
      <c r="S4418" s="18"/>
    </row>
    <row r="4419" spans="19:19" x14ac:dyDescent="0.3">
      <c r="S4419" s="19"/>
    </row>
    <row r="4420" spans="19:19" x14ac:dyDescent="0.3">
      <c r="S4420" s="18"/>
    </row>
    <row r="4421" spans="19:19" x14ac:dyDescent="0.3">
      <c r="S4421" s="19"/>
    </row>
    <row r="4422" spans="19:19" x14ac:dyDescent="0.3">
      <c r="S4422" s="18"/>
    </row>
    <row r="4423" spans="19:19" x14ac:dyDescent="0.3">
      <c r="S4423" s="19"/>
    </row>
    <row r="4424" spans="19:19" x14ac:dyDescent="0.3">
      <c r="S4424" s="18"/>
    </row>
    <row r="4425" spans="19:19" x14ac:dyDescent="0.3">
      <c r="S4425" s="19"/>
    </row>
    <row r="4426" spans="19:19" x14ac:dyDescent="0.3">
      <c r="S4426" s="18"/>
    </row>
    <row r="4427" spans="19:19" x14ac:dyDescent="0.3">
      <c r="S4427" s="19"/>
    </row>
    <row r="4428" spans="19:19" x14ac:dyDescent="0.3">
      <c r="S4428" s="18"/>
    </row>
    <row r="4429" spans="19:19" x14ac:dyDescent="0.3">
      <c r="S4429" s="19"/>
    </row>
    <row r="4430" spans="19:19" x14ac:dyDescent="0.3">
      <c r="S4430" s="18"/>
    </row>
    <row r="4431" spans="19:19" x14ac:dyDescent="0.3">
      <c r="S4431" s="19"/>
    </row>
    <row r="4432" spans="19:19" x14ac:dyDescent="0.3">
      <c r="S4432" s="18"/>
    </row>
    <row r="4433" spans="19:19" x14ac:dyDescent="0.3">
      <c r="S4433" s="19"/>
    </row>
    <row r="4434" spans="19:19" x14ac:dyDescent="0.3">
      <c r="S4434" s="18"/>
    </row>
    <row r="4435" spans="19:19" x14ac:dyDescent="0.3">
      <c r="S4435" s="19"/>
    </row>
    <row r="4436" spans="19:19" x14ac:dyDescent="0.3">
      <c r="S4436" s="18"/>
    </row>
    <row r="4437" spans="19:19" x14ac:dyDescent="0.3">
      <c r="S4437" s="19"/>
    </row>
    <row r="4438" spans="19:19" x14ac:dyDescent="0.3">
      <c r="S4438" s="18"/>
    </row>
    <row r="4439" spans="19:19" x14ac:dyDescent="0.3">
      <c r="S4439" s="19"/>
    </row>
    <row r="4440" spans="19:19" x14ac:dyDescent="0.3">
      <c r="S4440" s="18"/>
    </row>
    <row r="4441" spans="19:19" x14ac:dyDescent="0.3">
      <c r="S4441" s="19"/>
    </row>
    <row r="4442" spans="19:19" x14ac:dyDescent="0.3">
      <c r="S4442" s="18"/>
    </row>
    <row r="4443" spans="19:19" x14ac:dyDescent="0.3">
      <c r="S4443" s="19"/>
    </row>
    <row r="4444" spans="19:19" x14ac:dyDescent="0.3">
      <c r="S4444" s="18"/>
    </row>
    <row r="4445" spans="19:19" x14ac:dyDescent="0.3">
      <c r="S4445" s="19"/>
    </row>
    <row r="4446" spans="19:19" x14ac:dyDescent="0.3">
      <c r="S4446" s="18"/>
    </row>
    <row r="4447" spans="19:19" x14ac:dyDescent="0.3">
      <c r="S4447" s="19"/>
    </row>
    <row r="4448" spans="19:19" x14ac:dyDescent="0.3">
      <c r="S4448" s="18"/>
    </row>
    <row r="4449" spans="19:19" x14ac:dyDescent="0.3">
      <c r="S4449" s="19"/>
    </row>
    <row r="4450" spans="19:19" x14ac:dyDescent="0.3">
      <c r="S4450" s="18"/>
    </row>
    <row r="4451" spans="19:19" x14ac:dyDescent="0.3">
      <c r="S4451" s="19"/>
    </row>
    <row r="4452" spans="19:19" x14ac:dyDescent="0.3">
      <c r="S4452" s="18"/>
    </row>
    <row r="4453" spans="19:19" x14ac:dyDescent="0.3">
      <c r="S4453" s="19"/>
    </row>
    <row r="4454" spans="19:19" x14ac:dyDescent="0.3">
      <c r="S4454" s="18"/>
    </row>
    <row r="4455" spans="19:19" x14ac:dyDescent="0.3">
      <c r="S4455" s="19"/>
    </row>
    <row r="4456" spans="19:19" x14ac:dyDescent="0.3">
      <c r="S4456" s="18"/>
    </row>
    <row r="4457" spans="19:19" x14ac:dyDescent="0.3">
      <c r="S4457" s="19"/>
    </row>
    <row r="4458" spans="19:19" x14ac:dyDescent="0.3">
      <c r="S4458" s="18"/>
    </row>
    <row r="4459" spans="19:19" x14ac:dyDescent="0.3">
      <c r="S4459" s="19"/>
    </row>
    <row r="4460" spans="19:19" x14ac:dyDescent="0.3">
      <c r="S4460" s="18"/>
    </row>
    <row r="4461" spans="19:19" x14ac:dyDescent="0.3">
      <c r="S4461" s="19"/>
    </row>
    <row r="4462" spans="19:19" x14ac:dyDescent="0.3">
      <c r="S4462" s="18"/>
    </row>
    <row r="4463" spans="19:19" x14ac:dyDescent="0.3">
      <c r="S4463" s="19"/>
    </row>
    <row r="4464" spans="19:19" x14ac:dyDescent="0.3">
      <c r="S4464" s="18"/>
    </row>
    <row r="4465" spans="19:19" x14ac:dyDescent="0.3">
      <c r="S4465" s="19"/>
    </row>
    <row r="4466" spans="19:19" x14ac:dyDescent="0.3">
      <c r="S4466" s="18"/>
    </row>
    <row r="4467" spans="19:19" x14ac:dyDescent="0.3">
      <c r="S4467" s="19"/>
    </row>
    <row r="4468" spans="19:19" x14ac:dyDescent="0.3">
      <c r="S4468" s="18"/>
    </row>
    <row r="4469" spans="19:19" x14ac:dyDescent="0.3">
      <c r="S4469" s="19"/>
    </row>
    <row r="4470" spans="19:19" x14ac:dyDescent="0.3">
      <c r="S4470" s="18"/>
    </row>
    <row r="4471" spans="19:19" x14ac:dyDescent="0.3">
      <c r="S4471" s="19"/>
    </row>
    <row r="4472" spans="19:19" x14ac:dyDescent="0.3">
      <c r="S4472" s="18"/>
    </row>
    <row r="4473" spans="19:19" x14ac:dyDescent="0.3">
      <c r="S4473" s="19"/>
    </row>
    <row r="4474" spans="19:19" x14ac:dyDescent="0.3">
      <c r="S4474" s="18"/>
    </row>
    <row r="4475" spans="19:19" x14ac:dyDescent="0.3">
      <c r="S4475" s="19"/>
    </row>
    <row r="4476" spans="19:19" x14ac:dyDescent="0.3">
      <c r="S4476" s="18"/>
    </row>
    <row r="4477" spans="19:19" x14ac:dyDescent="0.3">
      <c r="S4477" s="19"/>
    </row>
    <row r="4478" spans="19:19" x14ac:dyDescent="0.3">
      <c r="S4478" s="18"/>
    </row>
    <row r="4479" spans="19:19" x14ac:dyDescent="0.3">
      <c r="S4479" s="19"/>
    </row>
    <row r="4480" spans="19:19" x14ac:dyDescent="0.3">
      <c r="S4480" s="18"/>
    </row>
    <row r="4481" spans="19:19" x14ac:dyDescent="0.3">
      <c r="S4481" s="19"/>
    </row>
    <row r="4482" spans="19:19" x14ac:dyDescent="0.3">
      <c r="S4482" s="18"/>
    </row>
    <row r="4483" spans="19:19" x14ac:dyDescent="0.3">
      <c r="S4483" s="19"/>
    </row>
    <row r="4484" spans="19:19" x14ac:dyDescent="0.3">
      <c r="S4484" s="18"/>
    </row>
    <row r="4485" spans="19:19" x14ac:dyDescent="0.3">
      <c r="S4485" s="19"/>
    </row>
    <row r="4486" spans="19:19" x14ac:dyDescent="0.3">
      <c r="S4486" s="18"/>
    </row>
    <row r="4487" spans="19:19" x14ac:dyDescent="0.3">
      <c r="S4487" s="19"/>
    </row>
    <row r="4488" spans="19:19" x14ac:dyDescent="0.3">
      <c r="S4488" s="18"/>
    </row>
    <row r="4489" spans="19:19" x14ac:dyDescent="0.3">
      <c r="S4489" s="19"/>
    </row>
    <row r="4490" spans="19:19" x14ac:dyDescent="0.3">
      <c r="S4490" s="18"/>
    </row>
    <row r="4491" spans="19:19" x14ac:dyDescent="0.3">
      <c r="S4491" s="19"/>
    </row>
    <row r="4492" spans="19:19" x14ac:dyDescent="0.3">
      <c r="S4492" s="18"/>
    </row>
    <row r="4493" spans="19:19" x14ac:dyDescent="0.3">
      <c r="S4493" s="19"/>
    </row>
    <row r="4494" spans="19:19" x14ac:dyDescent="0.3">
      <c r="S4494" s="18"/>
    </row>
    <row r="4495" spans="19:19" x14ac:dyDescent="0.3">
      <c r="S4495" s="19"/>
    </row>
    <row r="4496" spans="19:19" x14ac:dyDescent="0.3">
      <c r="S4496" s="18"/>
    </row>
    <row r="4497" spans="19:19" x14ac:dyDescent="0.3">
      <c r="S4497" s="19"/>
    </row>
    <row r="4498" spans="19:19" x14ac:dyDescent="0.3">
      <c r="S4498" s="18"/>
    </row>
    <row r="4499" spans="19:19" x14ac:dyDescent="0.3">
      <c r="S4499" s="19"/>
    </row>
    <row r="4500" spans="19:19" x14ac:dyDescent="0.3">
      <c r="S4500" s="18"/>
    </row>
    <row r="4501" spans="19:19" x14ac:dyDescent="0.3">
      <c r="S4501" s="19"/>
    </row>
    <row r="4502" spans="19:19" x14ac:dyDescent="0.3">
      <c r="S4502" s="18"/>
    </row>
    <row r="4503" spans="19:19" x14ac:dyDescent="0.3">
      <c r="S4503" s="19"/>
    </row>
    <row r="4504" spans="19:19" x14ac:dyDescent="0.3">
      <c r="S4504" s="18"/>
    </row>
    <row r="4505" spans="19:19" x14ac:dyDescent="0.3">
      <c r="S4505" s="19"/>
    </row>
    <row r="4506" spans="19:19" x14ac:dyDescent="0.3">
      <c r="S4506" s="18"/>
    </row>
    <row r="4507" spans="19:19" x14ac:dyDescent="0.3">
      <c r="S4507" s="19"/>
    </row>
    <row r="4508" spans="19:19" x14ac:dyDescent="0.3">
      <c r="S4508" s="18"/>
    </row>
    <row r="4509" spans="19:19" x14ac:dyDescent="0.3">
      <c r="S4509" s="19"/>
    </row>
    <row r="4510" spans="19:19" x14ac:dyDescent="0.3">
      <c r="S4510" s="18"/>
    </row>
    <row r="4511" spans="19:19" x14ac:dyDescent="0.3">
      <c r="S4511" s="19"/>
    </row>
    <row r="4512" spans="19:19" x14ac:dyDescent="0.3">
      <c r="S4512" s="18"/>
    </row>
    <row r="4513" spans="19:19" x14ac:dyDescent="0.3">
      <c r="S4513" s="19"/>
    </row>
    <row r="4514" spans="19:19" x14ac:dyDescent="0.3">
      <c r="S4514" s="18"/>
    </row>
    <row r="4515" spans="19:19" x14ac:dyDescent="0.3">
      <c r="S4515" s="19"/>
    </row>
    <row r="4516" spans="19:19" x14ac:dyDescent="0.3">
      <c r="S4516" s="18"/>
    </row>
    <row r="4517" spans="19:19" x14ac:dyDescent="0.3">
      <c r="S4517" s="19"/>
    </row>
    <row r="4518" spans="19:19" x14ac:dyDescent="0.3">
      <c r="S4518" s="18"/>
    </row>
    <row r="4519" spans="19:19" x14ac:dyDescent="0.3">
      <c r="S4519" s="19"/>
    </row>
    <row r="4520" spans="19:19" x14ac:dyDescent="0.3">
      <c r="S4520" s="18"/>
    </row>
    <row r="4521" spans="19:19" x14ac:dyDescent="0.3">
      <c r="S4521" s="19"/>
    </row>
    <row r="4522" spans="19:19" x14ac:dyDescent="0.3">
      <c r="S4522" s="18"/>
    </row>
    <row r="4523" spans="19:19" x14ac:dyDescent="0.3">
      <c r="S4523" s="19"/>
    </row>
    <row r="4524" spans="19:19" x14ac:dyDescent="0.3">
      <c r="S4524" s="18"/>
    </row>
    <row r="4525" spans="19:19" x14ac:dyDescent="0.3">
      <c r="S4525" s="19"/>
    </row>
    <row r="4526" spans="19:19" x14ac:dyDescent="0.3">
      <c r="S4526" s="18"/>
    </row>
    <row r="4527" spans="19:19" x14ac:dyDescent="0.3">
      <c r="S4527" s="19"/>
    </row>
    <row r="4528" spans="19:19" x14ac:dyDescent="0.3">
      <c r="S4528" s="18"/>
    </row>
    <row r="4529" spans="19:19" x14ac:dyDescent="0.3">
      <c r="S4529" s="19"/>
    </row>
    <row r="4530" spans="19:19" x14ac:dyDescent="0.3">
      <c r="S4530" s="18"/>
    </row>
    <row r="4531" spans="19:19" x14ac:dyDescent="0.3">
      <c r="S4531" s="19"/>
    </row>
    <row r="4532" spans="19:19" x14ac:dyDescent="0.3">
      <c r="S4532" s="18"/>
    </row>
    <row r="4533" spans="19:19" x14ac:dyDescent="0.3">
      <c r="S4533" s="19"/>
    </row>
    <row r="4534" spans="19:19" x14ac:dyDescent="0.3">
      <c r="S4534" s="18"/>
    </row>
    <row r="4535" spans="19:19" x14ac:dyDescent="0.3">
      <c r="S4535" s="19"/>
    </row>
    <row r="4536" spans="19:19" x14ac:dyDescent="0.3">
      <c r="S4536" s="18"/>
    </row>
    <row r="4537" spans="19:19" x14ac:dyDescent="0.3">
      <c r="S4537" s="19"/>
    </row>
    <row r="4538" spans="19:19" x14ac:dyDescent="0.3">
      <c r="S4538" s="18"/>
    </row>
    <row r="4539" spans="19:19" x14ac:dyDescent="0.3">
      <c r="S4539" s="19"/>
    </row>
    <row r="4540" spans="19:19" x14ac:dyDescent="0.3">
      <c r="S4540" s="18"/>
    </row>
    <row r="4541" spans="19:19" x14ac:dyDescent="0.3">
      <c r="S4541" s="19"/>
    </row>
    <row r="4542" spans="19:19" x14ac:dyDescent="0.3">
      <c r="S4542" s="18"/>
    </row>
    <row r="4543" spans="19:19" x14ac:dyDescent="0.3">
      <c r="S4543" s="19"/>
    </row>
    <row r="4544" spans="19:19" x14ac:dyDescent="0.3">
      <c r="S4544" s="18"/>
    </row>
    <row r="4545" spans="19:19" x14ac:dyDescent="0.3">
      <c r="S4545" s="19"/>
    </row>
    <row r="4546" spans="19:19" x14ac:dyDescent="0.3">
      <c r="S4546" s="18"/>
    </row>
    <row r="4547" spans="19:19" x14ac:dyDescent="0.3">
      <c r="S4547" s="19"/>
    </row>
    <row r="4548" spans="19:19" x14ac:dyDescent="0.3">
      <c r="S4548" s="18"/>
    </row>
    <row r="4549" spans="19:19" x14ac:dyDescent="0.3">
      <c r="S4549" s="19"/>
    </row>
    <row r="4550" spans="19:19" x14ac:dyDescent="0.3">
      <c r="S4550" s="18"/>
    </row>
    <row r="4551" spans="19:19" x14ac:dyDescent="0.3">
      <c r="S4551" s="19"/>
    </row>
    <row r="4552" spans="19:19" x14ac:dyDescent="0.3">
      <c r="S4552" s="18"/>
    </row>
    <row r="4553" spans="19:19" x14ac:dyDescent="0.3">
      <c r="S4553" s="19"/>
    </row>
    <row r="4554" spans="19:19" x14ac:dyDescent="0.3">
      <c r="S4554" s="18"/>
    </row>
    <row r="4555" spans="19:19" x14ac:dyDescent="0.3">
      <c r="S4555" s="19"/>
    </row>
    <row r="4556" spans="19:19" x14ac:dyDescent="0.3">
      <c r="S4556" s="18"/>
    </row>
    <row r="4557" spans="19:19" x14ac:dyDescent="0.3">
      <c r="S4557" s="19"/>
    </row>
    <row r="4558" spans="19:19" x14ac:dyDescent="0.3">
      <c r="S4558" s="18"/>
    </row>
    <row r="4559" spans="19:19" x14ac:dyDescent="0.3">
      <c r="S4559" s="19"/>
    </row>
    <row r="4560" spans="19:19" x14ac:dyDescent="0.3">
      <c r="S4560" s="18"/>
    </row>
    <row r="4561" spans="19:19" x14ac:dyDescent="0.3">
      <c r="S4561" s="19"/>
    </row>
    <row r="4562" spans="19:19" x14ac:dyDescent="0.3">
      <c r="S4562" s="18"/>
    </row>
    <row r="4563" spans="19:19" x14ac:dyDescent="0.3">
      <c r="S4563" s="19"/>
    </row>
    <row r="4564" spans="19:19" x14ac:dyDescent="0.3">
      <c r="S4564" s="18"/>
    </row>
    <row r="4565" spans="19:19" x14ac:dyDescent="0.3">
      <c r="S4565" s="19"/>
    </row>
    <row r="4566" spans="19:19" x14ac:dyDescent="0.3">
      <c r="S4566" s="18"/>
    </row>
    <row r="4567" spans="19:19" x14ac:dyDescent="0.3">
      <c r="S4567" s="19"/>
    </row>
    <row r="4568" spans="19:19" x14ac:dyDescent="0.3">
      <c r="S4568" s="18"/>
    </row>
    <row r="4569" spans="19:19" x14ac:dyDescent="0.3">
      <c r="S4569" s="19"/>
    </row>
    <row r="4570" spans="19:19" x14ac:dyDescent="0.3">
      <c r="S4570" s="18"/>
    </row>
    <row r="4571" spans="19:19" x14ac:dyDescent="0.3">
      <c r="S4571" s="19"/>
    </row>
    <row r="4572" spans="19:19" x14ac:dyDescent="0.3">
      <c r="S4572" s="18"/>
    </row>
    <row r="4573" spans="19:19" x14ac:dyDescent="0.3">
      <c r="S4573" s="19"/>
    </row>
    <row r="4574" spans="19:19" x14ac:dyDescent="0.3">
      <c r="S4574" s="18"/>
    </row>
    <row r="4575" spans="19:19" x14ac:dyDescent="0.3">
      <c r="S4575" s="19"/>
    </row>
    <row r="4576" spans="19:19" x14ac:dyDescent="0.3">
      <c r="S4576" s="18"/>
    </row>
    <row r="4577" spans="19:19" x14ac:dyDescent="0.3">
      <c r="S4577" s="19"/>
    </row>
    <row r="4578" spans="19:19" x14ac:dyDescent="0.3">
      <c r="S4578" s="18"/>
    </row>
    <row r="4579" spans="19:19" x14ac:dyDescent="0.3">
      <c r="S4579" s="19"/>
    </row>
    <row r="4580" spans="19:19" x14ac:dyDescent="0.3">
      <c r="S4580" s="18"/>
    </row>
    <row r="4581" spans="19:19" x14ac:dyDescent="0.3">
      <c r="S4581" s="19"/>
    </row>
    <row r="4582" spans="19:19" x14ac:dyDescent="0.3">
      <c r="S4582" s="18"/>
    </row>
    <row r="4583" spans="19:19" x14ac:dyDescent="0.3">
      <c r="S4583" s="19"/>
    </row>
    <row r="4584" spans="19:19" x14ac:dyDescent="0.3">
      <c r="S4584" s="18"/>
    </row>
    <row r="4585" spans="19:19" x14ac:dyDescent="0.3">
      <c r="S4585" s="19"/>
    </row>
    <row r="4586" spans="19:19" x14ac:dyDescent="0.3">
      <c r="S4586" s="18"/>
    </row>
    <row r="4587" spans="19:19" x14ac:dyDescent="0.3">
      <c r="S4587" s="19"/>
    </row>
    <row r="4588" spans="19:19" x14ac:dyDescent="0.3">
      <c r="S4588" s="18"/>
    </row>
    <row r="4589" spans="19:19" x14ac:dyDescent="0.3">
      <c r="S4589" s="19"/>
    </row>
    <row r="4590" spans="19:19" x14ac:dyDescent="0.3">
      <c r="S4590" s="18"/>
    </row>
    <row r="4591" spans="19:19" x14ac:dyDescent="0.3">
      <c r="S4591" s="19"/>
    </row>
    <row r="4592" spans="19:19" x14ac:dyDescent="0.3">
      <c r="S4592" s="18"/>
    </row>
    <row r="4593" spans="19:19" x14ac:dyDescent="0.3">
      <c r="S4593" s="19"/>
    </row>
    <row r="4594" spans="19:19" x14ac:dyDescent="0.3">
      <c r="S4594" s="18"/>
    </row>
    <row r="4595" spans="19:19" x14ac:dyDescent="0.3">
      <c r="S4595" s="19"/>
    </row>
    <row r="4596" spans="19:19" x14ac:dyDescent="0.3">
      <c r="S4596" s="18"/>
    </row>
    <row r="4597" spans="19:19" x14ac:dyDescent="0.3">
      <c r="S4597" s="19"/>
    </row>
    <row r="4598" spans="19:19" x14ac:dyDescent="0.3">
      <c r="S4598" s="18"/>
    </row>
    <row r="4599" spans="19:19" x14ac:dyDescent="0.3">
      <c r="S4599" s="19"/>
    </row>
    <row r="4600" spans="19:19" x14ac:dyDescent="0.3">
      <c r="S4600" s="18"/>
    </row>
    <row r="4601" spans="19:19" x14ac:dyDescent="0.3">
      <c r="S4601" s="19"/>
    </row>
    <row r="4602" spans="19:19" x14ac:dyDescent="0.3">
      <c r="S4602" s="18"/>
    </row>
    <row r="4603" spans="19:19" x14ac:dyDescent="0.3">
      <c r="S4603" s="19"/>
    </row>
    <row r="4604" spans="19:19" x14ac:dyDescent="0.3">
      <c r="S4604" s="18"/>
    </row>
    <row r="4605" spans="19:19" x14ac:dyDescent="0.3">
      <c r="S4605" s="19"/>
    </row>
    <row r="4606" spans="19:19" x14ac:dyDescent="0.3">
      <c r="S4606" s="18"/>
    </row>
    <row r="4607" spans="19:19" x14ac:dyDescent="0.3">
      <c r="S4607" s="19"/>
    </row>
    <row r="4608" spans="19:19" x14ac:dyDescent="0.3">
      <c r="S4608" s="18"/>
    </row>
    <row r="4609" spans="19:19" x14ac:dyDescent="0.3">
      <c r="S4609" s="19"/>
    </row>
    <row r="4610" spans="19:19" x14ac:dyDescent="0.3">
      <c r="S4610" s="18"/>
    </row>
    <row r="4611" spans="19:19" x14ac:dyDescent="0.3">
      <c r="S4611" s="19"/>
    </row>
    <row r="4612" spans="19:19" x14ac:dyDescent="0.3">
      <c r="S4612" s="18"/>
    </row>
    <row r="4613" spans="19:19" x14ac:dyDescent="0.3">
      <c r="S4613" s="19"/>
    </row>
    <row r="4614" spans="19:19" x14ac:dyDescent="0.3">
      <c r="S4614" s="18"/>
    </row>
    <row r="4615" spans="19:19" x14ac:dyDescent="0.3">
      <c r="S4615" s="19"/>
    </row>
    <row r="4616" spans="19:19" x14ac:dyDescent="0.3">
      <c r="S4616" s="18"/>
    </row>
    <row r="4617" spans="19:19" x14ac:dyDescent="0.3">
      <c r="S4617" s="19"/>
    </row>
    <row r="4618" spans="19:19" x14ac:dyDescent="0.3">
      <c r="S4618" s="18"/>
    </row>
    <row r="4619" spans="19:19" x14ac:dyDescent="0.3">
      <c r="S4619" s="19"/>
    </row>
    <row r="4620" spans="19:19" x14ac:dyDescent="0.3">
      <c r="S4620" s="18"/>
    </row>
    <row r="4621" spans="19:19" x14ac:dyDescent="0.3">
      <c r="S4621" s="19"/>
    </row>
    <row r="4622" spans="19:19" x14ac:dyDescent="0.3">
      <c r="S4622" s="18"/>
    </row>
    <row r="4623" spans="19:19" x14ac:dyDescent="0.3">
      <c r="S4623" s="19"/>
    </row>
    <row r="4624" spans="19:19" x14ac:dyDescent="0.3">
      <c r="S4624" s="18"/>
    </row>
    <row r="4625" spans="19:19" x14ac:dyDescent="0.3">
      <c r="S4625" s="19"/>
    </row>
    <row r="4626" spans="19:19" x14ac:dyDescent="0.3">
      <c r="S4626" s="18"/>
    </row>
    <row r="4627" spans="19:19" x14ac:dyDescent="0.3">
      <c r="S4627" s="19"/>
    </row>
    <row r="4628" spans="19:19" x14ac:dyDescent="0.3">
      <c r="S4628" s="18"/>
    </row>
    <row r="4629" spans="19:19" x14ac:dyDescent="0.3">
      <c r="S4629" s="19"/>
    </row>
    <row r="4630" spans="19:19" x14ac:dyDescent="0.3">
      <c r="S4630" s="18"/>
    </row>
    <row r="4631" spans="19:19" x14ac:dyDescent="0.3">
      <c r="S4631" s="19"/>
    </row>
    <row r="4632" spans="19:19" x14ac:dyDescent="0.3">
      <c r="S4632" s="18"/>
    </row>
    <row r="4633" spans="19:19" x14ac:dyDescent="0.3">
      <c r="S4633" s="19"/>
    </row>
    <row r="4634" spans="19:19" x14ac:dyDescent="0.3">
      <c r="S4634" s="18"/>
    </row>
    <row r="4635" spans="19:19" x14ac:dyDescent="0.3">
      <c r="S4635" s="19"/>
    </row>
    <row r="4636" spans="19:19" x14ac:dyDescent="0.3">
      <c r="S4636" s="18"/>
    </row>
    <row r="4637" spans="19:19" x14ac:dyDescent="0.3">
      <c r="S4637" s="19"/>
    </row>
    <row r="4638" spans="19:19" x14ac:dyDescent="0.3">
      <c r="S4638" s="18"/>
    </row>
    <row r="4639" spans="19:19" x14ac:dyDescent="0.3">
      <c r="S4639" s="19"/>
    </row>
    <row r="4640" spans="19:19" x14ac:dyDescent="0.3">
      <c r="S4640" s="18"/>
    </row>
    <row r="4641" spans="19:19" x14ac:dyDescent="0.3">
      <c r="S4641" s="19"/>
    </row>
    <row r="4642" spans="19:19" x14ac:dyDescent="0.3">
      <c r="S4642" s="18"/>
    </row>
    <row r="4643" spans="19:19" x14ac:dyDescent="0.3">
      <c r="S4643" s="19"/>
    </row>
    <row r="4644" spans="19:19" x14ac:dyDescent="0.3">
      <c r="S4644" s="18"/>
    </row>
    <row r="4645" spans="19:19" x14ac:dyDescent="0.3">
      <c r="S4645" s="19"/>
    </row>
    <row r="4646" spans="19:19" x14ac:dyDescent="0.3">
      <c r="S4646" s="18"/>
    </row>
    <row r="4647" spans="19:19" x14ac:dyDescent="0.3">
      <c r="S4647" s="19"/>
    </row>
    <row r="4648" spans="19:19" x14ac:dyDescent="0.3">
      <c r="S4648" s="18"/>
    </row>
    <row r="4649" spans="19:19" x14ac:dyDescent="0.3">
      <c r="S4649" s="19"/>
    </row>
    <row r="4650" spans="19:19" x14ac:dyDescent="0.3">
      <c r="S4650" s="18"/>
    </row>
    <row r="4651" spans="19:19" x14ac:dyDescent="0.3">
      <c r="S4651" s="19"/>
    </row>
    <row r="4652" spans="19:19" x14ac:dyDescent="0.3">
      <c r="S4652" s="18"/>
    </row>
    <row r="4653" spans="19:19" x14ac:dyDescent="0.3">
      <c r="S4653" s="19"/>
    </row>
    <row r="4654" spans="19:19" x14ac:dyDescent="0.3">
      <c r="S4654" s="18"/>
    </row>
    <row r="4655" spans="19:19" x14ac:dyDescent="0.3">
      <c r="S4655" s="19"/>
    </row>
    <row r="4656" spans="19:19" x14ac:dyDescent="0.3">
      <c r="S4656" s="18"/>
    </row>
    <row r="4657" spans="19:19" x14ac:dyDescent="0.3">
      <c r="S4657" s="19"/>
    </row>
    <row r="4658" spans="19:19" x14ac:dyDescent="0.3">
      <c r="S4658" s="18"/>
    </row>
    <row r="4659" spans="19:19" x14ac:dyDescent="0.3">
      <c r="S4659" s="19"/>
    </row>
    <row r="4660" spans="19:19" x14ac:dyDescent="0.3">
      <c r="S4660" s="18"/>
    </row>
    <row r="4661" spans="19:19" x14ac:dyDescent="0.3">
      <c r="S4661" s="19"/>
    </row>
    <row r="4662" spans="19:19" x14ac:dyDescent="0.3">
      <c r="S4662" s="18"/>
    </row>
    <row r="4663" spans="19:19" x14ac:dyDescent="0.3">
      <c r="S4663" s="19"/>
    </row>
    <row r="4664" spans="19:19" x14ac:dyDescent="0.3">
      <c r="S4664" s="18"/>
    </row>
    <row r="4665" spans="19:19" x14ac:dyDescent="0.3">
      <c r="S4665" s="19"/>
    </row>
    <row r="4666" spans="19:19" x14ac:dyDescent="0.3">
      <c r="S4666" s="18"/>
    </row>
    <row r="4667" spans="19:19" x14ac:dyDescent="0.3">
      <c r="S4667" s="19"/>
    </row>
    <row r="4668" spans="19:19" x14ac:dyDescent="0.3">
      <c r="S4668" s="18"/>
    </row>
    <row r="4669" spans="19:19" x14ac:dyDescent="0.3">
      <c r="S4669" s="19"/>
    </row>
    <row r="4670" spans="19:19" x14ac:dyDescent="0.3">
      <c r="S4670" s="18"/>
    </row>
    <row r="4671" spans="19:19" x14ac:dyDescent="0.3">
      <c r="S4671" s="19"/>
    </row>
    <row r="4672" spans="19:19" x14ac:dyDescent="0.3">
      <c r="S4672" s="18"/>
    </row>
    <row r="4673" spans="19:19" x14ac:dyDescent="0.3">
      <c r="S4673" s="19"/>
    </row>
    <row r="4674" spans="19:19" x14ac:dyDescent="0.3">
      <c r="S4674" s="18"/>
    </row>
    <row r="4675" spans="19:19" x14ac:dyDescent="0.3">
      <c r="S4675" s="19"/>
    </row>
    <row r="4676" spans="19:19" x14ac:dyDescent="0.3">
      <c r="S4676" s="18"/>
    </row>
    <row r="4677" spans="19:19" x14ac:dyDescent="0.3">
      <c r="S4677" s="19"/>
    </row>
    <row r="4678" spans="19:19" x14ac:dyDescent="0.3">
      <c r="S4678" s="18"/>
    </row>
    <row r="4679" spans="19:19" x14ac:dyDescent="0.3">
      <c r="S4679" s="19"/>
    </row>
    <row r="4680" spans="19:19" x14ac:dyDescent="0.3">
      <c r="S4680" s="18"/>
    </row>
    <row r="4681" spans="19:19" x14ac:dyDescent="0.3">
      <c r="S4681" s="19"/>
    </row>
    <row r="4682" spans="19:19" x14ac:dyDescent="0.3">
      <c r="S4682" s="18"/>
    </row>
    <row r="4683" spans="19:19" x14ac:dyDescent="0.3">
      <c r="S4683" s="19"/>
    </row>
    <row r="4684" spans="19:19" x14ac:dyDescent="0.3">
      <c r="S4684" s="18"/>
    </row>
    <row r="4685" spans="19:19" x14ac:dyDescent="0.3">
      <c r="S4685" s="19"/>
    </row>
    <row r="4686" spans="19:19" x14ac:dyDescent="0.3">
      <c r="S4686" s="18"/>
    </row>
    <row r="4687" spans="19:19" x14ac:dyDescent="0.3">
      <c r="S4687" s="19"/>
    </row>
    <row r="4688" spans="19:19" x14ac:dyDescent="0.3">
      <c r="S4688" s="18"/>
    </row>
    <row r="4689" spans="19:19" x14ac:dyDescent="0.3">
      <c r="S4689" s="19"/>
    </row>
    <row r="4690" spans="19:19" x14ac:dyDescent="0.3">
      <c r="S4690" s="18"/>
    </row>
    <row r="4691" spans="19:19" x14ac:dyDescent="0.3">
      <c r="S4691" s="19"/>
    </row>
    <row r="4692" spans="19:19" x14ac:dyDescent="0.3">
      <c r="S4692" s="18"/>
    </row>
    <row r="4693" spans="19:19" x14ac:dyDescent="0.3">
      <c r="S4693" s="19"/>
    </row>
    <row r="4694" spans="19:19" x14ac:dyDescent="0.3">
      <c r="S4694" s="18"/>
    </row>
    <row r="4695" spans="19:19" x14ac:dyDescent="0.3">
      <c r="S4695" s="19"/>
    </row>
    <row r="4696" spans="19:19" x14ac:dyDescent="0.3">
      <c r="S4696" s="18"/>
    </row>
    <row r="4697" spans="19:19" x14ac:dyDescent="0.3">
      <c r="S4697" s="19"/>
    </row>
    <row r="4698" spans="19:19" x14ac:dyDescent="0.3">
      <c r="S4698" s="18"/>
    </row>
    <row r="4699" spans="19:19" x14ac:dyDescent="0.3">
      <c r="S4699" s="19"/>
    </row>
    <row r="4700" spans="19:19" x14ac:dyDescent="0.3">
      <c r="S4700" s="18"/>
    </row>
    <row r="4701" spans="19:19" x14ac:dyDescent="0.3">
      <c r="S4701" s="19"/>
    </row>
    <row r="4702" spans="19:19" x14ac:dyDescent="0.3">
      <c r="S4702" s="18"/>
    </row>
    <row r="4703" spans="19:19" x14ac:dyDescent="0.3">
      <c r="S4703" s="19"/>
    </row>
    <row r="4704" spans="19:19" x14ac:dyDescent="0.3">
      <c r="S4704" s="18"/>
    </row>
    <row r="4705" spans="19:19" x14ac:dyDescent="0.3">
      <c r="S4705" s="19"/>
    </row>
    <row r="4706" spans="19:19" x14ac:dyDescent="0.3">
      <c r="S4706" s="18"/>
    </row>
    <row r="4707" spans="19:19" x14ac:dyDescent="0.3">
      <c r="S4707" s="19"/>
    </row>
    <row r="4708" spans="19:19" x14ac:dyDescent="0.3">
      <c r="S4708" s="18"/>
    </row>
    <row r="4709" spans="19:19" x14ac:dyDescent="0.3">
      <c r="S4709" s="19"/>
    </row>
    <row r="4710" spans="19:19" x14ac:dyDescent="0.3">
      <c r="S4710" s="18"/>
    </row>
    <row r="4711" spans="19:19" x14ac:dyDescent="0.3">
      <c r="S4711" s="19"/>
    </row>
    <row r="4712" spans="19:19" x14ac:dyDescent="0.3">
      <c r="S4712" s="18"/>
    </row>
    <row r="4713" spans="19:19" x14ac:dyDescent="0.3">
      <c r="S4713" s="19"/>
    </row>
    <row r="4714" spans="19:19" x14ac:dyDescent="0.3">
      <c r="S4714" s="18"/>
    </row>
    <row r="4715" spans="19:19" x14ac:dyDescent="0.3">
      <c r="S4715" s="19"/>
    </row>
    <row r="4716" spans="19:19" x14ac:dyDescent="0.3">
      <c r="S4716" s="18"/>
    </row>
    <row r="4717" spans="19:19" x14ac:dyDescent="0.3">
      <c r="S4717" s="19"/>
    </row>
    <row r="4718" spans="19:19" x14ac:dyDescent="0.3">
      <c r="S4718" s="18"/>
    </row>
    <row r="4719" spans="19:19" x14ac:dyDescent="0.3">
      <c r="S4719" s="19"/>
    </row>
    <row r="4720" spans="19:19" x14ac:dyDescent="0.3">
      <c r="S4720" s="18"/>
    </row>
    <row r="4721" spans="19:19" x14ac:dyDescent="0.3">
      <c r="S4721" s="19"/>
    </row>
    <row r="4722" spans="19:19" x14ac:dyDescent="0.3">
      <c r="S4722" s="18"/>
    </row>
    <row r="4723" spans="19:19" x14ac:dyDescent="0.3">
      <c r="S4723" s="19"/>
    </row>
    <row r="4724" spans="19:19" x14ac:dyDescent="0.3">
      <c r="S4724" s="18"/>
    </row>
    <row r="4725" spans="19:19" x14ac:dyDescent="0.3">
      <c r="S4725" s="19"/>
    </row>
    <row r="4726" spans="19:19" x14ac:dyDescent="0.3">
      <c r="S4726" s="18"/>
    </row>
    <row r="4727" spans="19:19" x14ac:dyDescent="0.3">
      <c r="S4727" s="19"/>
    </row>
    <row r="4728" spans="19:19" x14ac:dyDescent="0.3">
      <c r="S4728" s="18"/>
    </row>
    <row r="4729" spans="19:19" x14ac:dyDescent="0.3">
      <c r="S4729" s="19"/>
    </row>
    <row r="4730" spans="19:19" x14ac:dyDescent="0.3">
      <c r="S4730" s="18"/>
    </row>
    <row r="4731" spans="19:19" x14ac:dyDescent="0.3">
      <c r="S4731" s="19"/>
    </row>
    <row r="4732" spans="19:19" x14ac:dyDescent="0.3">
      <c r="S4732" s="18"/>
    </row>
    <row r="4733" spans="19:19" x14ac:dyDescent="0.3">
      <c r="S4733" s="19"/>
    </row>
    <row r="4734" spans="19:19" x14ac:dyDescent="0.3">
      <c r="S4734" s="18"/>
    </row>
    <row r="4735" spans="19:19" x14ac:dyDescent="0.3">
      <c r="S4735" s="19"/>
    </row>
    <row r="4736" spans="19:19" x14ac:dyDescent="0.3">
      <c r="S4736" s="18"/>
    </row>
    <row r="4737" spans="19:19" x14ac:dyDescent="0.3">
      <c r="S4737" s="19"/>
    </row>
    <row r="4738" spans="19:19" x14ac:dyDescent="0.3">
      <c r="S4738" s="18"/>
    </row>
    <row r="4739" spans="19:19" x14ac:dyDescent="0.3">
      <c r="S4739" s="19"/>
    </row>
    <row r="4740" spans="19:19" x14ac:dyDescent="0.3">
      <c r="S4740" s="18"/>
    </row>
    <row r="4741" spans="19:19" x14ac:dyDescent="0.3">
      <c r="S4741" s="19"/>
    </row>
    <row r="4742" spans="19:19" x14ac:dyDescent="0.3">
      <c r="S4742" s="18"/>
    </row>
    <row r="4743" spans="19:19" x14ac:dyDescent="0.3">
      <c r="S4743" s="19"/>
    </row>
    <row r="4744" spans="19:19" x14ac:dyDescent="0.3">
      <c r="S4744" s="18"/>
    </row>
    <row r="4745" spans="19:19" x14ac:dyDescent="0.3">
      <c r="S4745" s="19"/>
    </row>
    <row r="4746" spans="19:19" x14ac:dyDescent="0.3">
      <c r="S4746" s="18"/>
    </row>
    <row r="4747" spans="19:19" x14ac:dyDescent="0.3">
      <c r="S4747" s="19"/>
    </row>
    <row r="4748" spans="19:19" x14ac:dyDescent="0.3">
      <c r="S4748" s="18"/>
    </row>
    <row r="4749" spans="19:19" x14ac:dyDescent="0.3">
      <c r="S4749" s="19"/>
    </row>
    <row r="4750" spans="19:19" x14ac:dyDescent="0.3">
      <c r="S4750" s="18"/>
    </row>
    <row r="4751" spans="19:19" x14ac:dyDescent="0.3">
      <c r="S4751" s="19"/>
    </row>
    <row r="4752" spans="19:19" x14ac:dyDescent="0.3">
      <c r="S4752" s="18"/>
    </row>
    <row r="4753" spans="19:19" x14ac:dyDescent="0.3">
      <c r="S4753" s="19"/>
    </row>
    <row r="4754" spans="19:19" x14ac:dyDescent="0.3">
      <c r="S4754" s="18"/>
    </row>
    <row r="4755" spans="19:19" x14ac:dyDescent="0.3">
      <c r="S4755" s="19"/>
    </row>
    <row r="4756" spans="19:19" x14ac:dyDescent="0.3">
      <c r="S4756" s="18"/>
    </row>
    <row r="4757" spans="19:19" x14ac:dyDescent="0.3">
      <c r="S4757" s="19"/>
    </row>
    <row r="4758" spans="19:19" x14ac:dyDescent="0.3">
      <c r="S4758" s="18"/>
    </row>
    <row r="4759" spans="19:19" x14ac:dyDescent="0.3">
      <c r="S4759" s="19"/>
    </row>
    <row r="4760" spans="19:19" x14ac:dyDescent="0.3">
      <c r="S4760" s="18"/>
    </row>
    <row r="4761" spans="19:19" x14ac:dyDescent="0.3">
      <c r="S4761" s="19"/>
    </row>
    <row r="4762" spans="19:19" x14ac:dyDescent="0.3">
      <c r="S4762" s="18"/>
    </row>
    <row r="4763" spans="19:19" x14ac:dyDescent="0.3">
      <c r="S4763" s="19"/>
    </row>
    <row r="4764" spans="19:19" x14ac:dyDescent="0.3">
      <c r="S4764" s="18"/>
    </row>
    <row r="4765" spans="19:19" x14ac:dyDescent="0.3">
      <c r="S4765" s="19"/>
    </row>
    <row r="4766" spans="19:19" x14ac:dyDescent="0.3">
      <c r="S4766" s="18"/>
    </row>
    <row r="4767" spans="19:19" x14ac:dyDescent="0.3">
      <c r="S4767" s="19"/>
    </row>
    <row r="4768" spans="19:19" x14ac:dyDescent="0.3">
      <c r="S4768" s="18"/>
    </row>
    <row r="4769" spans="19:19" x14ac:dyDescent="0.3">
      <c r="S4769" s="19"/>
    </row>
    <row r="4770" spans="19:19" x14ac:dyDescent="0.3">
      <c r="S4770" s="18"/>
    </row>
    <row r="4771" spans="19:19" x14ac:dyDescent="0.3">
      <c r="S4771" s="19"/>
    </row>
    <row r="4772" spans="19:19" x14ac:dyDescent="0.3">
      <c r="S4772" s="18"/>
    </row>
    <row r="4773" spans="19:19" x14ac:dyDescent="0.3">
      <c r="S4773" s="19"/>
    </row>
    <row r="4774" spans="19:19" x14ac:dyDescent="0.3">
      <c r="S4774" s="18"/>
    </row>
    <row r="4775" spans="19:19" x14ac:dyDescent="0.3">
      <c r="S4775" s="19"/>
    </row>
    <row r="4776" spans="19:19" x14ac:dyDescent="0.3">
      <c r="S4776" s="18"/>
    </row>
    <row r="4777" spans="19:19" x14ac:dyDescent="0.3">
      <c r="S4777" s="19"/>
    </row>
    <row r="4778" spans="19:19" x14ac:dyDescent="0.3">
      <c r="S4778" s="18"/>
    </row>
    <row r="4779" spans="19:19" x14ac:dyDescent="0.3">
      <c r="S4779" s="19"/>
    </row>
    <row r="4780" spans="19:19" x14ac:dyDescent="0.3">
      <c r="S4780" s="18"/>
    </row>
    <row r="4781" spans="19:19" x14ac:dyDescent="0.3">
      <c r="S4781" s="19"/>
    </row>
    <row r="4782" spans="19:19" x14ac:dyDescent="0.3">
      <c r="S4782" s="18"/>
    </row>
    <row r="4783" spans="19:19" x14ac:dyDescent="0.3">
      <c r="S4783" s="19"/>
    </row>
    <row r="4784" spans="19:19" x14ac:dyDescent="0.3">
      <c r="S4784" s="18"/>
    </row>
    <row r="4785" spans="19:19" x14ac:dyDescent="0.3">
      <c r="S4785" s="19"/>
    </row>
    <row r="4786" spans="19:19" x14ac:dyDescent="0.3">
      <c r="S4786" s="18"/>
    </row>
    <row r="4787" spans="19:19" x14ac:dyDescent="0.3">
      <c r="S4787" s="19"/>
    </row>
    <row r="4788" spans="19:19" x14ac:dyDescent="0.3">
      <c r="S4788" s="18"/>
    </row>
    <row r="4789" spans="19:19" x14ac:dyDescent="0.3">
      <c r="S4789" s="19"/>
    </row>
    <row r="4790" spans="19:19" x14ac:dyDescent="0.3">
      <c r="S4790" s="18"/>
    </row>
    <row r="4791" spans="19:19" x14ac:dyDescent="0.3">
      <c r="S4791" s="19"/>
    </row>
    <row r="4792" spans="19:19" x14ac:dyDescent="0.3">
      <c r="S4792" s="18"/>
    </row>
    <row r="4793" spans="19:19" x14ac:dyDescent="0.3">
      <c r="S4793" s="19"/>
    </row>
    <row r="4794" spans="19:19" x14ac:dyDescent="0.3">
      <c r="S4794" s="18"/>
    </row>
    <row r="4795" spans="19:19" x14ac:dyDescent="0.3">
      <c r="S4795" s="19"/>
    </row>
    <row r="4796" spans="19:19" x14ac:dyDescent="0.3">
      <c r="S4796" s="18"/>
    </row>
    <row r="4797" spans="19:19" x14ac:dyDescent="0.3">
      <c r="S4797" s="19"/>
    </row>
    <row r="4798" spans="19:19" x14ac:dyDescent="0.3">
      <c r="S4798" s="18"/>
    </row>
    <row r="4799" spans="19:19" x14ac:dyDescent="0.3">
      <c r="S4799" s="19"/>
    </row>
    <row r="4800" spans="19:19" x14ac:dyDescent="0.3">
      <c r="S4800" s="18"/>
    </row>
    <row r="4801" spans="19:19" x14ac:dyDescent="0.3">
      <c r="S4801" s="19"/>
    </row>
    <row r="4802" spans="19:19" x14ac:dyDescent="0.3">
      <c r="S4802" s="18"/>
    </row>
    <row r="4803" spans="19:19" x14ac:dyDescent="0.3">
      <c r="S4803" s="19"/>
    </row>
    <row r="4804" spans="19:19" x14ac:dyDescent="0.3">
      <c r="S4804" s="18"/>
    </row>
    <row r="4805" spans="19:19" x14ac:dyDescent="0.3">
      <c r="S4805" s="19"/>
    </row>
    <row r="4806" spans="19:19" x14ac:dyDescent="0.3">
      <c r="S4806" s="18"/>
    </row>
    <row r="4807" spans="19:19" x14ac:dyDescent="0.3">
      <c r="S4807" s="19"/>
    </row>
    <row r="4808" spans="19:19" x14ac:dyDescent="0.3">
      <c r="S4808" s="18"/>
    </row>
    <row r="4809" spans="19:19" x14ac:dyDescent="0.3">
      <c r="S4809" s="19"/>
    </row>
    <row r="4810" spans="19:19" x14ac:dyDescent="0.3">
      <c r="S4810" s="18"/>
    </row>
    <row r="4811" spans="19:19" x14ac:dyDescent="0.3">
      <c r="S4811" s="19"/>
    </row>
    <row r="4812" spans="19:19" x14ac:dyDescent="0.3">
      <c r="S4812" s="18"/>
    </row>
    <row r="4813" spans="19:19" x14ac:dyDescent="0.3">
      <c r="S4813" s="19"/>
    </row>
    <row r="4814" spans="19:19" x14ac:dyDescent="0.3">
      <c r="S4814" s="18"/>
    </row>
    <row r="4815" spans="19:19" x14ac:dyDescent="0.3">
      <c r="S4815" s="19"/>
    </row>
    <row r="4816" spans="19:19" x14ac:dyDescent="0.3">
      <c r="S4816" s="18"/>
    </row>
    <row r="4817" spans="19:19" x14ac:dyDescent="0.3">
      <c r="S4817" s="19"/>
    </row>
    <row r="4818" spans="19:19" x14ac:dyDescent="0.3">
      <c r="S4818" s="18"/>
    </row>
    <row r="4819" spans="19:19" x14ac:dyDescent="0.3">
      <c r="S4819" s="19"/>
    </row>
    <row r="4820" spans="19:19" x14ac:dyDescent="0.3">
      <c r="S4820" s="18"/>
    </row>
    <row r="4821" spans="19:19" x14ac:dyDescent="0.3">
      <c r="S4821" s="19"/>
    </row>
    <row r="4822" spans="19:19" x14ac:dyDescent="0.3">
      <c r="S4822" s="18"/>
    </row>
    <row r="4823" spans="19:19" x14ac:dyDescent="0.3">
      <c r="S4823" s="19"/>
    </row>
    <row r="4824" spans="19:19" x14ac:dyDescent="0.3">
      <c r="S4824" s="18"/>
    </row>
    <row r="4825" spans="19:19" x14ac:dyDescent="0.3">
      <c r="S4825" s="19"/>
    </row>
    <row r="4826" spans="19:19" x14ac:dyDescent="0.3">
      <c r="S4826" s="18"/>
    </row>
    <row r="4827" spans="19:19" x14ac:dyDescent="0.3">
      <c r="S4827" s="19"/>
    </row>
    <row r="4828" spans="19:19" x14ac:dyDescent="0.3">
      <c r="S4828" s="18"/>
    </row>
    <row r="4829" spans="19:19" x14ac:dyDescent="0.3">
      <c r="S4829" s="19"/>
    </row>
    <row r="4830" spans="19:19" x14ac:dyDescent="0.3">
      <c r="S4830" s="18"/>
    </row>
    <row r="4831" spans="19:19" x14ac:dyDescent="0.3">
      <c r="S4831" s="19"/>
    </row>
    <row r="4832" spans="19:19" x14ac:dyDescent="0.3">
      <c r="S4832" s="18"/>
    </row>
    <row r="4833" spans="19:19" x14ac:dyDescent="0.3">
      <c r="S4833" s="19"/>
    </row>
    <row r="4834" spans="19:19" x14ac:dyDescent="0.3">
      <c r="S4834" s="18"/>
    </row>
    <row r="4835" spans="19:19" x14ac:dyDescent="0.3">
      <c r="S4835" s="19"/>
    </row>
    <row r="4836" spans="19:19" x14ac:dyDescent="0.3">
      <c r="S4836" s="18"/>
    </row>
    <row r="4837" spans="19:19" x14ac:dyDescent="0.3">
      <c r="S4837" s="19"/>
    </row>
    <row r="4838" spans="19:19" x14ac:dyDescent="0.3">
      <c r="S4838" s="18"/>
    </row>
    <row r="4839" spans="19:19" x14ac:dyDescent="0.3">
      <c r="S4839" s="19"/>
    </row>
    <row r="4840" spans="19:19" x14ac:dyDescent="0.3">
      <c r="S4840" s="18"/>
    </row>
    <row r="4841" spans="19:19" x14ac:dyDescent="0.3">
      <c r="S4841" s="19"/>
    </row>
    <row r="4842" spans="19:19" x14ac:dyDescent="0.3">
      <c r="S4842" s="18"/>
    </row>
    <row r="4843" spans="19:19" x14ac:dyDescent="0.3">
      <c r="S4843" s="19"/>
    </row>
    <row r="4844" spans="19:19" x14ac:dyDescent="0.3">
      <c r="S4844" s="18"/>
    </row>
    <row r="4845" spans="19:19" x14ac:dyDescent="0.3">
      <c r="S4845" s="19"/>
    </row>
    <row r="4846" spans="19:19" x14ac:dyDescent="0.3">
      <c r="S4846" s="18"/>
    </row>
    <row r="4847" spans="19:19" x14ac:dyDescent="0.3">
      <c r="S4847" s="19"/>
    </row>
    <row r="4848" spans="19:19" x14ac:dyDescent="0.3">
      <c r="S4848" s="18"/>
    </row>
    <row r="4849" spans="19:19" x14ac:dyDescent="0.3">
      <c r="S4849" s="19"/>
    </row>
    <row r="4850" spans="19:19" x14ac:dyDescent="0.3">
      <c r="S4850" s="18"/>
    </row>
    <row r="4851" spans="19:19" x14ac:dyDescent="0.3">
      <c r="S4851" s="19"/>
    </row>
    <row r="4852" spans="19:19" x14ac:dyDescent="0.3">
      <c r="S4852" s="18"/>
    </row>
    <row r="4853" spans="19:19" x14ac:dyDescent="0.3">
      <c r="S4853" s="19"/>
    </row>
    <row r="4854" spans="19:19" x14ac:dyDescent="0.3">
      <c r="S4854" s="18"/>
    </row>
    <row r="4855" spans="19:19" x14ac:dyDescent="0.3">
      <c r="S4855" s="19"/>
    </row>
    <row r="4856" spans="19:19" x14ac:dyDescent="0.3">
      <c r="S4856" s="18"/>
    </row>
    <row r="4857" spans="19:19" x14ac:dyDescent="0.3">
      <c r="S4857" s="19"/>
    </row>
    <row r="4858" spans="19:19" x14ac:dyDescent="0.3">
      <c r="S4858" s="18"/>
    </row>
    <row r="4859" spans="19:19" x14ac:dyDescent="0.3">
      <c r="S4859" s="19"/>
    </row>
    <row r="4860" spans="19:19" x14ac:dyDescent="0.3">
      <c r="S4860" s="18"/>
    </row>
    <row r="4861" spans="19:19" x14ac:dyDescent="0.3">
      <c r="S4861" s="19"/>
    </row>
    <row r="4862" spans="19:19" x14ac:dyDescent="0.3">
      <c r="S4862" s="18"/>
    </row>
    <row r="4863" spans="19:19" x14ac:dyDescent="0.3">
      <c r="S4863" s="19"/>
    </row>
    <row r="4864" spans="19:19" x14ac:dyDescent="0.3">
      <c r="S4864" s="18"/>
    </row>
    <row r="4865" spans="19:19" x14ac:dyDescent="0.3">
      <c r="S4865" s="19"/>
    </row>
    <row r="4866" spans="19:19" x14ac:dyDescent="0.3">
      <c r="S4866" s="18"/>
    </row>
    <row r="4867" spans="19:19" x14ac:dyDescent="0.3">
      <c r="S4867" s="19"/>
    </row>
    <row r="4868" spans="19:19" x14ac:dyDescent="0.3">
      <c r="S4868" s="18"/>
    </row>
    <row r="4869" spans="19:19" x14ac:dyDescent="0.3">
      <c r="S4869" s="19"/>
    </row>
    <row r="4870" spans="19:19" x14ac:dyDescent="0.3">
      <c r="S4870" s="18"/>
    </row>
    <row r="4871" spans="19:19" x14ac:dyDescent="0.3">
      <c r="S4871" s="19"/>
    </row>
    <row r="4872" spans="19:19" x14ac:dyDescent="0.3">
      <c r="S4872" s="18"/>
    </row>
    <row r="4873" spans="19:19" x14ac:dyDescent="0.3">
      <c r="S4873" s="19"/>
    </row>
    <row r="4874" spans="19:19" x14ac:dyDescent="0.3">
      <c r="S4874" s="18"/>
    </row>
    <row r="4875" spans="19:19" x14ac:dyDescent="0.3">
      <c r="S4875" s="19"/>
    </row>
    <row r="4876" spans="19:19" x14ac:dyDescent="0.3">
      <c r="S4876" s="18"/>
    </row>
    <row r="4877" spans="19:19" x14ac:dyDescent="0.3">
      <c r="S4877" s="19"/>
    </row>
    <row r="4878" spans="19:19" x14ac:dyDescent="0.3">
      <c r="S4878" s="18"/>
    </row>
    <row r="4879" spans="19:19" x14ac:dyDescent="0.3">
      <c r="S4879" s="19"/>
    </row>
    <row r="4880" spans="19:19" x14ac:dyDescent="0.3">
      <c r="S4880" s="18"/>
    </row>
    <row r="4881" spans="19:19" x14ac:dyDescent="0.3">
      <c r="S4881" s="19"/>
    </row>
    <row r="4882" spans="19:19" x14ac:dyDescent="0.3">
      <c r="S4882" s="18"/>
    </row>
    <row r="4883" spans="19:19" x14ac:dyDescent="0.3">
      <c r="S4883" s="19"/>
    </row>
    <row r="4884" spans="19:19" x14ac:dyDescent="0.3">
      <c r="S4884" s="18"/>
    </row>
    <row r="4885" spans="19:19" x14ac:dyDescent="0.3">
      <c r="S4885" s="19"/>
    </row>
    <row r="4886" spans="19:19" x14ac:dyDescent="0.3">
      <c r="S4886" s="18"/>
    </row>
    <row r="4887" spans="19:19" x14ac:dyDescent="0.3">
      <c r="S4887" s="19"/>
    </row>
    <row r="4888" spans="19:19" x14ac:dyDescent="0.3">
      <c r="S4888" s="18"/>
    </row>
    <row r="4889" spans="19:19" x14ac:dyDescent="0.3">
      <c r="S4889" s="19"/>
    </row>
    <row r="4890" spans="19:19" x14ac:dyDescent="0.3">
      <c r="S4890" s="18"/>
    </row>
    <row r="4891" spans="19:19" x14ac:dyDescent="0.3">
      <c r="S4891" s="19"/>
    </row>
    <row r="4892" spans="19:19" x14ac:dyDescent="0.3">
      <c r="S4892" s="18"/>
    </row>
    <row r="4893" spans="19:19" x14ac:dyDescent="0.3">
      <c r="S4893" s="19"/>
    </row>
    <row r="4894" spans="19:19" x14ac:dyDescent="0.3">
      <c r="S4894" s="18"/>
    </row>
    <row r="4895" spans="19:19" x14ac:dyDescent="0.3">
      <c r="S4895" s="19"/>
    </row>
    <row r="4896" spans="19:19" x14ac:dyDescent="0.3">
      <c r="S4896" s="18"/>
    </row>
    <row r="4897" spans="19:19" x14ac:dyDescent="0.3">
      <c r="S4897" s="19"/>
    </row>
    <row r="4898" spans="19:19" x14ac:dyDescent="0.3">
      <c r="S4898" s="18"/>
    </row>
    <row r="4899" spans="19:19" x14ac:dyDescent="0.3">
      <c r="S4899" s="19"/>
    </row>
    <row r="4900" spans="19:19" x14ac:dyDescent="0.3">
      <c r="S4900" s="18"/>
    </row>
    <row r="4901" spans="19:19" x14ac:dyDescent="0.3">
      <c r="S4901" s="19"/>
    </row>
    <row r="4902" spans="19:19" x14ac:dyDescent="0.3">
      <c r="S4902" s="18"/>
    </row>
    <row r="4903" spans="19:19" x14ac:dyDescent="0.3">
      <c r="S4903" s="19"/>
    </row>
    <row r="4904" spans="19:19" x14ac:dyDescent="0.3">
      <c r="S4904" s="18"/>
    </row>
    <row r="4905" spans="19:19" x14ac:dyDescent="0.3">
      <c r="S4905" s="19"/>
    </row>
    <row r="4906" spans="19:19" x14ac:dyDescent="0.3">
      <c r="S4906" s="18"/>
    </row>
    <row r="4907" spans="19:19" x14ac:dyDescent="0.3">
      <c r="S4907" s="19"/>
    </row>
    <row r="4908" spans="19:19" x14ac:dyDescent="0.3">
      <c r="S4908" s="18"/>
    </row>
    <row r="4909" spans="19:19" x14ac:dyDescent="0.3">
      <c r="S4909" s="19"/>
    </row>
    <row r="4910" spans="19:19" x14ac:dyDescent="0.3">
      <c r="S4910" s="18"/>
    </row>
    <row r="4911" spans="19:19" x14ac:dyDescent="0.3">
      <c r="S4911" s="19"/>
    </row>
    <row r="4912" spans="19:19" x14ac:dyDescent="0.3">
      <c r="S4912" s="18"/>
    </row>
    <row r="4913" spans="19:19" x14ac:dyDescent="0.3">
      <c r="S4913" s="19"/>
    </row>
    <row r="4914" spans="19:19" x14ac:dyDescent="0.3">
      <c r="S4914" s="18"/>
    </row>
    <row r="4915" spans="19:19" x14ac:dyDescent="0.3">
      <c r="S4915" s="19"/>
    </row>
    <row r="4916" spans="19:19" x14ac:dyDescent="0.3">
      <c r="S4916" s="18"/>
    </row>
    <row r="4917" spans="19:19" x14ac:dyDescent="0.3">
      <c r="S4917" s="19"/>
    </row>
    <row r="4918" spans="19:19" x14ac:dyDescent="0.3">
      <c r="S4918" s="18"/>
    </row>
    <row r="4919" spans="19:19" x14ac:dyDescent="0.3">
      <c r="S4919" s="19"/>
    </row>
    <row r="4920" spans="19:19" x14ac:dyDescent="0.3">
      <c r="S4920" s="18"/>
    </row>
    <row r="4921" spans="19:19" x14ac:dyDescent="0.3">
      <c r="S4921" s="19"/>
    </row>
    <row r="4922" spans="19:19" x14ac:dyDescent="0.3">
      <c r="S4922" s="18"/>
    </row>
    <row r="4923" spans="19:19" x14ac:dyDescent="0.3">
      <c r="S4923" s="19"/>
    </row>
    <row r="4924" spans="19:19" x14ac:dyDescent="0.3">
      <c r="S4924" s="18"/>
    </row>
    <row r="4925" spans="19:19" x14ac:dyDescent="0.3">
      <c r="S4925" s="19"/>
    </row>
    <row r="4926" spans="19:19" x14ac:dyDescent="0.3">
      <c r="S4926" s="18"/>
    </row>
    <row r="4927" spans="19:19" x14ac:dyDescent="0.3">
      <c r="S4927" s="19"/>
    </row>
    <row r="4928" spans="19:19" x14ac:dyDescent="0.3">
      <c r="S4928" s="18"/>
    </row>
    <row r="4929" spans="19:19" x14ac:dyDescent="0.3">
      <c r="S4929" s="19"/>
    </row>
    <row r="4930" spans="19:19" x14ac:dyDescent="0.3">
      <c r="S4930" s="18"/>
    </row>
    <row r="4931" spans="19:19" x14ac:dyDescent="0.3">
      <c r="S4931" s="19"/>
    </row>
    <row r="4932" spans="19:19" x14ac:dyDescent="0.3">
      <c r="S4932" s="18"/>
    </row>
    <row r="4933" spans="19:19" x14ac:dyDescent="0.3">
      <c r="S4933" s="19"/>
    </row>
    <row r="4934" spans="19:19" x14ac:dyDescent="0.3">
      <c r="S4934" s="18"/>
    </row>
    <row r="4935" spans="19:19" x14ac:dyDescent="0.3">
      <c r="S4935" s="19"/>
    </row>
    <row r="4936" spans="19:19" x14ac:dyDescent="0.3">
      <c r="S4936" s="18"/>
    </row>
    <row r="4937" spans="19:19" x14ac:dyDescent="0.3">
      <c r="S4937" s="19"/>
    </row>
    <row r="4938" spans="19:19" x14ac:dyDescent="0.3">
      <c r="S4938" s="18"/>
    </row>
    <row r="4939" spans="19:19" x14ac:dyDescent="0.3">
      <c r="S4939" s="19"/>
    </row>
    <row r="4940" spans="19:19" x14ac:dyDescent="0.3">
      <c r="S4940" s="18"/>
    </row>
    <row r="4941" spans="19:19" x14ac:dyDescent="0.3">
      <c r="S4941" s="19"/>
    </row>
    <row r="4942" spans="19:19" x14ac:dyDescent="0.3">
      <c r="S4942" s="18"/>
    </row>
    <row r="4943" spans="19:19" x14ac:dyDescent="0.3">
      <c r="S4943" s="19"/>
    </row>
    <row r="4944" spans="19:19" x14ac:dyDescent="0.3">
      <c r="S4944" s="18"/>
    </row>
    <row r="4945" spans="19:19" x14ac:dyDescent="0.3">
      <c r="S4945" s="19"/>
    </row>
    <row r="4946" spans="19:19" x14ac:dyDescent="0.3">
      <c r="S4946" s="18"/>
    </row>
    <row r="4947" spans="19:19" x14ac:dyDescent="0.3">
      <c r="S4947" s="19"/>
    </row>
    <row r="4948" spans="19:19" x14ac:dyDescent="0.3">
      <c r="S4948" s="18"/>
    </row>
    <row r="4949" spans="19:19" x14ac:dyDescent="0.3">
      <c r="S4949" s="19"/>
    </row>
    <row r="4950" spans="19:19" x14ac:dyDescent="0.3">
      <c r="S4950" s="18"/>
    </row>
    <row r="4951" spans="19:19" x14ac:dyDescent="0.3">
      <c r="S4951" s="19"/>
    </row>
    <row r="4952" spans="19:19" x14ac:dyDescent="0.3">
      <c r="S4952" s="18"/>
    </row>
    <row r="4953" spans="19:19" x14ac:dyDescent="0.3">
      <c r="S4953" s="19"/>
    </row>
    <row r="4954" spans="19:19" x14ac:dyDescent="0.3">
      <c r="S4954" s="18"/>
    </row>
    <row r="4955" spans="19:19" x14ac:dyDescent="0.3">
      <c r="S4955" s="19"/>
    </row>
    <row r="4956" spans="19:19" x14ac:dyDescent="0.3">
      <c r="S4956" s="18"/>
    </row>
    <row r="4957" spans="19:19" x14ac:dyDescent="0.3">
      <c r="S4957" s="19"/>
    </row>
    <row r="4958" spans="19:19" x14ac:dyDescent="0.3">
      <c r="S4958" s="18"/>
    </row>
    <row r="4959" spans="19:19" x14ac:dyDescent="0.3">
      <c r="S4959" s="19"/>
    </row>
    <row r="4960" spans="19:19" x14ac:dyDescent="0.3">
      <c r="S4960" s="18"/>
    </row>
    <row r="4961" spans="19:19" x14ac:dyDescent="0.3">
      <c r="S4961" s="19"/>
    </row>
    <row r="4962" spans="19:19" x14ac:dyDescent="0.3">
      <c r="S4962" s="18"/>
    </row>
    <row r="4963" spans="19:19" x14ac:dyDescent="0.3">
      <c r="S4963" s="19"/>
    </row>
    <row r="4964" spans="19:19" x14ac:dyDescent="0.3">
      <c r="S4964" s="18"/>
    </row>
    <row r="4965" spans="19:19" x14ac:dyDescent="0.3">
      <c r="S4965" s="19"/>
    </row>
    <row r="4966" spans="19:19" x14ac:dyDescent="0.3">
      <c r="S4966" s="18"/>
    </row>
    <row r="4967" spans="19:19" x14ac:dyDescent="0.3">
      <c r="S4967" s="19"/>
    </row>
    <row r="4968" spans="19:19" x14ac:dyDescent="0.3">
      <c r="S4968" s="18"/>
    </row>
    <row r="4969" spans="19:19" x14ac:dyDescent="0.3">
      <c r="S4969" s="19"/>
    </row>
    <row r="4970" spans="19:19" x14ac:dyDescent="0.3">
      <c r="S4970" s="18"/>
    </row>
    <row r="4971" spans="19:19" x14ac:dyDescent="0.3">
      <c r="S4971" s="19"/>
    </row>
    <row r="4972" spans="19:19" x14ac:dyDescent="0.3">
      <c r="S4972" s="18"/>
    </row>
    <row r="4973" spans="19:19" x14ac:dyDescent="0.3">
      <c r="S4973" s="19"/>
    </row>
    <row r="4974" spans="19:19" x14ac:dyDescent="0.3">
      <c r="S4974" s="18"/>
    </row>
    <row r="4975" spans="19:19" x14ac:dyDescent="0.3">
      <c r="S4975" s="19"/>
    </row>
    <row r="4976" spans="19:19" x14ac:dyDescent="0.3">
      <c r="S4976" s="18"/>
    </row>
    <row r="4977" spans="19:19" x14ac:dyDescent="0.3">
      <c r="S4977" s="19"/>
    </row>
    <row r="4978" spans="19:19" x14ac:dyDescent="0.3">
      <c r="S4978" s="18"/>
    </row>
    <row r="4979" spans="19:19" x14ac:dyDescent="0.3">
      <c r="S4979" s="19"/>
    </row>
    <row r="4980" spans="19:19" x14ac:dyDescent="0.3">
      <c r="S4980" s="18"/>
    </row>
    <row r="4981" spans="19:19" x14ac:dyDescent="0.3">
      <c r="S4981" s="19"/>
    </row>
    <row r="4982" spans="19:19" x14ac:dyDescent="0.3">
      <c r="S4982" s="18"/>
    </row>
    <row r="4983" spans="19:19" x14ac:dyDescent="0.3">
      <c r="S4983" s="19"/>
    </row>
    <row r="4984" spans="19:19" x14ac:dyDescent="0.3">
      <c r="S4984" s="18"/>
    </row>
    <row r="4985" spans="19:19" x14ac:dyDescent="0.3">
      <c r="S4985" s="19"/>
    </row>
    <row r="4986" spans="19:19" x14ac:dyDescent="0.3">
      <c r="S4986" s="18"/>
    </row>
    <row r="4987" spans="19:19" x14ac:dyDescent="0.3">
      <c r="S4987" s="19"/>
    </row>
    <row r="4988" spans="19:19" x14ac:dyDescent="0.3">
      <c r="S4988" s="18"/>
    </row>
    <row r="4989" spans="19:19" x14ac:dyDescent="0.3">
      <c r="S4989" s="19"/>
    </row>
    <row r="4990" spans="19:19" x14ac:dyDescent="0.3">
      <c r="S4990" s="18"/>
    </row>
    <row r="4991" spans="19:19" x14ac:dyDescent="0.3">
      <c r="S4991" s="19"/>
    </row>
    <row r="4992" spans="19:19" x14ac:dyDescent="0.3">
      <c r="S4992" s="18"/>
    </row>
    <row r="4993" spans="19:19" x14ac:dyDescent="0.3">
      <c r="S4993" s="19"/>
    </row>
    <row r="4994" spans="19:19" x14ac:dyDescent="0.3">
      <c r="S4994" s="18"/>
    </row>
    <row r="4995" spans="19:19" x14ac:dyDescent="0.3">
      <c r="S4995" s="19"/>
    </row>
    <row r="4996" spans="19:19" x14ac:dyDescent="0.3">
      <c r="S4996" s="18"/>
    </row>
    <row r="4997" spans="19:19" x14ac:dyDescent="0.3">
      <c r="S4997" s="19"/>
    </row>
    <row r="4998" spans="19:19" x14ac:dyDescent="0.3">
      <c r="S4998" s="18"/>
    </row>
    <row r="4999" spans="19:19" x14ac:dyDescent="0.3">
      <c r="S4999" s="19"/>
    </row>
    <row r="5000" spans="19:19" x14ac:dyDescent="0.3">
      <c r="S5000" s="18"/>
    </row>
    <row r="5001" spans="19:19" x14ac:dyDescent="0.3">
      <c r="S5001" s="19"/>
    </row>
    <row r="5002" spans="19:19" x14ac:dyDescent="0.3">
      <c r="S5002" s="18"/>
    </row>
    <row r="5003" spans="19:19" x14ac:dyDescent="0.3">
      <c r="S5003" s="19"/>
    </row>
    <row r="5004" spans="19:19" x14ac:dyDescent="0.3">
      <c r="S5004" s="18"/>
    </row>
    <row r="5005" spans="19:19" x14ac:dyDescent="0.3">
      <c r="S5005" s="19"/>
    </row>
    <row r="5006" spans="19:19" x14ac:dyDescent="0.3">
      <c r="S5006" s="18"/>
    </row>
    <row r="5007" spans="19:19" x14ac:dyDescent="0.3">
      <c r="S5007" s="19"/>
    </row>
    <row r="5008" spans="19:19" x14ac:dyDescent="0.3">
      <c r="S5008" s="18"/>
    </row>
    <row r="5009" spans="19:19" x14ac:dyDescent="0.3">
      <c r="S5009" s="19"/>
    </row>
    <row r="5010" spans="19:19" x14ac:dyDescent="0.3">
      <c r="S5010" s="18"/>
    </row>
    <row r="5011" spans="19:19" x14ac:dyDescent="0.3">
      <c r="S5011" s="19"/>
    </row>
    <row r="5012" spans="19:19" x14ac:dyDescent="0.3">
      <c r="S5012" s="18"/>
    </row>
    <row r="5013" spans="19:19" x14ac:dyDescent="0.3">
      <c r="S5013" s="19"/>
    </row>
    <row r="5014" spans="19:19" x14ac:dyDescent="0.3">
      <c r="S5014" s="18"/>
    </row>
    <row r="5015" spans="19:19" x14ac:dyDescent="0.3">
      <c r="S5015" s="19"/>
    </row>
    <row r="5016" spans="19:19" x14ac:dyDescent="0.3">
      <c r="S5016" s="18"/>
    </row>
    <row r="5017" spans="19:19" x14ac:dyDescent="0.3">
      <c r="S5017" s="19"/>
    </row>
    <row r="5018" spans="19:19" x14ac:dyDescent="0.3">
      <c r="S5018" s="18"/>
    </row>
    <row r="5019" spans="19:19" x14ac:dyDescent="0.3">
      <c r="S5019" s="19"/>
    </row>
    <row r="5020" spans="19:19" x14ac:dyDescent="0.3">
      <c r="S5020" s="18"/>
    </row>
    <row r="5021" spans="19:19" x14ac:dyDescent="0.3">
      <c r="S5021" s="19"/>
    </row>
    <row r="5022" spans="19:19" x14ac:dyDescent="0.3">
      <c r="S5022" s="18"/>
    </row>
    <row r="5023" spans="19:19" x14ac:dyDescent="0.3">
      <c r="S5023" s="19"/>
    </row>
    <row r="5024" spans="19:19" x14ac:dyDescent="0.3">
      <c r="S5024" s="18"/>
    </row>
    <row r="5025" spans="19:19" x14ac:dyDescent="0.3">
      <c r="S5025" s="19"/>
    </row>
    <row r="5026" spans="19:19" x14ac:dyDescent="0.3">
      <c r="S5026" s="18"/>
    </row>
    <row r="5027" spans="19:19" x14ac:dyDescent="0.3">
      <c r="S5027" s="19"/>
    </row>
    <row r="5028" spans="19:19" x14ac:dyDescent="0.3">
      <c r="S5028" s="18"/>
    </row>
    <row r="5029" spans="19:19" x14ac:dyDescent="0.3">
      <c r="S5029" s="19"/>
    </row>
    <row r="5030" spans="19:19" x14ac:dyDescent="0.3">
      <c r="S5030" s="18"/>
    </row>
    <row r="5031" spans="19:19" x14ac:dyDescent="0.3">
      <c r="S5031" s="19"/>
    </row>
    <row r="5032" spans="19:19" x14ac:dyDescent="0.3">
      <c r="S5032" s="18"/>
    </row>
    <row r="5033" spans="19:19" x14ac:dyDescent="0.3">
      <c r="S5033" s="19"/>
    </row>
    <row r="5034" spans="19:19" x14ac:dyDescent="0.3">
      <c r="S5034" s="18"/>
    </row>
    <row r="5035" spans="19:19" x14ac:dyDescent="0.3">
      <c r="S5035" s="19"/>
    </row>
    <row r="5036" spans="19:19" x14ac:dyDescent="0.3">
      <c r="S5036" s="18"/>
    </row>
    <row r="5037" spans="19:19" x14ac:dyDescent="0.3">
      <c r="S5037" s="19"/>
    </row>
    <row r="5038" spans="19:19" x14ac:dyDescent="0.3">
      <c r="S5038" s="18"/>
    </row>
    <row r="5039" spans="19:19" x14ac:dyDescent="0.3">
      <c r="S5039" s="19"/>
    </row>
    <row r="5040" spans="19:19" x14ac:dyDescent="0.3">
      <c r="S5040" s="18"/>
    </row>
    <row r="5041" spans="19:19" x14ac:dyDescent="0.3">
      <c r="S5041" s="19"/>
    </row>
    <row r="5042" spans="19:19" x14ac:dyDescent="0.3">
      <c r="S5042" s="18"/>
    </row>
    <row r="5043" spans="19:19" x14ac:dyDescent="0.3">
      <c r="S5043" s="19"/>
    </row>
    <row r="5044" spans="19:19" x14ac:dyDescent="0.3">
      <c r="S5044" s="18"/>
    </row>
    <row r="5045" spans="19:19" x14ac:dyDescent="0.3">
      <c r="S5045" s="19"/>
    </row>
    <row r="5046" spans="19:19" x14ac:dyDescent="0.3">
      <c r="S5046" s="18"/>
    </row>
    <row r="5047" spans="19:19" x14ac:dyDescent="0.3">
      <c r="S5047" s="19"/>
    </row>
    <row r="5048" spans="19:19" x14ac:dyDescent="0.3">
      <c r="S5048" s="18"/>
    </row>
    <row r="5049" spans="19:19" x14ac:dyDescent="0.3">
      <c r="S5049" s="19"/>
    </row>
    <row r="5050" spans="19:19" x14ac:dyDescent="0.3">
      <c r="S5050" s="18"/>
    </row>
    <row r="5051" spans="19:19" x14ac:dyDescent="0.3">
      <c r="S5051" s="19"/>
    </row>
    <row r="5052" spans="19:19" x14ac:dyDescent="0.3">
      <c r="S5052" s="18"/>
    </row>
    <row r="5053" spans="19:19" x14ac:dyDescent="0.3">
      <c r="S5053" s="19"/>
    </row>
    <row r="5054" spans="19:19" x14ac:dyDescent="0.3">
      <c r="S5054" s="18"/>
    </row>
    <row r="5055" spans="19:19" x14ac:dyDescent="0.3">
      <c r="S5055" s="19"/>
    </row>
    <row r="5056" spans="19:19" x14ac:dyDescent="0.3">
      <c r="S5056" s="18"/>
    </row>
    <row r="5057" spans="19:19" x14ac:dyDescent="0.3">
      <c r="S5057" s="19"/>
    </row>
    <row r="5058" spans="19:19" x14ac:dyDescent="0.3">
      <c r="S5058" s="18"/>
    </row>
    <row r="5059" spans="19:19" x14ac:dyDescent="0.3">
      <c r="S5059" s="19"/>
    </row>
    <row r="5060" spans="19:19" x14ac:dyDescent="0.3">
      <c r="S5060" s="18"/>
    </row>
    <row r="5061" spans="19:19" x14ac:dyDescent="0.3">
      <c r="S5061" s="19"/>
    </row>
    <row r="5062" spans="19:19" x14ac:dyDescent="0.3">
      <c r="S5062" s="18"/>
    </row>
    <row r="5063" spans="19:19" x14ac:dyDescent="0.3">
      <c r="S5063" s="19"/>
    </row>
    <row r="5064" spans="19:19" x14ac:dyDescent="0.3">
      <c r="S5064" s="18"/>
    </row>
    <row r="5065" spans="19:19" x14ac:dyDescent="0.3">
      <c r="S5065" s="19"/>
    </row>
    <row r="5066" spans="19:19" x14ac:dyDescent="0.3">
      <c r="S5066" s="18"/>
    </row>
    <row r="5067" spans="19:19" x14ac:dyDescent="0.3">
      <c r="S5067" s="19"/>
    </row>
    <row r="5068" spans="19:19" x14ac:dyDescent="0.3">
      <c r="S5068" s="18"/>
    </row>
    <row r="5069" spans="19:19" x14ac:dyDescent="0.3">
      <c r="S5069" s="19"/>
    </row>
    <row r="5070" spans="19:19" x14ac:dyDescent="0.3">
      <c r="S5070" s="18"/>
    </row>
    <row r="5071" spans="19:19" x14ac:dyDescent="0.3">
      <c r="S5071" s="19"/>
    </row>
    <row r="5072" spans="19:19" x14ac:dyDescent="0.3">
      <c r="S5072" s="18"/>
    </row>
    <row r="5073" spans="19:19" x14ac:dyDescent="0.3">
      <c r="S5073" s="19"/>
    </row>
    <row r="5074" spans="19:19" x14ac:dyDescent="0.3">
      <c r="S5074" s="18"/>
    </row>
    <row r="5075" spans="19:19" x14ac:dyDescent="0.3">
      <c r="S5075" s="19"/>
    </row>
    <row r="5076" spans="19:19" x14ac:dyDescent="0.3">
      <c r="S5076" s="18"/>
    </row>
    <row r="5077" spans="19:19" x14ac:dyDescent="0.3">
      <c r="S5077" s="19"/>
    </row>
    <row r="5078" spans="19:19" x14ac:dyDescent="0.3">
      <c r="S5078" s="18"/>
    </row>
    <row r="5079" spans="19:19" x14ac:dyDescent="0.3">
      <c r="S5079" s="19"/>
    </row>
    <row r="5080" spans="19:19" x14ac:dyDescent="0.3">
      <c r="S5080" s="18"/>
    </row>
    <row r="5081" spans="19:19" x14ac:dyDescent="0.3">
      <c r="S5081" s="19"/>
    </row>
    <row r="5082" spans="19:19" x14ac:dyDescent="0.3">
      <c r="S5082" s="18"/>
    </row>
    <row r="5083" spans="19:19" x14ac:dyDescent="0.3">
      <c r="S5083" s="19"/>
    </row>
    <row r="5084" spans="19:19" x14ac:dyDescent="0.3">
      <c r="S5084" s="18"/>
    </row>
    <row r="5085" spans="19:19" x14ac:dyDescent="0.3">
      <c r="S5085" s="19"/>
    </row>
    <row r="5086" spans="19:19" x14ac:dyDescent="0.3">
      <c r="S5086" s="18"/>
    </row>
    <row r="5087" spans="19:19" x14ac:dyDescent="0.3">
      <c r="S5087" s="19"/>
    </row>
    <row r="5088" spans="19:19" x14ac:dyDescent="0.3">
      <c r="S5088" s="18"/>
    </row>
    <row r="5089" spans="19:19" x14ac:dyDescent="0.3">
      <c r="S5089" s="19"/>
    </row>
    <row r="5090" spans="19:19" x14ac:dyDescent="0.3">
      <c r="S5090" s="18"/>
    </row>
    <row r="5091" spans="19:19" x14ac:dyDescent="0.3">
      <c r="S5091" s="19"/>
    </row>
    <row r="5092" spans="19:19" x14ac:dyDescent="0.3">
      <c r="S5092" s="18"/>
    </row>
    <row r="5093" spans="19:19" x14ac:dyDescent="0.3">
      <c r="S5093" s="19"/>
    </row>
    <row r="5094" spans="19:19" x14ac:dyDescent="0.3">
      <c r="S5094" s="18"/>
    </row>
    <row r="5095" spans="19:19" x14ac:dyDescent="0.3">
      <c r="S5095" s="19"/>
    </row>
    <row r="5096" spans="19:19" x14ac:dyDescent="0.3">
      <c r="S5096" s="18"/>
    </row>
    <row r="5097" spans="19:19" x14ac:dyDescent="0.3">
      <c r="S5097" s="19"/>
    </row>
    <row r="5098" spans="19:19" x14ac:dyDescent="0.3">
      <c r="S5098" s="18"/>
    </row>
    <row r="5099" spans="19:19" x14ac:dyDescent="0.3">
      <c r="S5099" s="19"/>
    </row>
    <row r="5100" spans="19:19" x14ac:dyDescent="0.3">
      <c r="S5100" s="18"/>
    </row>
    <row r="5101" spans="19:19" x14ac:dyDescent="0.3">
      <c r="S5101" s="19"/>
    </row>
    <row r="5102" spans="19:19" x14ac:dyDescent="0.3">
      <c r="S5102" s="18"/>
    </row>
    <row r="5103" spans="19:19" x14ac:dyDescent="0.3">
      <c r="S5103" s="19"/>
    </row>
    <row r="5104" spans="19:19" x14ac:dyDescent="0.3">
      <c r="S5104" s="18"/>
    </row>
    <row r="5105" spans="19:19" x14ac:dyDescent="0.3">
      <c r="S5105" s="19"/>
    </row>
    <row r="5106" spans="19:19" x14ac:dyDescent="0.3">
      <c r="S5106" s="18"/>
    </row>
    <row r="5107" spans="19:19" x14ac:dyDescent="0.3">
      <c r="S5107" s="19"/>
    </row>
    <row r="5108" spans="19:19" x14ac:dyDescent="0.3">
      <c r="S5108" s="18"/>
    </row>
    <row r="5109" spans="19:19" x14ac:dyDescent="0.3">
      <c r="S5109" s="19"/>
    </row>
    <row r="5110" spans="19:19" x14ac:dyDescent="0.3">
      <c r="S5110" s="18"/>
    </row>
    <row r="5111" spans="19:19" x14ac:dyDescent="0.3">
      <c r="S5111" s="19"/>
    </row>
    <row r="5112" spans="19:19" x14ac:dyDescent="0.3">
      <c r="S5112" s="18"/>
    </row>
    <row r="5113" spans="19:19" x14ac:dyDescent="0.3">
      <c r="S5113" s="19"/>
    </row>
    <row r="5114" spans="19:19" x14ac:dyDescent="0.3">
      <c r="S5114" s="18"/>
    </row>
    <row r="5115" spans="19:19" x14ac:dyDescent="0.3">
      <c r="S5115" s="19"/>
    </row>
    <row r="5116" spans="19:19" x14ac:dyDescent="0.3">
      <c r="S5116" s="18"/>
    </row>
    <row r="5117" spans="19:19" x14ac:dyDescent="0.3">
      <c r="S5117" s="19"/>
    </row>
    <row r="5118" spans="19:19" x14ac:dyDescent="0.3">
      <c r="S5118" s="18"/>
    </row>
    <row r="5119" spans="19:19" x14ac:dyDescent="0.3">
      <c r="S5119" s="19"/>
    </row>
    <row r="5120" spans="19:19" x14ac:dyDescent="0.3">
      <c r="S5120" s="18"/>
    </row>
    <row r="5121" spans="19:19" x14ac:dyDescent="0.3">
      <c r="S5121" s="19"/>
    </row>
    <row r="5122" spans="19:19" x14ac:dyDescent="0.3">
      <c r="S5122" s="18"/>
    </row>
    <row r="5123" spans="19:19" x14ac:dyDescent="0.3">
      <c r="S5123" s="19"/>
    </row>
    <row r="5124" spans="19:19" x14ac:dyDescent="0.3">
      <c r="S5124" s="18"/>
    </row>
    <row r="5125" spans="19:19" x14ac:dyDescent="0.3">
      <c r="S5125" s="19"/>
    </row>
    <row r="5126" spans="19:19" x14ac:dyDescent="0.3">
      <c r="S5126" s="18"/>
    </row>
    <row r="5127" spans="19:19" x14ac:dyDescent="0.3">
      <c r="S5127" s="19"/>
    </row>
    <row r="5128" spans="19:19" x14ac:dyDescent="0.3">
      <c r="S5128" s="18"/>
    </row>
    <row r="5129" spans="19:19" x14ac:dyDescent="0.3">
      <c r="S5129" s="19"/>
    </row>
    <row r="5130" spans="19:19" x14ac:dyDescent="0.3">
      <c r="S5130" s="18"/>
    </row>
    <row r="5131" spans="19:19" x14ac:dyDescent="0.3">
      <c r="S5131" s="19"/>
    </row>
    <row r="5132" spans="19:19" x14ac:dyDescent="0.3">
      <c r="S5132" s="18"/>
    </row>
    <row r="5133" spans="19:19" x14ac:dyDescent="0.3">
      <c r="S5133" s="19"/>
    </row>
    <row r="5134" spans="19:19" x14ac:dyDescent="0.3">
      <c r="S5134" s="18"/>
    </row>
    <row r="5135" spans="19:19" x14ac:dyDescent="0.3">
      <c r="S5135" s="19"/>
    </row>
    <row r="5136" spans="19:19" x14ac:dyDescent="0.3">
      <c r="S5136" s="18"/>
    </row>
    <row r="5137" spans="19:19" x14ac:dyDescent="0.3">
      <c r="S5137" s="19"/>
    </row>
    <row r="5138" spans="19:19" x14ac:dyDescent="0.3">
      <c r="S5138" s="18"/>
    </row>
    <row r="5139" spans="19:19" x14ac:dyDescent="0.3">
      <c r="S5139" s="19"/>
    </row>
    <row r="5140" spans="19:19" x14ac:dyDescent="0.3">
      <c r="S5140" s="18"/>
    </row>
    <row r="5141" spans="19:19" x14ac:dyDescent="0.3">
      <c r="S5141" s="19"/>
    </row>
    <row r="5142" spans="19:19" x14ac:dyDescent="0.3">
      <c r="S5142" s="18"/>
    </row>
    <row r="5143" spans="19:19" x14ac:dyDescent="0.3">
      <c r="S5143" s="19"/>
    </row>
    <row r="5144" spans="19:19" x14ac:dyDescent="0.3">
      <c r="S5144" s="18"/>
    </row>
    <row r="5145" spans="19:19" x14ac:dyDescent="0.3">
      <c r="S5145" s="19"/>
    </row>
    <row r="5146" spans="19:19" x14ac:dyDescent="0.3">
      <c r="S5146" s="18"/>
    </row>
    <row r="5147" spans="19:19" x14ac:dyDescent="0.3">
      <c r="S5147" s="19"/>
    </row>
    <row r="5148" spans="19:19" x14ac:dyDescent="0.3">
      <c r="S5148" s="18"/>
    </row>
    <row r="5149" spans="19:19" x14ac:dyDescent="0.3">
      <c r="S5149" s="19"/>
    </row>
    <row r="5150" spans="19:19" x14ac:dyDescent="0.3">
      <c r="S5150" s="18"/>
    </row>
    <row r="5151" spans="19:19" x14ac:dyDescent="0.3">
      <c r="S5151" s="19"/>
    </row>
    <row r="5152" spans="19:19" x14ac:dyDescent="0.3">
      <c r="S5152" s="18"/>
    </row>
    <row r="5153" spans="19:19" x14ac:dyDescent="0.3">
      <c r="S5153" s="19"/>
    </row>
    <row r="5154" spans="19:19" x14ac:dyDescent="0.3">
      <c r="S5154" s="18"/>
    </row>
    <row r="5155" spans="19:19" x14ac:dyDescent="0.3">
      <c r="S5155" s="19"/>
    </row>
    <row r="5156" spans="19:19" x14ac:dyDescent="0.3">
      <c r="S5156" s="18"/>
    </row>
    <row r="5157" spans="19:19" x14ac:dyDescent="0.3">
      <c r="S5157" s="19"/>
    </row>
    <row r="5158" spans="19:19" x14ac:dyDescent="0.3">
      <c r="S5158" s="18"/>
    </row>
    <row r="5159" spans="19:19" x14ac:dyDescent="0.3">
      <c r="S5159" s="19"/>
    </row>
    <row r="5160" spans="19:19" x14ac:dyDescent="0.3">
      <c r="S5160" s="18"/>
    </row>
    <row r="5161" spans="19:19" x14ac:dyDescent="0.3">
      <c r="S5161" s="19"/>
    </row>
    <row r="5162" spans="19:19" x14ac:dyDescent="0.3">
      <c r="S5162" s="18"/>
    </row>
    <row r="5163" spans="19:19" x14ac:dyDescent="0.3">
      <c r="S5163" s="19"/>
    </row>
    <row r="5164" spans="19:19" x14ac:dyDescent="0.3">
      <c r="S5164" s="18"/>
    </row>
    <row r="5165" spans="19:19" x14ac:dyDescent="0.3">
      <c r="S5165" s="19"/>
    </row>
    <row r="5166" spans="19:19" x14ac:dyDescent="0.3">
      <c r="S5166" s="18"/>
    </row>
    <row r="5167" spans="19:19" x14ac:dyDescent="0.3">
      <c r="S5167" s="19"/>
    </row>
    <row r="5168" spans="19:19" x14ac:dyDescent="0.3">
      <c r="S5168" s="18"/>
    </row>
    <row r="5169" spans="19:19" x14ac:dyDescent="0.3">
      <c r="S5169" s="19"/>
    </row>
    <row r="5170" spans="19:19" x14ac:dyDescent="0.3">
      <c r="S5170" s="18"/>
    </row>
    <row r="5171" spans="19:19" x14ac:dyDescent="0.3">
      <c r="S5171" s="19"/>
    </row>
    <row r="5172" spans="19:19" x14ac:dyDescent="0.3">
      <c r="S5172" s="18"/>
    </row>
    <row r="5173" spans="19:19" x14ac:dyDescent="0.3">
      <c r="S5173" s="19"/>
    </row>
    <row r="5174" spans="19:19" x14ac:dyDescent="0.3">
      <c r="S5174" s="18"/>
    </row>
    <row r="5175" spans="19:19" x14ac:dyDescent="0.3">
      <c r="S5175" s="19"/>
    </row>
    <row r="5176" spans="19:19" x14ac:dyDescent="0.3">
      <c r="S5176" s="18"/>
    </row>
    <row r="5177" spans="19:19" x14ac:dyDescent="0.3">
      <c r="S5177" s="19"/>
    </row>
    <row r="5178" spans="19:19" x14ac:dyDescent="0.3">
      <c r="S5178" s="18"/>
    </row>
    <row r="5179" spans="19:19" x14ac:dyDescent="0.3">
      <c r="S5179" s="19"/>
    </row>
    <row r="5180" spans="19:19" x14ac:dyDescent="0.3">
      <c r="S5180" s="18"/>
    </row>
    <row r="5181" spans="19:19" x14ac:dyDescent="0.3">
      <c r="S5181" s="19"/>
    </row>
    <row r="5182" spans="19:19" x14ac:dyDescent="0.3">
      <c r="S5182" s="18"/>
    </row>
    <row r="5183" spans="19:19" x14ac:dyDescent="0.3">
      <c r="S5183" s="19"/>
    </row>
    <row r="5184" spans="19:19" x14ac:dyDescent="0.3">
      <c r="S5184" s="18"/>
    </row>
    <row r="5185" spans="19:19" x14ac:dyDescent="0.3">
      <c r="S5185" s="19"/>
    </row>
    <row r="5186" spans="19:19" x14ac:dyDescent="0.3">
      <c r="S5186" s="18"/>
    </row>
    <row r="5187" spans="19:19" x14ac:dyDescent="0.3">
      <c r="S5187" s="19"/>
    </row>
    <row r="5188" spans="19:19" x14ac:dyDescent="0.3">
      <c r="S5188" s="18"/>
    </row>
    <row r="5189" spans="19:19" x14ac:dyDescent="0.3">
      <c r="S5189" s="19"/>
    </row>
    <row r="5190" spans="19:19" x14ac:dyDescent="0.3">
      <c r="S5190" s="18"/>
    </row>
    <row r="5191" spans="19:19" x14ac:dyDescent="0.3">
      <c r="S5191" s="19"/>
    </row>
    <row r="5192" spans="19:19" x14ac:dyDescent="0.3">
      <c r="S5192" s="18"/>
    </row>
    <row r="5193" spans="19:19" x14ac:dyDescent="0.3">
      <c r="S5193" s="19"/>
    </row>
    <row r="5194" spans="19:19" x14ac:dyDescent="0.3">
      <c r="S5194" s="18"/>
    </row>
    <row r="5195" spans="19:19" x14ac:dyDescent="0.3">
      <c r="S5195" s="19"/>
    </row>
    <row r="5196" spans="19:19" x14ac:dyDescent="0.3">
      <c r="S5196" s="18"/>
    </row>
    <row r="5197" spans="19:19" x14ac:dyDescent="0.3">
      <c r="S5197" s="19"/>
    </row>
    <row r="5198" spans="19:19" x14ac:dyDescent="0.3">
      <c r="S5198" s="18"/>
    </row>
    <row r="5199" spans="19:19" x14ac:dyDescent="0.3">
      <c r="S5199" s="19"/>
    </row>
    <row r="5200" spans="19:19" x14ac:dyDescent="0.3">
      <c r="S5200" s="18"/>
    </row>
    <row r="5201" spans="19:19" x14ac:dyDescent="0.3">
      <c r="S5201" s="19"/>
    </row>
    <row r="5202" spans="19:19" x14ac:dyDescent="0.3">
      <c r="S5202" s="18"/>
    </row>
    <row r="5203" spans="19:19" x14ac:dyDescent="0.3">
      <c r="S5203" s="19"/>
    </row>
    <row r="5204" spans="19:19" x14ac:dyDescent="0.3">
      <c r="S5204" s="18"/>
    </row>
    <row r="5205" spans="19:19" x14ac:dyDescent="0.3">
      <c r="S5205" s="19"/>
    </row>
    <row r="5206" spans="19:19" x14ac:dyDescent="0.3">
      <c r="S5206" s="18"/>
    </row>
    <row r="5207" spans="19:19" x14ac:dyDescent="0.3">
      <c r="S5207" s="19"/>
    </row>
    <row r="5208" spans="19:19" x14ac:dyDescent="0.3">
      <c r="S5208" s="18"/>
    </row>
    <row r="5209" spans="19:19" x14ac:dyDescent="0.3">
      <c r="S5209" s="19"/>
    </row>
    <row r="5210" spans="19:19" x14ac:dyDescent="0.3">
      <c r="S5210" s="18"/>
    </row>
    <row r="5211" spans="19:19" x14ac:dyDescent="0.3">
      <c r="S5211" s="19"/>
    </row>
    <row r="5212" spans="19:19" x14ac:dyDescent="0.3">
      <c r="S5212" s="18"/>
    </row>
    <row r="5213" spans="19:19" x14ac:dyDescent="0.3">
      <c r="S5213" s="19"/>
    </row>
    <row r="5214" spans="19:19" x14ac:dyDescent="0.3">
      <c r="S5214" s="18"/>
    </row>
    <row r="5215" spans="19:19" x14ac:dyDescent="0.3">
      <c r="S5215" s="19"/>
    </row>
    <row r="5216" spans="19:19" x14ac:dyDescent="0.3">
      <c r="S5216" s="18"/>
    </row>
    <row r="5217" spans="19:19" x14ac:dyDescent="0.3">
      <c r="S5217" s="19"/>
    </row>
    <row r="5218" spans="19:19" x14ac:dyDescent="0.3">
      <c r="S5218" s="18"/>
    </row>
    <row r="5219" spans="19:19" x14ac:dyDescent="0.3">
      <c r="S5219" s="19"/>
    </row>
    <row r="5220" spans="19:19" x14ac:dyDescent="0.3">
      <c r="S5220" s="18"/>
    </row>
    <row r="5221" spans="19:19" x14ac:dyDescent="0.3">
      <c r="S5221" s="19"/>
    </row>
    <row r="5222" spans="19:19" x14ac:dyDescent="0.3">
      <c r="S5222" s="18"/>
    </row>
    <row r="5223" spans="19:19" x14ac:dyDescent="0.3">
      <c r="S5223" s="19"/>
    </row>
    <row r="5224" spans="19:19" x14ac:dyDescent="0.3">
      <c r="S5224" s="18"/>
    </row>
    <row r="5225" spans="19:19" x14ac:dyDescent="0.3">
      <c r="S5225" s="19"/>
    </row>
    <row r="5226" spans="19:19" x14ac:dyDescent="0.3">
      <c r="S5226" s="18"/>
    </row>
    <row r="5227" spans="19:19" x14ac:dyDescent="0.3">
      <c r="S5227" s="19"/>
    </row>
    <row r="5228" spans="19:19" x14ac:dyDescent="0.3">
      <c r="S5228" s="18"/>
    </row>
    <row r="5229" spans="19:19" x14ac:dyDescent="0.3">
      <c r="S5229" s="19"/>
    </row>
    <row r="5230" spans="19:19" x14ac:dyDescent="0.3">
      <c r="S5230" s="18"/>
    </row>
    <row r="5231" spans="19:19" x14ac:dyDescent="0.3">
      <c r="S5231" s="19"/>
    </row>
    <row r="5232" spans="19:19" x14ac:dyDescent="0.3">
      <c r="S5232" s="18"/>
    </row>
    <row r="5233" spans="19:19" x14ac:dyDescent="0.3">
      <c r="S5233" s="19"/>
    </row>
    <row r="5234" spans="19:19" x14ac:dyDescent="0.3">
      <c r="S5234" s="18"/>
    </row>
    <row r="5235" spans="19:19" x14ac:dyDescent="0.3">
      <c r="S5235" s="19"/>
    </row>
    <row r="5236" spans="19:19" x14ac:dyDescent="0.3">
      <c r="S5236" s="18"/>
    </row>
    <row r="5237" spans="19:19" x14ac:dyDescent="0.3">
      <c r="S5237" s="19"/>
    </row>
    <row r="5238" spans="19:19" x14ac:dyDescent="0.3">
      <c r="S5238" s="18"/>
    </row>
    <row r="5239" spans="19:19" x14ac:dyDescent="0.3">
      <c r="S5239" s="19"/>
    </row>
    <row r="5240" spans="19:19" x14ac:dyDescent="0.3">
      <c r="S5240" s="18"/>
    </row>
    <row r="5241" spans="19:19" x14ac:dyDescent="0.3">
      <c r="S5241" s="19"/>
    </row>
    <row r="5242" spans="19:19" x14ac:dyDescent="0.3">
      <c r="S5242" s="18"/>
    </row>
    <row r="5243" spans="19:19" x14ac:dyDescent="0.3">
      <c r="S5243" s="19"/>
    </row>
    <row r="5244" spans="19:19" x14ac:dyDescent="0.3">
      <c r="S5244" s="18"/>
    </row>
    <row r="5245" spans="19:19" x14ac:dyDescent="0.3">
      <c r="S5245" s="19"/>
    </row>
    <row r="5246" spans="19:19" x14ac:dyDescent="0.3">
      <c r="S5246" s="18"/>
    </row>
    <row r="5247" spans="19:19" x14ac:dyDescent="0.3">
      <c r="S5247" s="19"/>
    </row>
    <row r="5248" spans="19:19" x14ac:dyDescent="0.3">
      <c r="S5248" s="18"/>
    </row>
    <row r="5249" spans="19:19" x14ac:dyDescent="0.3">
      <c r="S5249" s="19"/>
    </row>
    <row r="5250" spans="19:19" x14ac:dyDescent="0.3">
      <c r="S5250" s="18"/>
    </row>
    <row r="5251" spans="19:19" x14ac:dyDescent="0.3">
      <c r="S5251" s="19"/>
    </row>
    <row r="5252" spans="19:19" x14ac:dyDescent="0.3">
      <c r="S5252" s="18"/>
    </row>
    <row r="5253" spans="19:19" x14ac:dyDescent="0.3">
      <c r="S5253" s="19"/>
    </row>
    <row r="5254" spans="19:19" x14ac:dyDescent="0.3">
      <c r="S5254" s="18"/>
    </row>
    <row r="5255" spans="19:19" x14ac:dyDescent="0.3">
      <c r="S5255" s="19"/>
    </row>
    <row r="5256" spans="19:19" x14ac:dyDescent="0.3">
      <c r="S5256" s="18"/>
    </row>
    <row r="5257" spans="19:19" x14ac:dyDescent="0.3">
      <c r="S5257" s="19"/>
    </row>
    <row r="5258" spans="19:19" x14ac:dyDescent="0.3">
      <c r="S5258" s="18"/>
    </row>
    <row r="5259" spans="19:19" x14ac:dyDescent="0.3">
      <c r="S5259" s="19"/>
    </row>
    <row r="5260" spans="19:19" x14ac:dyDescent="0.3">
      <c r="S5260" s="18"/>
    </row>
    <row r="5261" spans="19:19" x14ac:dyDescent="0.3">
      <c r="S5261" s="19"/>
    </row>
    <row r="5262" spans="19:19" x14ac:dyDescent="0.3">
      <c r="S5262" s="18"/>
    </row>
    <row r="5263" spans="19:19" x14ac:dyDescent="0.3">
      <c r="S5263" s="19"/>
    </row>
    <row r="5264" spans="19:19" x14ac:dyDescent="0.3">
      <c r="S5264" s="18"/>
    </row>
    <row r="5265" spans="19:19" x14ac:dyDescent="0.3">
      <c r="S5265" s="19"/>
    </row>
    <row r="5266" spans="19:19" x14ac:dyDescent="0.3">
      <c r="S5266" s="18"/>
    </row>
    <row r="5267" spans="19:19" x14ac:dyDescent="0.3">
      <c r="S5267" s="19"/>
    </row>
    <row r="5268" spans="19:19" x14ac:dyDescent="0.3">
      <c r="S5268" s="18"/>
    </row>
    <row r="5269" spans="19:19" x14ac:dyDescent="0.3">
      <c r="S5269" s="19"/>
    </row>
    <row r="5270" spans="19:19" x14ac:dyDescent="0.3">
      <c r="S5270" s="18"/>
    </row>
    <row r="5271" spans="19:19" x14ac:dyDescent="0.3">
      <c r="S5271" s="19"/>
    </row>
    <row r="5272" spans="19:19" x14ac:dyDescent="0.3">
      <c r="S5272" s="18"/>
    </row>
    <row r="5273" spans="19:19" x14ac:dyDescent="0.3">
      <c r="S5273" s="19"/>
    </row>
    <row r="5274" spans="19:19" x14ac:dyDescent="0.3">
      <c r="S5274" s="18"/>
    </row>
    <row r="5275" spans="19:19" x14ac:dyDescent="0.3">
      <c r="S5275" s="19"/>
    </row>
    <row r="5276" spans="19:19" x14ac:dyDescent="0.3">
      <c r="S5276" s="18"/>
    </row>
    <row r="5277" spans="19:19" x14ac:dyDescent="0.3">
      <c r="S5277" s="19"/>
    </row>
    <row r="5278" spans="19:19" x14ac:dyDescent="0.3">
      <c r="S5278" s="18"/>
    </row>
    <row r="5279" spans="19:19" x14ac:dyDescent="0.3">
      <c r="S5279" s="19"/>
    </row>
    <row r="5280" spans="19:19" x14ac:dyDescent="0.3">
      <c r="S5280" s="18"/>
    </row>
    <row r="5281" spans="19:19" x14ac:dyDescent="0.3">
      <c r="S5281" s="19"/>
    </row>
    <row r="5282" spans="19:19" x14ac:dyDescent="0.3">
      <c r="S5282" s="18"/>
    </row>
    <row r="5283" spans="19:19" x14ac:dyDescent="0.3">
      <c r="S5283" s="19"/>
    </row>
    <row r="5284" spans="19:19" x14ac:dyDescent="0.3">
      <c r="S5284" s="18"/>
    </row>
    <row r="5285" spans="19:19" x14ac:dyDescent="0.3">
      <c r="S5285" s="19"/>
    </row>
    <row r="5286" spans="19:19" x14ac:dyDescent="0.3">
      <c r="S5286" s="18"/>
    </row>
    <row r="5287" spans="19:19" x14ac:dyDescent="0.3">
      <c r="S5287" s="19"/>
    </row>
    <row r="5288" spans="19:19" x14ac:dyDescent="0.3">
      <c r="S5288" s="18"/>
    </row>
    <row r="5289" spans="19:19" x14ac:dyDescent="0.3">
      <c r="S5289" s="19"/>
    </row>
    <row r="5290" spans="19:19" x14ac:dyDescent="0.3">
      <c r="S5290" s="18"/>
    </row>
    <row r="5291" spans="19:19" x14ac:dyDescent="0.3">
      <c r="S5291" s="19"/>
    </row>
    <row r="5292" spans="19:19" x14ac:dyDescent="0.3">
      <c r="S5292" s="18"/>
    </row>
    <row r="5293" spans="19:19" x14ac:dyDescent="0.3">
      <c r="S5293" s="19"/>
    </row>
    <row r="5294" spans="19:19" x14ac:dyDescent="0.3">
      <c r="S5294" s="18"/>
    </row>
    <row r="5295" spans="19:19" x14ac:dyDescent="0.3">
      <c r="S5295" s="19"/>
    </row>
    <row r="5296" spans="19:19" x14ac:dyDescent="0.3">
      <c r="S5296" s="18"/>
    </row>
    <row r="5297" spans="19:19" x14ac:dyDescent="0.3">
      <c r="S5297" s="19"/>
    </row>
    <row r="5298" spans="19:19" x14ac:dyDescent="0.3">
      <c r="S5298" s="18"/>
    </row>
    <row r="5299" spans="19:19" x14ac:dyDescent="0.3">
      <c r="S5299" s="19"/>
    </row>
    <row r="5300" spans="19:19" x14ac:dyDescent="0.3">
      <c r="S5300" s="18"/>
    </row>
    <row r="5301" spans="19:19" x14ac:dyDescent="0.3">
      <c r="S5301" s="19"/>
    </row>
    <row r="5302" spans="19:19" x14ac:dyDescent="0.3">
      <c r="S5302" s="18"/>
    </row>
    <row r="5303" spans="19:19" x14ac:dyDescent="0.3">
      <c r="S5303" s="19"/>
    </row>
    <row r="5304" spans="19:19" x14ac:dyDescent="0.3">
      <c r="S5304" s="18"/>
    </row>
    <row r="5305" spans="19:19" x14ac:dyDescent="0.3">
      <c r="S5305" s="19"/>
    </row>
    <row r="5306" spans="19:19" x14ac:dyDescent="0.3">
      <c r="S5306" s="18"/>
    </row>
    <row r="5307" spans="19:19" x14ac:dyDescent="0.3">
      <c r="S5307" s="19"/>
    </row>
    <row r="5308" spans="19:19" x14ac:dyDescent="0.3">
      <c r="S5308" s="18"/>
    </row>
    <row r="5309" spans="19:19" x14ac:dyDescent="0.3">
      <c r="S5309" s="19"/>
    </row>
    <row r="5310" spans="19:19" x14ac:dyDescent="0.3">
      <c r="S5310" s="18"/>
    </row>
    <row r="5311" spans="19:19" x14ac:dyDescent="0.3">
      <c r="S5311" s="19"/>
    </row>
    <row r="5312" spans="19:19" x14ac:dyDescent="0.3">
      <c r="S5312" s="18"/>
    </row>
    <row r="5313" spans="19:19" x14ac:dyDescent="0.3">
      <c r="S5313" s="19"/>
    </row>
    <row r="5314" spans="19:19" x14ac:dyDescent="0.3">
      <c r="S5314" s="18"/>
    </row>
    <row r="5315" spans="19:19" x14ac:dyDescent="0.3">
      <c r="S5315" s="19"/>
    </row>
    <row r="5316" spans="19:19" x14ac:dyDescent="0.3">
      <c r="S5316" s="18"/>
    </row>
    <row r="5317" spans="19:19" x14ac:dyDescent="0.3">
      <c r="S5317" s="19"/>
    </row>
    <row r="5318" spans="19:19" x14ac:dyDescent="0.3">
      <c r="S5318" s="18"/>
    </row>
    <row r="5319" spans="19:19" x14ac:dyDescent="0.3">
      <c r="S5319" s="19"/>
    </row>
    <row r="5320" spans="19:19" x14ac:dyDescent="0.3">
      <c r="S5320" s="18"/>
    </row>
    <row r="5321" spans="19:19" x14ac:dyDescent="0.3">
      <c r="S5321" s="19"/>
    </row>
    <row r="5322" spans="19:19" x14ac:dyDescent="0.3">
      <c r="S5322" s="18"/>
    </row>
    <row r="5323" spans="19:19" x14ac:dyDescent="0.3">
      <c r="S5323" s="19"/>
    </row>
    <row r="5324" spans="19:19" x14ac:dyDescent="0.3">
      <c r="S5324" s="18"/>
    </row>
    <row r="5325" spans="19:19" x14ac:dyDescent="0.3">
      <c r="S5325" s="19"/>
    </row>
    <row r="5326" spans="19:19" x14ac:dyDescent="0.3">
      <c r="S5326" s="18"/>
    </row>
    <row r="5327" spans="19:19" x14ac:dyDescent="0.3">
      <c r="S5327" s="19"/>
    </row>
    <row r="5328" spans="19:19" x14ac:dyDescent="0.3">
      <c r="S5328" s="18"/>
    </row>
    <row r="5329" spans="19:19" x14ac:dyDescent="0.3">
      <c r="S5329" s="19"/>
    </row>
    <row r="5330" spans="19:19" x14ac:dyDescent="0.3">
      <c r="S5330" s="18"/>
    </row>
    <row r="5331" spans="19:19" x14ac:dyDescent="0.3">
      <c r="S5331" s="19"/>
    </row>
    <row r="5332" spans="19:19" x14ac:dyDescent="0.3">
      <c r="S5332" s="18"/>
    </row>
    <row r="5333" spans="19:19" x14ac:dyDescent="0.3">
      <c r="S5333" s="19"/>
    </row>
    <row r="5334" spans="19:19" x14ac:dyDescent="0.3">
      <c r="S5334" s="18"/>
    </row>
    <row r="5335" spans="19:19" x14ac:dyDescent="0.3">
      <c r="S5335" s="19"/>
    </row>
    <row r="5336" spans="19:19" x14ac:dyDescent="0.3">
      <c r="S5336" s="18"/>
    </row>
    <row r="5337" spans="19:19" x14ac:dyDescent="0.3">
      <c r="S5337" s="19"/>
    </row>
    <row r="5338" spans="19:19" x14ac:dyDescent="0.3">
      <c r="S5338" s="18"/>
    </row>
    <row r="5339" spans="19:19" x14ac:dyDescent="0.3">
      <c r="S5339" s="19"/>
    </row>
    <row r="5340" spans="19:19" x14ac:dyDescent="0.3">
      <c r="S5340" s="18"/>
    </row>
    <row r="5341" spans="19:19" x14ac:dyDescent="0.3">
      <c r="S5341" s="19"/>
    </row>
    <row r="5342" spans="19:19" x14ac:dyDescent="0.3">
      <c r="S5342" s="18"/>
    </row>
    <row r="5343" spans="19:19" x14ac:dyDescent="0.3">
      <c r="S5343" s="19"/>
    </row>
    <row r="5344" spans="19:19" x14ac:dyDescent="0.3">
      <c r="S5344" s="18"/>
    </row>
    <row r="5345" spans="19:19" x14ac:dyDescent="0.3">
      <c r="S5345" s="19"/>
    </row>
    <row r="5346" spans="19:19" x14ac:dyDescent="0.3">
      <c r="S5346" s="18"/>
    </row>
    <row r="5347" spans="19:19" x14ac:dyDescent="0.3">
      <c r="S5347" s="19"/>
    </row>
    <row r="5348" spans="19:19" x14ac:dyDescent="0.3">
      <c r="S5348" s="18"/>
    </row>
    <row r="5349" spans="19:19" x14ac:dyDescent="0.3">
      <c r="S5349" s="19"/>
    </row>
    <row r="5350" spans="19:19" x14ac:dyDescent="0.3">
      <c r="S5350" s="18"/>
    </row>
    <row r="5351" spans="19:19" x14ac:dyDescent="0.3">
      <c r="S5351" s="19"/>
    </row>
    <row r="5352" spans="19:19" x14ac:dyDescent="0.3">
      <c r="S5352" s="18"/>
    </row>
    <row r="5353" spans="19:19" x14ac:dyDescent="0.3">
      <c r="S5353" s="19"/>
    </row>
    <row r="5354" spans="19:19" x14ac:dyDescent="0.3">
      <c r="S5354" s="18"/>
    </row>
    <row r="5355" spans="19:19" x14ac:dyDescent="0.3">
      <c r="S5355" s="19"/>
    </row>
    <row r="5356" spans="19:19" x14ac:dyDescent="0.3">
      <c r="S5356" s="18"/>
    </row>
    <row r="5357" spans="19:19" x14ac:dyDescent="0.3">
      <c r="S5357" s="19"/>
    </row>
    <row r="5358" spans="19:19" x14ac:dyDescent="0.3">
      <c r="S5358" s="18"/>
    </row>
    <row r="5359" spans="19:19" x14ac:dyDescent="0.3">
      <c r="S5359" s="19"/>
    </row>
    <row r="5360" spans="19:19" x14ac:dyDescent="0.3">
      <c r="S5360" s="18"/>
    </row>
    <row r="5361" spans="19:19" x14ac:dyDescent="0.3">
      <c r="S5361" s="19"/>
    </row>
    <row r="5362" spans="19:19" x14ac:dyDescent="0.3">
      <c r="S5362" s="18"/>
    </row>
    <row r="5363" spans="19:19" x14ac:dyDescent="0.3">
      <c r="S5363" s="19"/>
    </row>
    <row r="5364" spans="19:19" x14ac:dyDescent="0.3">
      <c r="S5364" s="18"/>
    </row>
    <row r="5365" spans="19:19" x14ac:dyDescent="0.3">
      <c r="S5365" s="19"/>
    </row>
    <row r="5366" spans="19:19" x14ac:dyDescent="0.3">
      <c r="S5366" s="18"/>
    </row>
    <row r="5367" spans="19:19" x14ac:dyDescent="0.3">
      <c r="S5367" s="19"/>
    </row>
    <row r="5368" spans="19:19" x14ac:dyDescent="0.3">
      <c r="S5368" s="18"/>
    </row>
    <row r="5369" spans="19:19" x14ac:dyDescent="0.3">
      <c r="S5369" s="19"/>
    </row>
    <row r="5370" spans="19:19" x14ac:dyDescent="0.3">
      <c r="S5370" s="18"/>
    </row>
    <row r="5371" spans="19:19" x14ac:dyDescent="0.3">
      <c r="S5371" s="19"/>
    </row>
    <row r="5372" spans="19:19" x14ac:dyDescent="0.3">
      <c r="S5372" s="18"/>
    </row>
    <row r="5373" spans="19:19" x14ac:dyDescent="0.3">
      <c r="S5373" s="19"/>
    </row>
    <row r="5374" spans="19:19" x14ac:dyDescent="0.3">
      <c r="S5374" s="18"/>
    </row>
    <row r="5375" spans="19:19" x14ac:dyDescent="0.3">
      <c r="S5375" s="19"/>
    </row>
    <row r="5376" spans="19:19" x14ac:dyDescent="0.3">
      <c r="S5376" s="18"/>
    </row>
    <row r="5377" spans="19:19" x14ac:dyDescent="0.3">
      <c r="S5377" s="19"/>
    </row>
    <row r="5378" spans="19:19" x14ac:dyDescent="0.3">
      <c r="S5378" s="18"/>
    </row>
    <row r="5379" spans="19:19" x14ac:dyDescent="0.3">
      <c r="S5379" s="19"/>
    </row>
    <row r="5380" spans="19:19" x14ac:dyDescent="0.3">
      <c r="S5380" s="18"/>
    </row>
    <row r="5381" spans="19:19" x14ac:dyDescent="0.3">
      <c r="S5381" s="19"/>
    </row>
    <row r="5382" spans="19:19" x14ac:dyDescent="0.3">
      <c r="S5382" s="18"/>
    </row>
    <row r="5383" spans="19:19" x14ac:dyDescent="0.3">
      <c r="S5383" s="19"/>
    </row>
    <row r="5384" spans="19:19" x14ac:dyDescent="0.3">
      <c r="S5384" s="18"/>
    </row>
    <row r="5385" spans="19:19" x14ac:dyDescent="0.3">
      <c r="S5385" s="19"/>
    </row>
    <row r="5386" spans="19:19" x14ac:dyDescent="0.3">
      <c r="S5386" s="18"/>
    </row>
    <row r="5387" spans="19:19" x14ac:dyDescent="0.3">
      <c r="S5387" s="19"/>
    </row>
    <row r="5388" spans="19:19" x14ac:dyDescent="0.3">
      <c r="S5388" s="18"/>
    </row>
    <row r="5389" spans="19:19" x14ac:dyDescent="0.3">
      <c r="S5389" s="19"/>
    </row>
    <row r="5390" spans="19:19" x14ac:dyDescent="0.3">
      <c r="S5390" s="18"/>
    </row>
    <row r="5391" spans="19:19" x14ac:dyDescent="0.3">
      <c r="S5391" s="19"/>
    </row>
    <row r="5392" spans="19:19" x14ac:dyDescent="0.3">
      <c r="S5392" s="18"/>
    </row>
    <row r="5393" spans="19:19" x14ac:dyDescent="0.3">
      <c r="S5393" s="19"/>
    </row>
    <row r="5394" spans="19:19" x14ac:dyDescent="0.3">
      <c r="S5394" s="18"/>
    </row>
    <row r="5395" spans="19:19" x14ac:dyDescent="0.3">
      <c r="S5395" s="19"/>
    </row>
    <row r="5396" spans="19:19" x14ac:dyDescent="0.3">
      <c r="S5396" s="18"/>
    </row>
    <row r="5397" spans="19:19" x14ac:dyDescent="0.3">
      <c r="S5397" s="19"/>
    </row>
    <row r="5398" spans="19:19" x14ac:dyDescent="0.3">
      <c r="S5398" s="18"/>
    </row>
    <row r="5399" spans="19:19" x14ac:dyDescent="0.3">
      <c r="S5399" s="19"/>
    </row>
    <row r="5400" spans="19:19" x14ac:dyDescent="0.3">
      <c r="S5400" s="18"/>
    </row>
    <row r="5401" spans="19:19" x14ac:dyDescent="0.3">
      <c r="S5401" s="19"/>
    </row>
    <row r="5402" spans="19:19" x14ac:dyDescent="0.3">
      <c r="S5402" s="18"/>
    </row>
    <row r="5403" spans="19:19" x14ac:dyDescent="0.3">
      <c r="S5403" s="19"/>
    </row>
    <row r="5404" spans="19:19" x14ac:dyDescent="0.3">
      <c r="S5404" s="18"/>
    </row>
    <row r="5405" spans="19:19" x14ac:dyDescent="0.3">
      <c r="S5405" s="19"/>
    </row>
    <row r="5406" spans="19:19" x14ac:dyDescent="0.3">
      <c r="S5406" s="18"/>
    </row>
    <row r="5407" spans="19:19" x14ac:dyDescent="0.3">
      <c r="S5407" s="19"/>
    </row>
    <row r="5408" spans="19:19" x14ac:dyDescent="0.3">
      <c r="S5408" s="18"/>
    </row>
    <row r="5409" spans="19:19" x14ac:dyDescent="0.3">
      <c r="S5409" s="19"/>
    </row>
    <row r="5410" spans="19:19" x14ac:dyDescent="0.3">
      <c r="S5410" s="18"/>
    </row>
    <row r="5411" spans="19:19" x14ac:dyDescent="0.3">
      <c r="S5411" s="19"/>
    </row>
    <row r="5412" spans="19:19" x14ac:dyDescent="0.3">
      <c r="S5412" s="18"/>
    </row>
    <row r="5413" spans="19:19" x14ac:dyDescent="0.3">
      <c r="S5413" s="19"/>
    </row>
    <row r="5414" spans="19:19" x14ac:dyDescent="0.3">
      <c r="S5414" s="18"/>
    </row>
    <row r="5415" spans="19:19" x14ac:dyDescent="0.3">
      <c r="S5415" s="19"/>
    </row>
    <row r="5416" spans="19:19" x14ac:dyDescent="0.3">
      <c r="S5416" s="18"/>
    </row>
    <row r="5417" spans="19:19" x14ac:dyDescent="0.3">
      <c r="S5417" s="19"/>
    </row>
    <row r="5418" spans="19:19" x14ac:dyDescent="0.3">
      <c r="S5418" s="18"/>
    </row>
    <row r="5419" spans="19:19" x14ac:dyDescent="0.3">
      <c r="S5419" s="19"/>
    </row>
    <row r="5420" spans="19:19" x14ac:dyDescent="0.3">
      <c r="S5420" s="18"/>
    </row>
    <row r="5421" spans="19:19" x14ac:dyDescent="0.3">
      <c r="S5421" s="19"/>
    </row>
    <row r="5422" spans="19:19" x14ac:dyDescent="0.3">
      <c r="S5422" s="18"/>
    </row>
    <row r="5423" spans="19:19" x14ac:dyDescent="0.3">
      <c r="S5423" s="19"/>
    </row>
    <row r="5424" spans="19:19" x14ac:dyDescent="0.3">
      <c r="S5424" s="18"/>
    </row>
    <row r="5425" spans="19:19" x14ac:dyDescent="0.3">
      <c r="S5425" s="19"/>
    </row>
    <row r="5426" spans="19:19" x14ac:dyDescent="0.3">
      <c r="S5426" s="18"/>
    </row>
    <row r="5427" spans="19:19" x14ac:dyDescent="0.3">
      <c r="S5427" s="19"/>
    </row>
    <row r="5428" spans="19:19" x14ac:dyDescent="0.3">
      <c r="S5428" s="18"/>
    </row>
    <row r="5429" spans="19:19" x14ac:dyDescent="0.3">
      <c r="S5429" s="19"/>
    </row>
    <row r="5430" spans="19:19" x14ac:dyDescent="0.3">
      <c r="S5430" s="18"/>
    </row>
    <row r="5431" spans="19:19" x14ac:dyDescent="0.3">
      <c r="S5431" s="19"/>
    </row>
    <row r="5432" spans="19:19" x14ac:dyDescent="0.3">
      <c r="S5432" s="18"/>
    </row>
    <row r="5433" spans="19:19" x14ac:dyDescent="0.3">
      <c r="S5433" s="19"/>
    </row>
    <row r="5434" spans="19:19" x14ac:dyDescent="0.3">
      <c r="S5434" s="18"/>
    </row>
    <row r="5435" spans="19:19" x14ac:dyDescent="0.3">
      <c r="S5435" s="19"/>
    </row>
    <row r="5436" spans="19:19" x14ac:dyDescent="0.3">
      <c r="S5436" s="18"/>
    </row>
    <row r="5437" spans="19:19" x14ac:dyDescent="0.3">
      <c r="S5437" s="19"/>
    </row>
    <row r="5438" spans="19:19" x14ac:dyDescent="0.3">
      <c r="S5438" s="18"/>
    </row>
    <row r="5439" spans="19:19" x14ac:dyDescent="0.3">
      <c r="S5439" s="19"/>
    </row>
    <row r="5440" spans="19:19" x14ac:dyDescent="0.3">
      <c r="S5440" s="18"/>
    </row>
    <row r="5441" spans="19:19" x14ac:dyDescent="0.3">
      <c r="S5441" s="19"/>
    </row>
    <row r="5442" spans="19:19" x14ac:dyDescent="0.3">
      <c r="S5442" s="18"/>
    </row>
    <row r="5443" spans="19:19" x14ac:dyDescent="0.3">
      <c r="S5443" s="19"/>
    </row>
    <row r="5444" spans="19:19" x14ac:dyDescent="0.3">
      <c r="S5444" s="18"/>
    </row>
    <row r="5445" spans="19:19" x14ac:dyDescent="0.3">
      <c r="S5445" s="19"/>
    </row>
    <row r="5446" spans="19:19" x14ac:dyDescent="0.3">
      <c r="S5446" s="18"/>
    </row>
    <row r="5447" spans="19:19" x14ac:dyDescent="0.3">
      <c r="S5447" s="19"/>
    </row>
    <row r="5448" spans="19:19" x14ac:dyDescent="0.3">
      <c r="S5448" s="18"/>
    </row>
    <row r="5449" spans="19:19" x14ac:dyDescent="0.3">
      <c r="S5449" s="19"/>
    </row>
    <row r="5450" spans="19:19" x14ac:dyDescent="0.3">
      <c r="S5450" s="18"/>
    </row>
    <row r="5451" spans="19:19" x14ac:dyDescent="0.3">
      <c r="S5451" s="19"/>
    </row>
    <row r="5452" spans="19:19" x14ac:dyDescent="0.3">
      <c r="S5452" s="18"/>
    </row>
    <row r="5453" spans="19:19" x14ac:dyDescent="0.3">
      <c r="S5453" s="19"/>
    </row>
    <row r="5454" spans="19:19" x14ac:dyDescent="0.3">
      <c r="S5454" s="18"/>
    </row>
    <row r="5455" spans="19:19" x14ac:dyDescent="0.3">
      <c r="S5455" s="19"/>
    </row>
    <row r="5456" spans="19:19" x14ac:dyDescent="0.3">
      <c r="S5456" s="18"/>
    </row>
    <row r="5457" spans="19:19" x14ac:dyDescent="0.3">
      <c r="S5457" s="19"/>
    </row>
    <row r="5458" spans="19:19" x14ac:dyDescent="0.3">
      <c r="S5458" s="18"/>
    </row>
    <row r="5459" spans="19:19" x14ac:dyDescent="0.3">
      <c r="S5459" s="19"/>
    </row>
    <row r="5460" spans="19:19" x14ac:dyDescent="0.3">
      <c r="S5460" s="18"/>
    </row>
    <row r="5461" spans="19:19" x14ac:dyDescent="0.3">
      <c r="S5461" s="19"/>
    </row>
    <row r="5462" spans="19:19" x14ac:dyDescent="0.3">
      <c r="S5462" s="18"/>
    </row>
    <row r="5463" spans="19:19" x14ac:dyDescent="0.3">
      <c r="S5463" s="19"/>
    </row>
    <row r="5464" spans="19:19" x14ac:dyDescent="0.3">
      <c r="S5464" s="18"/>
    </row>
    <row r="5465" spans="19:19" x14ac:dyDescent="0.3">
      <c r="S5465" s="19"/>
    </row>
    <row r="5466" spans="19:19" x14ac:dyDescent="0.3">
      <c r="S5466" s="18"/>
    </row>
    <row r="5467" spans="19:19" x14ac:dyDescent="0.3">
      <c r="S5467" s="19"/>
    </row>
    <row r="5468" spans="19:19" x14ac:dyDescent="0.3">
      <c r="S5468" s="18"/>
    </row>
    <row r="5469" spans="19:19" x14ac:dyDescent="0.3">
      <c r="S5469" s="19"/>
    </row>
    <row r="5470" spans="19:19" x14ac:dyDescent="0.3">
      <c r="S5470" s="18"/>
    </row>
    <row r="5471" spans="19:19" x14ac:dyDescent="0.3">
      <c r="S5471" s="19"/>
    </row>
    <row r="5472" spans="19:19" x14ac:dyDescent="0.3">
      <c r="S5472" s="18"/>
    </row>
    <row r="5473" spans="19:19" x14ac:dyDescent="0.3">
      <c r="S5473" s="19"/>
    </row>
    <row r="5474" spans="19:19" x14ac:dyDescent="0.3">
      <c r="S5474" s="18"/>
    </row>
    <row r="5475" spans="19:19" x14ac:dyDescent="0.3">
      <c r="S5475" s="19"/>
    </row>
    <row r="5476" spans="19:19" x14ac:dyDescent="0.3">
      <c r="S5476" s="18"/>
    </row>
    <row r="5477" spans="19:19" x14ac:dyDescent="0.3">
      <c r="S5477" s="19"/>
    </row>
    <row r="5478" spans="19:19" x14ac:dyDescent="0.3">
      <c r="S5478" s="18"/>
    </row>
    <row r="5479" spans="19:19" x14ac:dyDescent="0.3">
      <c r="S5479" s="19"/>
    </row>
    <row r="5480" spans="19:19" x14ac:dyDescent="0.3">
      <c r="S5480" s="18"/>
    </row>
    <row r="5481" spans="19:19" x14ac:dyDescent="0.3">
      <c r="S5481" s="19"/>
    </row>
    <row r="5482" spans="19:19" x14ac:dyDescent="0.3">
      <c r="S5482" s="18"/>
    </row>
    <row r="5483" spans="19:19" x14ac:dyDescent="0.3">
      <c r="S5483" s="19"/>
    </row>
    <row r="5484" spans="19:19" x14ac:dyDescent="0.3">
      <c r="S5484" s="18"/>
    </row>
    <row r="5485" spans="19:19" x14ac:dyDescent="0.3">
      <c r="S5485" s="19"/>
    </row>
    <row r="5486" spans="19:19" x14ac:dyDescent="0.3">
      <c r="S5486" s="18"/>
    </row>
    <row r="5487" spans="19:19" x14ac:dyDescent="0.3">
      <c r="S5487" s="19"/>
    </row>
    <row r="5488" spans="19:19" x14ac:dyDescent="0.3">
      <c r="S5488" s="18"/>
    </row>
    <row r="5489" spans="19:19" x14ac:dyDescent="0.3">
      <c r="S5489" s="19"/>
    </row>
    <row r="5490" spans="19:19" x14ac:dyDescent="0.3">
      <c r="S5490" s="18"/>
    </row>
    <row r="5491" spans="19:19" x14ac:dyDescent="0.3">
      <c r="S5491" s="19"/>
    </row>
    <row r="5492" spans="19:19" x14ac:dyDescent="0.3">
      <c r="S5492" s="18"/>
    </row>
    <row r="5493" spans="19:19" x14ac:dyDescent="0.3">
      <c r="S5493" s="19"/>
    </row>
    <row r="5494" spans="19:19" x14ac:dyDescent="0.3">
      <c r="S5494" s="18"/>
    </row>
    <row r="5495" spans="19:19" x14ac:dyDescent="0.3">
      <c r="S5495" s="19"/>
    </row>
    <row r="5496" spans="19:19" x14ac:dyDescent="0.3">
      <c r="S5496" s="18"/>
    </row>
    <row r="5497" spans="19:19" x14ac:dyDescent="0.3">
      <c r="S5497" s="19"/>
    </row>
    <row r="5498" spans="19:19" x14ac:dyDescent="0.3">
      <c r="S5498" s="18"/>
    </row>
    <row r="5499" spans="19:19" x14ac:dyDescent="0.3">
      <c r="S5499" s="19"/>
    </row>
    <row r="5500" spans="19:19" x14ac:dyDescent="0.3">
      <c r="S5500" s="18"/>
    </row>
    <row r="5501" spans="19:19" x14ac:dyDescent="0.3">
      <c r="S5501" s="19"/>
    </row>
    <row r="5502" spans="19:19" x14ac:dyDescent="0.3">
      <c r="S5502" s="18"/>
    </row>
    <row r="5503" spans="19:19" x14ac:dyDescent="0.3">
      <c r="S5503" s="19"/>
    </row>
    <row r="5504" spans="19:19" x14ac:dyDescent="0.3">
      <c r="S5504" s="18"/>
    </row>
    <row r="5505" spans="19:19" x14ac:dyDescent="0.3">
      <c r="S5505" s="19"/>
    </row>
    <row r="5506" spans="19:19" x14ac:dyDescent="0.3">
      <c r="S5506" s="18"/>
    </row>
    <row r="5507" spans="19:19" x14ac:dyDescent="0.3">
      <c r="S5507" s="19"/>
    </row>
    <row r="5508" spans="19:19" x14ac:dyDescent="0.3">
      <c r="S5508" s="18"/>
    </row>
    <row r="5509" spans="19:19" x14ac:dyDescent="0.3">
      <c r="S5509" s="19"/>
    </row>
    <row r="5510" spans="19:19" x14ac:dyDescent="0.3">
      <c r="S5510" s="18"/>
    </row>
    <row r="5511" spans="19:19" x14ac:dyDescent="0.3">
      <c r="S5511" s="19"/>
    </row>
    <row r="5512" spans="19:19" x14ac:dyDescent="0.3">
      <c r="S5512" s="18"/>
    </row>
    <row r="5513" spans="19:19" x14ac:dyDescent="0.3">
      <c r="S5513" s="19"/>
    </row>
    <row r="5514" spans="19:19" x14ac:dyDescent="0.3">
      <c r="S5514" s="18"/>
    </row>
    <row r="5515" spans="19:19" x14ac:dyDescent="0.3">
      <c r="S5515" s="19"/>
    </row>
    <row r="5516" spans="19:19" x14ac:dyDescent="0.3">
      <c r="S5516" s="18"/>
    </row>
    <row r="5517" spans="19:19" x14ac:dyDescent="0.3">
      <c r="S5517" s="19"/>
    </row>
    <row r="5518" spans="19:19" x14ac:dyDescent="0.3">
      <c r="S5518" s="18"/>
    </row>
    <row r="5519" spans="19:19" x14ac:dyDescent="0.3">
      <c r="S5519" s="19"/>
    </row>
    <row r="5520" spans="19:19" x14ac:dyDescent="0.3">
      <c r="S5520" s="18"/>
    </row>
    <row r="5521" spans="19:19" x14ac:dyDescent="0.3">
      <c r="S5521" s="19"/>
    </row>
    <row r="5522" spans="19:19" x14ac:dyDescent="0.3">
      <c r="S5522" s="18"/>
    </row>
    <row r="5523" spans="19:19" x14ac:dyDescent="0.3">
      <c r="S5523" s="19"/>
    </row>
    <row r="5524" spans="19:19" x14ac:dyDescent="0.3">
      <c r="S5524" s="18"/>
    </row>
    <row r="5525" spans="19:19" x14ac:dyDescent="0.3">
      <c r="S5525" s="19"/>
    </row>
    <row r="5526" spans="19:19" x14ac:dyDescent="0.3">
      <c r="S5526" s="18"/>
    </row>
    <row r="5527" spans="19:19" x14ac:dyDescent="0.3">
      <c r="S5527" s="19"/>
    </row>
    <row r="5528" spans="19:19" x14ac:dyDescent="0.3">
      <c r="S5528" s="18"/>
    </row>
    <row r="5529" spans="19:19" x14ac:dyDescent="0.3">
      <c r="S5529" s="19"/>
    </row>
    <row r="5530" spans="19:19" x14ac:dyDescent="0.3">
      <c r="S5530" s="18"/>
    </row>
    <row r="5531" spans="19:19" x14ac:dyDescent="0.3">
      <c r="S5531" s="19"/>
    </row>
    <row r="5532" spans="19:19" x14ac:dyDescent="0.3">
      <c r="S5532" s="18"/>
    </row>
    <row r="5533" spans="19:19" x14ac:dyDescent="0.3">
      <c r="S5533" s="19"/>
    </row>
    <row r="5534" spans="19:19" x14ac:dyDescent="0.3">
      <c r="S5534" s="18"/>
    </row>
    <row r="5535" spans="19:19" x14ac:dyDescent="0.3">
      <c r="S5535" s="19"/>
    </row>
    <row r="5536" spans="19:19" x14ac:dyDescent="0.3">
      <c r="S5536" s="18"/>
    </row>
    <row r="5537" spans="19:19" x14ac:dyDescent="0.3">
      <c r="S5537" s="19"/>
    </row>
    <row r="5538" spans="19:19" x14ac:dyDescent="0.3">
      <c r="S5538" s="18"/>
    </row>
    <row r="5539" spans="19:19" x14ac:dyDescent="0.3">
      <c r="S5539" s="19"/>
    </row>
    <row r="5540" spans="19:19" x14ac:dyDescent="0.3">
      <c r="S5540" s="18"/>
    </row>
    <row r="5541" spans="19:19" x14ac:dyDescent="0.3">
      <c r="S5541" s="19"/>
    </row>
    <row r="5542" spans="19:19" x14ac:dyDescent="0.3">
      <c r="S5542" s="18"/>
    </row>
    <row r="5543" spans="19:19" x14ac:dyDescent="0.3">
      <c r="S5543" s="19"/>
    </row>
    <row r="5544" spans="19:19" x14ac:dyDescent="0.3">
      <c r="S5544" s="18"/>
    </row>
    <row r="5545" spans="19:19" x14ac:dyDescent="0.3">
      <c r="S5545" s="19"/>
    </row>
    <row r="5546" spans="19:19" x14ac:dyDescent="0.3">
      <c r="S5546" s="18"/>
    </row>
    <row r="5547" spans="19:19" x14ac:dyDescent="0.3">
      <c r="S5547" s="19"/>
    </row>
    <row r="5548" spans="19:19" x14ac:dyDescent="0.3">
      <c r="S5548" s="18"/>
    </row>
    <row r="5549" spans="19:19" x14ac:dyDescent="0.3">
      <c r="S5549" s="19"/>
    </row>
    <row r="5550" spans="19:19" x14ac:dyDescent="0.3">
      <c r="S5550" s="18"/>
    </row>
    <row r="5551" spans="19:19" x14ac:dyDescent="0.3">
      <c r="S5551" s="19"/>
    </row>
    <row r="5552" spans="19:19" x14ac:dyDescent="0.3">
      <c r="S5552" s="18"/>
    </row>
    <row r="5553" spans="19:19" x14ac:dyDescent="0.3">
      <c r="S5553" s="19"/>
    </row>
    <row r="5554" spans="19:19" x14ac:dyDescent="0.3">
      <c r="S5554" s="18"/>
    </row>
    <row r="5555" spans="19:19" x14ac:dyDescent="0.3">
      <c r="S5555" s="19"/>
    </row>
    <row r="5556" spans="19:19" x14ac:dyDescent="0.3">
      <c r="S5556" s="18"/>
    </row>
    <row r="5557" spans="19:19" x14ac:dyDescent="0.3">
      <c r="S5557" s="19"/>
    </row>
    <row r="5558" spans="19:19" x14ac:dyDescent="0.3">
      <c r="S5558" s="18"/>
    </row>
    <row r="5559" spans="19:19" x14ac:dyDescent="0.3">
      <c r="S5559" s="19"/>
    </row>
    <row r="5560" spans="19:19" x14ac:dyDescent="0.3">
      <c r="S5560" s="18"/>
    </row>
    <row r="5561" spans="19:19" x14ac:dyDescent="0.3">
      <c r="S5561" s="19"/>
    </row>
    <row r="5562" spans="19:19" x14ac:dyDescent="0.3">
      <c r="S5562" s="18"/>
    </row>
    <row r="5563" spans="19:19" x14ac:dyDescent="0.3">
      <c r="S5563" s="19"/>
    </row>
    <row r="5564" spans="19:19" x14ac:dyDescent="0.3">
      <c r="S5564" s="18"/>
    </row>
    <row r="5565" spans="19:19" x14ac:dyDescent="0.3">
      <c r="S5565" s="19"/>
    </row>
    <row r="5566" spans="19:19" x14ac:dyDescent="0.3">
      <c r="S5566" s="18"/>
    </row>
    <row r="5567" spans="19:19" x14ac:dyDescent="0.3">
      <c r="S5567" s="19"/>
    </row>
    <row r="5568" spans="19:19" x14ac:dyDescent="0.3">
      <c r="S5568" s="18"/>
    </row>
    <row r="5569" spans="19:19" x14ac:dyDescent="0.3">
      <c r="S5569" s="19"/>
    </row>
    <row r="5570" spans="19:19" x14ac:dyDescent="0.3">
      <c r="S5570" s="18"/>
    </row>
    <row r="5571" spans="19:19" x14ac:dyDescent="0.3">
      <c r="S5571" s="19"/>
    </row>
    <row r="5572" spans="19:19" x14ac:dyDescent="0.3">
      <c r="S5572" s="18"/>
    </row>
    <row r="5573" spans="19:19" x14ac:dyDescent="0.3">
      <c r="S5573" s="19"/>
    </row>
    <row r="5574" spans="19:19" x14ac:dyDescent="0.3">
      <c r="S5574" s="18"/>
    </row>
    <row r="5575" spans="19:19" x14ac:dyDescent="0.3">
      <c r="S5575" s="19"/>
    </row>
    <row r="5576" spans="19:19" x14ac:dyDescent="0.3">
      <c r="S5576" s="18"/>
    </row>
    <row r="5577" spans="19:19" x14ac:dyDescent="0.3">
      <c r="S5577" s="19"/>
    </row>
    <row r="5578" spans="19:19" x14ac:dyDescent="0.3">
      <c r="S5578" s="18"/>
    </row>
    <row r="5579" spans="19:19" x14ac:dyDescent="0.3">
      <c r="S5579" s="19"/>
    </row>
    <row r="5580" spans="19:19" x14ac:dyDescent="0.3">
      <c r="S5580" s="18"/>
    </row>
    <row r="5581" spans="19:19" x14ac:dyDescent="0.3">
      <c r="S5581" s="19"/>
    </row>
    <row r="5582" spans="19:19" x14ac:dyDescent="0.3">
      <c r="S5582" s="18"/>
    </row>
    <row r="5583" spans="19:19" x14ac:dyDescent="0.3">
      <c r="S5583" s="19"/>
    </row>
    <row r="5584" spans="19:19" x14ac:dyDescent="0.3">
      <c r="S5584" s="18"/>
    </row>
    <row r="5585" spans="19:19" x14ac:dyDescent="0.3">
      <c r="S5585" s="19"/>
    </row>
    <row r="5586" spans="19:19" x14ac:dyDescent="0.3">
      <c r="S5586" s="18"/>
    </row>
    <row r="5587" spans="19:19" x14ac:dyDescent="0.3">
      <c r="S5587" s="19"/>
    </row>
    <row r="5588" spans="19:19" x14ac:dyDescent="0.3">
      <c r="S5588" s="18"/>
    </row>
    <row r="5589" spans="19:19" x14ac:dyDescent="0.3">
      <c r="S5589" s="19"/>
    </row>
    <row r="5590" spans="19:19" x14ac:dyDescent="0.3">
      <c r="S5590" s="18"/>
    </row>
    <row r="5591" spans="19:19" x14ac:dyDescent="0.3">
      <c r="S5591" s="19"/>
    </row>
    <row r="5592" spans="19:19" x14ac:dyDescent="0.3">
      <c r="S5592" s="18"/>
    </row>
    <row r="5593" spans="19:19" x14ac:dyDescent="0.3">
      <c r="S5593" s="19"/>
    </row>
    <row r="5594" spans="19:19" x14ac:dyDescent="0.3">
      <c r="S5594" s="18"/>
    </row>
    <row r="5595" spans="19:19" x14ac:dyDescent="0.3">
      <c r="S5595" s="19"/>
    </row>
    <row r="5596" spans="19:19" x14ac:dyDescent="0.3">
      <c r="S5596" s="18"/>
    </row>
    <row r="5597" spans="19:19" x14ac:dyDescent="0.3">
      <c r="S5597" s="19"/>
    </row>
    <row r="5598" spans="19:19" x14ac:dyDescent="0.3">
      <c r="S5598" s="18"/>
    </row>
    <row r="5599" spans="19:19" x14ac:dyDescent="0.3">
      <c r="S5599" s="19"/>
    </row>
    <row r="5600" spans="19:19" x14ac:dyDescent="0.3">
      <c r="S5600" s="18"/>
    </row>
    <row r="5601" spans="19:19" x14ac:dyDescent="0.3">
      <c r="S5601" s="19"/>
    </row>
    <row r="5602" spans="19:19" x14ac:dyDescent="0.3">
      <c r="S5602" s="18"/>
    </row>
    <row r="5603" spans="19:19" x14ac:dyDescent="0.3">
      <c r="S5603" s="19"/>
    </row>
    <row r="5604" spans="19:19" x14ac:dyDescent="0.3">
      <c r="S5604" s="18"/>
    </row>
    <row r="5605" spans="19:19" x14ac:dyDescent="0.3">
      <c r="S5605" s="19"/>
    </row>
    <row r="5606" spans="19:19" x14ac:dyDescent="0.3">
      <c r="S5606" s="18"/>
    </row>
    <row r="5607" spans="19:19" x14ac:dyDescent="0.3">
      <c r="S5607" s="19"/>
    </row>
    <row r="5608" spans="19:19" x14ac:dyDescent="0.3">
      <c r="S5608" s="18"/>
    </row>
    <row r="5609" spans="19:19" x14ac:dyDescent="0.3">
      <c r="S5609" s="19"/>
    </row>
    <row r="5610" spans="19:19" x14ac:dyDescent="0.3">
      <c r="S5610" s="18"/>
    </row>
    <row r="5611" spans="19:19" x14ac:dyDescent="0.3">
      <c r="S5611" s="19"/>
    </row>
    <row r="5612" spans="19:19" x14ac:dyDescent="0.3">
      <c r="S5612" s="18"/>
    </row>
    <row r="5613" spans="19:19" x14ac:dyDescent="0.3">
      <c r="S5613" s="19"/>
    </row>
    <row r="5614" spans="19:19" x14ac:dyDescent="0.3">
      <c r="S5614" s="18"/>
    </row>
    <row r="5615" spans="19:19" x14ac:dyDescent="0.3">
      <c r="S5615" s="19"/>
    </row>
    <row r="5616" spans="19:19" x14ac:dyDescent="0.3">
      <c r="S5616" s="18"/>
    </row>
    <row r="5617" spans="19:19" x14ac:dyDescent="0.3">
      <c r="S5617" s="19"/>
    </row>
    <row r="5618" spans="19:19" x14ac:dyDescent="0.3">
      <c r="S5618" s="18"/>
    </row>
    <row r="5619" spans="19:19" x14ac:dyDescent="0.3">
      <c r="S5619" s="19"/>
    </row>
    <row r="5620" spans="19:19" x14ac:dyDescent="0.3">
      <c r="S5620" s="18"/>
    </row>
    <row r="5621" spans="19:19" x14ac:dyDescent="0.3">
      <c r="S5621" s="19"/>
    </row>
    <row r="5622" spans="19:19" x14ac:dyDescent="0.3">
      <c r="S5622" s="18"/>
    </row>
    <row r="5623" spans="19:19" x14ac:dyDescent="0.3">
      <c r="S5623" s="19"/>
    </row>
    <row r="5624" spans="19:19" x14ac:dyDescent="0.3">
      <c r="S5624" s="18"/>
    </row>
    <row r="5625" spans="19:19" x14ac:dyDescent="0.3">
      <c r="S5625" s="19"/>
    </row>
    <row r="5626" spans="19:19" x14ac:dyDescent="0.3">
      <c r="S5626" s="18"/>
    </row>
    <row r="5627" spans="19:19" x14ac:dyDescent="0.3">
      <c r="S5627" s="19"/>
    </row>
    <row r="5628" spans="19:19" x14ac:dyDescent="0.3">
      <c r="S5628" s="18"/>
    </row>
    <row r="5629" spans="19:19" x14ac:dyDescent="0.3">
      <c r="S5629" s="19"/>
    </row>
    <row r="5630" spans="19:19" x14ac:dyDescent="0.3">
      <c r="S5630" s="18"/>
    </row>
    <row r="5631" spans="19:19" x14ac:dyDescent="0.3">
      <c r="S5631" s="19"/>
    </row>
    <row r="5632" spans="19:19" x14ac:dyDescent="0.3">
      <c r="S5632" s="18"/>
    </row>
    <row r="5633" spans="19:19" x14ac:dyDescent="0.3">
      <c r="S5633" s="19"/>
    </row>
    <row r="5634" spans="19:19" x14ac:dyDescent="0.3">
      <c r="S5634" s="18"/>
    </row>
    <row r="5635" spans="19:19" x14ac:dyDescent="0.3">
      <c r="S5635" s="19"/>
    </row>
    <row r="5636" spans="19:19" x14ac:dyDescent="0.3">
      <c r="S5636" s="18"/>
    </row>
    <row r="5637" spans="19:19" x14ac:dyDescent="0.3">
      <c r="S5637" s="19"/>
    </row>
    <row r="5638" spans="19:19" x14ac:dyDescent="0.3">
      <c r="S5638" s="18"/>
    </row>
    <row r="5639" spans="19:19" x14ac:dyDescent="0.3">
      <c r="S5639" s="19"/>
    </row>
    <row r="5640" spans="19:19" x14ac:dyDescent="0.3">
      <c r="S5640" s="18"/>
    </row>
    <row r="5641" spans="19:19" x14ac:dyDescent="0.3">
      <c r="S5641" s="19"/>
    </row>
    <row r="5642" spans="19:19" x14ac:dyDescent="0.3">
      <c r="S5642" s="18"/>
    </row>
    <row r="5643" spans="19:19" x14ac:dyDescent="0.3">
      <c r="S5643" s="19"/>
    </row>
    <row r="5644" spans="19:19" x14ac:dyDescent="0.3">
      <c r="S5644" s="18"/>
    </row>
    <row r="5645" spans="19:19" x14ac:dyDescent="0.3">
      <c r="S5645" s="19"/>
    </row>
    <row r="5646" spans="19:19" x14ac:dyDescent="0.3">
      <c r="S5646" s="18"/>
    </row>
    <row r="5647" spans="19:19" x14ac:dyDescent="0.3">
      <c r="S5647" s="19"/>
    </row>
    <row r="5648" spans="19:19" x14ac:dyDescent="0.3">
      <c r="S5648" s="18"/>
    </row>
    <row r="5649" spans="19:19" x14ac:dyDescent="0.3">
      <c r="S5649" s="19"/>
    </row>
    <row r="5650" spans="19:19" x14ac:dyDescent="0.3">
      <c r="S5650" s="18"/>
    </row>
    <row r="5651" spans="19:19" x14ac:dyDescent="0.3">
      <c r="S5651" s="19"/>
    </row>
    <row r="5652" spans="19:19" x14ac:dyDescent="0.3">
      <c r="S5652" s="18"/>
    </row>
    <row r="5653" spans="19:19" x14ac:dyDescent="0.3">
      <c r="S5653" s="19"/>
    </row>
    <row r="5654" spans="19:19" x14ac:dyDescent="0.3">
      <c r="S5654" s="18"/>
    </row>
    <row r="5655" spans="19:19" x14ac:dyDescent="0.3">
      <c r="S5655" s="19"/>
    </row>
    <row r="5656" spans="19:19" x14ac:dyDescent="0.3">
      <c r="S5656" s="18"/>
    </row>
    <row r="5657" spans="19:19" x14ac:dyDescent="0.3">
      <c r="S5657" s="19"/>
    </row>
    <row r="5658" spans="19:19" x14ac:dyDescent="0.3">
      <c r="S5658" s="18"/>
    </row>
    <row r="5659" spans="19:19" x14ac:dyDescent="0.3">
      <c r="S5659" s="19"/>
    </row>
    <row r="5660" spans="19:19" x14ac:dyDescent="0.3">
      <c r="S5660" s="18"/>
    </row>
    <row r="5661" spans="19:19" x14ac:dyDescent="0.3">
      <c r="S5661" s="19"/>
    </row>
    <row r="5662" spans="19:19" x14ac:dyDescent="0.3">
      <c r="S5662" s="18"/>
    </row>
    <row r="5663" spans="19:19" x14ac:dyDescent="0.3">
      <c r="S5663" s="19"/>
    </row>
    <row r="5664" spans="19:19" x14ac:dyDescent="0.3">
      <c r="S5664" s="18"/>
    </row>
    <row r="5665" spans="19:19" x14ac:dyDescent="0.3">
      <c r="S5665" s="19"/>
    </row>
    <row r="5666" spans="19:19" x14ac:dyDescent="0.3">
      <c r="S5666" s="18"/>
    </row>
    <row r="5667" spans="19:19" x14ac:dyDescent="0.3">
      <c r="S5667" s="19"/>
    </row>
    <row r="5668" spans="19:19" x14ac:dyDescent="0.3">
      <c r="S5668" s="18"/>
    </row>
    <row r="5669" spans="19:19" x14ac:dyDescent="0.3">
      <c r="S5669" s="19"/>
    </row>
    <row r="5670" spans="19:19" x14ac:dyDescent="0.3">
      <c r="S5670" s="18"/>
    </row>
    <row r="5671" spans="19:19" x14ac:dyDescent="0.3">
      <c r="S5671" s="19"/>
    </row>
    <row r="5672" spans="19:19" x14ac:dyDescent="0.3">
      <c r="S5672" s="18"/>
    </row>
    <row r="5673" spans="19:19" x14ac:dyDescent="0.3">
      <c r="S5673" s="19"/>
    </row>
    <row r="5674" spans="19:19" x14ac:dyDescent="0.3">
      <c r="S5674" s="18"/>
    </row>
    <row r="5675" spans="19:19" x14ac:dyDescent="0.3">
      <c r="S5675" s="19"/>
    </row>
    <row r="5676" spans="19:19" x14ac:dyDescent="0.3">
      <c r="S5676" s="18"/>
    </row>
    <row r="5677" spans="19:19" x14ac:dyDescent="0.3">
      <c r="S5677" s="19"/>
    </row>
    <row r="5678" spans="19:19" x14ac:dyDescent="0.3">
      <c r="S5678" s="18"/>
    </row>
    <row r="5679" spans="19:19" x14ac:dyDescent="0.3">
      <c r="S5679" s="19"/>
    </row>
    <row r="5680" spans="19:19" x14ac:dyDescent="0.3">
      <c r="S5680" s="18"/>
    </row>
    <row r="5681" spans="19:19" x14ac:dyDescent="0.3">
      <c r="S5681" s="19"/>
    </row>
    <row r="5682" spans="19:19" x14ac:dyDescent="0.3">
      <c r="S5682" s="18"/>
    </row>
    <row r="5683" spans="19:19" x14ac:dyDescent="0.3">
      <c r="S5683" s="19"/>
    </row>
    <row r="5684" spans="19:19" x14ac:dyDescent="0.3">
      <c r="S5684" s="18"/>
    </row>
    <row r="5685" spans="19:19" x14ac:dyDescent="0.3">
      <c r="S5685" s="19"/>
    </row>
    <row r="5686" spans="19:19" x14ac:dyDescent="0.3">
      <c r="S5686" s="18"/>
    </row>
    <row r="5687" spans="19:19" x14ac:dyDescent="0.3">
      <c r="S5687" s="19"/>
    </row>
    <row r="5688" spans="19:19" x14ac:dyDescent="0.3">
      <c r="S5688" s="18"/>
    </row>
    <row r="5689" spans="19:19" x14ac:dyDescent="0.3">
      <c r="S5689" s="19"/>
    </row>
    <row r="5690" spans="19:19" x14ac:dyDescent="0.3">
      <c r="S5690" s="18"/>
    </row>
    <row r="5691" spans="19:19" x14ac:dyDescent="0.3">
      <c r="S5691" s="19"/>
    </row>
    <row r="5692" spans="19:19" x14ac:dyDescent="0.3">
      <c r="S5692" s="18"/>
    </row>
    <row r="5693" spans="19:19" x14ac:dyDescent="0.3">
      <c r="S5693" s="19"/>
    </row>
    <row r="5694" spans="19:19" x14ac:dyDescent="0.3">
      <c r="S5694" s="18"/>
    </row>
    <row r="5695" spans="19:19" x14ac:dyDescent="0.3">
      <c r="S5695" s="19"/>
    </row>
    <row r="5696" spans="19:19" x14ac:dyDescent="0.3">
      <c r="S5696" s="18"/>
    </row>
    <row r="5697" spans="19:19" x14ac:dyDescent="0.3">
      <c r="S5697" s="19"/>
    </row>
    <row r="5698" spans="19:19" x14ac:dyDescent="0.3">
      <c r="S5698" s="18"/>
    </row>
    <row r="5699" spans="19:19" x14ac:dyDescent="0.3">
      <c r="S5699" s="19"/>
    </row>
    <row r="5700" spans="19:19" x14ac:dyDescent="0.3">
      <c r="S5700" s="18"/>
    </row>
    <row r="5701" spans="19:19" x14ac:dyDescent="0.3">
      <c r="S5701" s="19"/>
    </row>
    <row r="5702" spans="19:19" x14ac:dyDescent="0.3">
      <c r="S5702" s="18"/>
    </row>
    <row r="5703" spans="19:19" x14ac:dyDescent="0.3">
      <c r="S5703" s="19"/>
    </row>
    <row r="5704" spans="19:19" x14ac:dyDescent="0.3">
      <c r="S5704" s="18"/>
    </row>
    <row r="5705" spans="19:19" x14ac:dyDescent="0.3">
      <c r="S5705" s="19"/>
    </row>
    <row r="5706" spans="19:19" x14ac:dyDescent="0.3">
      <c r="S5706" s="18"/>
    </row>
    <row r="5707" spans="19:19" x14ac:dyDescent="0.3">
      <c r="S5707" s="19"/>
    </row>
    <row r="5708" spans="19:19" x14ac:dyDescent="0.3">
      <c r="S5708" s="18"/>
    </row>
    <row r="5709" spans="19:19" x14ac:dyDescent="0.3">
      <c r="S5709" s="19"/>
    </row>
    <row r="5710" spans="19:19" x14ac:dyDescent="0.3">
      <c r="S5710" s="18"/>
    </row>
    <row r="5711" spans="19:19" x14ac:dyDescent="0.3">
      <c r="S5711" s="19"/>
    </row>
    <row r="5712" spans="19:19" x14ac:dyDescent="0.3">
      <c r="S5712" s="18"/>
    </row>
    <row r="5713" spans="19:19" x14ac:dyDescent="0.3">
      <c r="S5713" s="19"/>
    </row>
    <row r="5714" spans="19:19" x14ac:dyDescent="0.3">
      <c r="S5714" s="18"/>
    </row>
    <row r="5715" spans="19:19" x14ac:dyDescent="0.3">
      <c r="S5715" s="19"/>
    </row>
    <row r="5716" spans="19:19" x14ac:dyDescent="0.3">
      <c r="S5716" s="18"/>
    </row>
    <row r="5717" spans="19:19" x14ac:dyDescent="0.3">
      <c r="S5717" s="19"/>
    </row>
    <row r="5718" spans="19:19" x14ac:dyDescent="0.3">
      <c r="S5718" s="18"/>
    </row>
    <row r="5719" spans="19:19" x14ac:dyDescent="0.3">
      <c r="S5719" s="19"/>
    </row>
    <row r="5720" spans="19:19" x14ac:dyDescent="0.3">
      <c r="S5720" s="18"/>
    </row>
    <row r="5721" spans="19:19" x14ac:dyDescent="0.3">
      <c r="S5721" s="19"/>
    </row>
    <row r="5722" spans="19:19" x14ac:dyDescent="0.3">
      <c r="S5722" s="18"/>
    </row>
    <row r="5723" spans="19:19" x14ac:dyDescent="0.3">
      <c r="S5723" s="19"/>
    </row>
    <row r="5724" spans="19:19" x14ac:dyDescent="0.3">
      <c r="S5724" s="18"/>
    </row>
    <row r="5725" spans="19:19" x14ac:dyDescent="0.3">
      <c r="S5725" s="19"/>
    </row>
    <row r="5726" spans="19:19" x14ac:dyDescent="0.3">
      <c r="S5726" s="18"/>
    </row>
    <row r="5727" spans="19:19" x14ac:dyDescent="0.3">
      <c r="S5727" s="19"/>
    </row>
    <row r="5728" spans="19:19" x14ac:dyDescent="0.3">
      <c r="S5728" s="18"/>
    </row>
    <row r="5729" spans="19:19" x14ac:dyDescent="0.3">
      <c r="S5729" s="19"/>
    </row>
    <row r="5730" spans="19:19" x14ac:dyDescent="0.3">
      <c r="S5730" s="18"/>
    </row>
    <row r="5731" spans="19:19" x14ac:dyDescent="0.3">
      <c r="S5731" s="19"/>
    </row>
    <row r="5732" spans="19:19" x14ac:dyDescent="0.3">
      <c r="S5732" s="18"/>
    </row>
    <row r="5733" spans="19:19" x14ac:dyDescent="0.3">
      <c r="S5733" s="19"/>
    </row>
    <row r="5734" spans="19:19" x14ac:dyDescent="0.3">
      <c r="S5734" s="18"/>
    </row>
    <row r="5735" spans="19:19" x14ac:dyDescent="0.3">
      <c r="S5735" s="19"/>
    </row>
    <row r="5736" spans="19:19" x14ac:dyDescent="0.3">
      <c r="S5736" s="18"/>
    </row>
    <row r="5737" spans="19:19" x14ac:dyDescent="0.3">
      <c r="S5737" s="19"/>
    </row>
    <row r="5738" spans="19:19" x14ac:dyDescent="0.3">
      <c r="S5738" s="18"/>
    </row>
    <row r="5739" spans="19:19" x14ac:dyDescent="0.3">
      <c r="S5739" s="19"/>
    </row>
    <row r="5740" spans="19:19" x14ac:dyDescent="0.3">
      <c r="S5740" s="18"/>
    </row>
    <row r="5741" spans="19:19" x14ac:dyDescent="0.3">
      <c r="S5741" s="19"/>
    </row>
    <row r="5742" spans="19:19" x14ac:dyDescent="0.3">
      <c r="S5742" s="18"/>
    </row>
    <row r="5743" spans="19:19" x14ac:dyDescent="0.3">
      <c r="S5743" s="19"/>
    </row>
    <row r="5744" spans="19:19" x14ac:dyDescent="0.3">
      <c r="S5744" s="18"/>
    </row>
    <row r="5745" spans="19:19" x14ac:dyDescent="0.3">
      <c r="S5745" s="19"/>
    </row>
    <row r="5746" spans="19:19" x14ac:dyDescent="0.3">
      <c r="S5746" s="18"/>
    </row>
    <row r="5747" spans="19:19" x14ac:dyDescent="0.3">
      <c r="S5747" s="19"/>
    </row>
    <row r="5748" spans="19:19" x14ac:dyDescent="0.3">
      <c r="S5748" s="18"/>
    </row>
    <row r="5749" spans="19:19" x14ac:dyDescent="0.3">
      <c r="S5749" s="19"/>
    </row>
    <row r="5750" spans="19:19" x14ac:dyDescent="0.3">
      <c r="S5750" s="18"/>
    </row>
    <row r="5751" spans="19:19" x14ac:dyDescent="0.3">
      <c r="S5751" s="19"/>
    </row>
    <row r="5752" spans="19:19" x14ac:dyDescent="0.3">
      <c r="S5752" s="18"/>
    </row>
    <row r="5753" spans="19:19" x14ac:dyDescent="0.3">
      <c r="S5753" s="19"/>
    </row>
    <row r="5754" spans="19:19" x14ac:dyDescent="0.3">
      <c r="S5754" s="18"/>
    </row>
    <row r="5755" spans="19:19" x14ac:dyDescent="0.3">
      <c r="S5755" s="19"/>
    </row>
    <row r="5756" spans="19:19" x14ac:dyDescent="0.3">
      <c r="S5756" s="18"/>
    </row>
    <row r="5757" spans="19:19" x14ac:dyDescent="0.3">
      <c r="S5757" s="19"/>
    </row>
    <row r="5758" spans="19:19" x14ac:dyDescent="0.3">
      <c r="S5758" s="18"/>
    </row>
    <row r="5759" spans="19:19" x14ac:dyDescent="0.3">
      <c r="S5759" s="19"/>
    </row>
    <row r="5760" spans="19:19" x14ac:dyDescent="0.3">
      <c r="S5760" s="18"/>
    </row>
    <row r="5761" spans="19:19" x14ac:dyDescent="0.3">
      <c r="S5761" s="19"/>
    </row>
    <row r="5762" spans="19:19" x14ac:dyDescent="0.3">
      <c r="S5762" s="18"/>
    </row>
    <row r="5763" spans="19:19" x14ac:dyDescent="0.3">
      <c r="S5763" s="19"/>
    </row>
    <row r="5764" spans="19:19" x14ac:dyDescent="0.3">
      <c r="S5764" s="18"/>
    </row>
    <row r="5765" spans="19:19" x14ac:dyDescent="0.3">
      <c r="S5765" s="19"/>
    </row>
    <row r="5766" spans="19:19" x14ac:dyDescent="0.3">
      <c r="S5766" s="18"/>
    </row>
    <row r="5767" spans="19:19" x14ac:dyDescent="0.3">
      <c r="S5767" s="19"/>
    </row>
    <row r="5768" spans="19:19" x14ac:dyDescent="0.3">
      <c r="S5768" s="18"/>
    </row>
    <row r="5769" spans="19:19" x14ac:dyDescent="0.3">
      <c r="S5769" s="19"/>
    </row>
    <row r="5770" spans="19:19" x14ac:dyDescent="0.3">
      <c r="S5770" s="18"/>
    </row>
    <row r="5771" spans="19:19" x14ac:dyDescent="0.3">
      <c r="S5771" s="19"/>
    </row>
    <row r="5772" spans="19:19" x14ac:dyDescent="0.3">
      <c r="S5772" s="18"/>
    </row>
    <row r="5773" spans="19:19" x14ac:dyDescent="0.3">
      <c r="S5773" s="19"/>
    </row>
    <row r="5774" spans="19:19" x14ac:dyDescent="0.3">
      <c r="S5774" s="18"/>
    </row>
    <row r="5775" spans="19:19" x14ac:dyDescent="0.3">
      <c r="S5775" s="19"/>
    </row>
    <row r="5776" spans="19:19" x14ac:dyDescent="0.3">
      <c r="S5776" s="18"/>
    </row>
    <row r="5777" spans="19:19" x14ac:dyDescent="0.3">
      <c r="S5777" s="19"/>
    </row>
    <row r="5778" spans="19:19" x14ac:dyDescent="0.3">
      <c r="S5778" s="18"/>
    </row>
    <row r="5779" spans="19:19" x14ac:dyDescent="0.3">
      <c r="S5779" s="19"/>
    </row>
    <row r="5780" spans="19:19" x14ac:dyDescent="0.3">
      <c r="S5780" s="18"/>
    </row>
    <row r="5781" spans="19:19" x14ac:dyDescent="0.3">
      <c r="S5781" s="19"/>
    </row>
    <row r="5782" spans="19:19" x14ac:dyDescent="0.3">
      <c r="S5782" s="18"/>
    </row>
    <row r="5783" spans="19:19" x14ac:dyDescent="0.3">
      <c r="S5783" s="19"/>
    </row>
    <row r="5784" spans="19:19" x14ac:dyDescent="0.3">
      <c r="S5784" s="18"/>
    </row>
    <row r="5785" spans="19:19" x14ac:dyDescent="0.3">
      <c r="S5785" s="19"/>
    </row>
    <row r="5786" spans="19:19" x14ac:dyDescent="0.3">
      <c r="S5786" s="18"/>
    </row>
    <row r="5787" spans="19:19" x14ac:dyDescent="0.3">
      <c r="S5787" s="19"/>
    </row>
    <row r="5788" spans="19:19" x14ac:dyDescent="0.3">
      <c r="S5788" s="18"/>
    </row>
    <row r="5789" spans="19:19" x14ac:dyDescent="0.3">
      <c r="S5789" s="19"/>
    </row>
    <row r="5790" spans="19:19" x14ac:dyDescent="0.3">
      <c r="S5790" s="18"/>
    </row>
    <row r="5791" spans="19:19" x14ac:dyDescent="0.3">
      <c r="S5791" s="19"/>
    </row>
    <row r="5792" spans="19:19" x14ac:dyDescent="0.3">
      <c r="S5792" s="18"/>
    </row>
    <row r="5793" spans="19:19" x14ac:dyDescent="0.3">
      <c r="S5793" s="19"/>
    </row>
    <row r="5794" spans="19:19" x14ac:dyDescent="0.3">
      <c r="S5794" s="18"/>
    </row>
    <row r="5795" spans="19:19" x14ac:dyDescent="0.3">
      <c r="S5795" s="19"/>
    </row>
    <row r="5796" spans="19:19" x14ac:dyDescent="0.3">
      <c r="S5796" s="18"/>
    </row>
    <row r="5797" spans="19:19" x14ac:dyDescent="0.3">
      <c r="S5797" s="19"/>
    </row>
    <row r="5798" spans="19:19" x14ac:dyDescent="0.3">
      <c r="S5798" s="18"/>
    </row>
    <row r="5799" spans="19:19" x14ac:dyDescent="0.3">
      <c r="S5799" s="19"/>
    </row>
    <row r="5800" spans="19:19" x14ac:dyDescent="0.3">
      <c r="S5800" s="18"/>
    </row>
    <row r="5801" spans="19:19" x14ac:dyDescent="0.3">
      <c r="S5801" s="19"/>
    </row>
    <row r="5802" spans="19:19" x14ac:dyDescent="0.3">
      <c r="S5802" s="18"/>
    </row>
    <row r="5803" spans="19:19" x14ac:dyDescent="0.3">
      <c r="S5803" s="19"/>
    </row>
    <row r="5804" spans="19:19" x14ac:dyDescent="0.3">
      <c r="S5804" s="18"/>
    </row>
    <row r="5805" spans="19:19" x14ac:dyDescent="0.3">
      <c r="S5805" s="19"/>
    </row>
    <row r="5806" spans="19:19" x14ac:dyDescent="0.3">
      <c r="S5806" s="18"/>
    </row>
    <row r="5807" spans="19:19" x14ac:dyDescent="0.3">
      <c r="S5807" s="19"/>
    </row>
    <row r="5808" spans="19:19" x14ac:dyDescent="0.3">
      <c r="S5808" s="18"/>
    </row>
    <row r="5809" spans="19:19" x14ac:dyDescent="0.3">
      <c r="S5809" s="19"/>
    </row>
    <row r="5810" spans="19:19" x14ac:dyDescent="0.3">
      <c r="S5810" s="18"/>
    </row>
    <row r="5811" spans="19:19" x14ac:dyDescent="0.3">
      <c r="S5811" s="19"/>
    </row>
    <row r="5812" spans="19:19" x14ac:dyDescent="0.3">
      <c r="S5812" s="18"/>
    </row>
    <row r="5813" spans="19:19" x14ac:dyDescent="0.3">
      <c r="S5813" s="19"/>
    </row>
    <row r="5814" spans="19:19" x14ac:dyDescent="0.3">
      <c r="S5814" s="18"/>
    </row>
    <row r="5815" spans="19:19" x14ac:dyDescent="0.3">
      <c r="S5815" s="19"/>
    </row>
    <row r="5816" spans="19:19" x14ac:dyDescent="0.3">
      <c r="S5816" s="18"/>
    </row>
    <row r="5817" spans="19:19" x14ac:dyDescent="0.3">
      <c r="S5817" s="19"/>
    </row>
    <row r="5818" spans="19:19" x14ac:dyDescent="0.3">
      <c r="S5818" s="18"/>
    </row>
    <row r="5819" spans="19:19" x14ac:dyDescent="0.3">
      <c r="S5819" s="19"/>
    </row>
    <row r="5820" spans="19:19" x14ac:dyDescent="0.3">
      <c r="S5820" s="18"/>
    </row>
    <row r="5821" spans="19:19" x14ac:dyDescent="0.3">
      <c r="S5821" s="19"/>
    </row>
    <row r="5822" spans="19:19" x14ac:dyDescent="0.3">
      <c r="S5822" s="18"/>
    </row>
    <row r="5823" spans="19:19" x14ac:dyDescent="0.3">
      <c r="S5823" s="19"/>
    </row>
    <row r="5824" spans="19:19" x14ac:dyDescent="0.3">
      <c r="S5824" s="18"/>
    </row>
    <row r="5825" spans="19:19" x14ac:dyDescent="0.3">
      <c r="S5825" s="19"/>
    </row>
    <row r="5826" spans="19:19" x14ac:dyDescent="0.3">
      <c r="S5826" s="18"/>
    </row>
    <row r="5827" spans="19:19" x14ac:dyDescent="0.3">
      <c r="S5827" s="19"/>
    </row>
    <row r="5828" spans="19:19" x14ac:dyDescent="0.3">
      <c r="S5828" s="18"/>
    </row>
    <row r="5829" spans="19:19" x14ac:dyDescent="0.3">
      <c r="S5829" s="19"/>
    </row>
    <row r="5830" spans="19:19" x14ac:dyDescent="0.3">
      <c r="S5830" s="18"/>
    </row>
    <row r="5831" spans="19:19" x14ac:dyDescent="0.3">
      <c r="S5831" s="19"/>
    </row>
    <row r="5832" spans="19:19" x14ac:dyDescent="0.3">
      <c r="S5832" s="18"/>
    </row>
    <row r="5833" spans="19:19" x14ac:dyDescent="0.3">
      <c r="S5833" s="19"/>
    </row>
    <row r="5834" spans="19:19" x14ac:dyDescent="0.3">
      <c r="S5834" s="18"/>
    </row>
    <row r="5835" spans="19:19" x14ac:dyDescent="0.3">
      <c r="S5835" s="19"/>
    </row>
    <row r="5836" spans="19:19" x14ac:dyDescent="0.3">
      <c r="S5836" s="18"/>
    </row>
    <row r="5837" spans="19:19" x14ac:dyDescent="0.3">
      <c r="S5837" s="19"/>
    </row>
    <row r="5838" spans="19:19" x14ac:dyDescent="0.3">
      <c r="S5838" s="18"/>
    </row>
    <row r="5839" spans="19:19" x14ac:dyDescent="0.3">
      <c r="S5839" s="19"/>
    </row>
    <row r="5840" spans="19:19" x14ac:dyDescent="0.3">
      <c r="S5840" s="18"/>
    </row>
    <row r="5841" spans="19:19" x14ac:dyDescent="0.3">
      <c r="S5841" s="19"/>
    </row>
    <row r="5842" spans="19:19" x14ac:dyDescent="0.3">
      <c r="S5842" s="18"/>
    </row>
    <row r="5843" spans="19:19" x14ac:dyDescent="0.3">
      <c r="S5843" s="19"/>
    </row>
    <row r="5844" spans="19:19" x14ac:dyDescent="0.3">
      <c r="S5844" s="18"/>
    </row>
    <row r="5845" spans="19:19" x14ac:dyDescent="0.3">
      <c r="S5845" s="19"/>
    </row>
    <row r="5846" spans="19:19" x14ac:dyDescent="0.3">
      <c r="S5846" s="18"/>
    </row>
    <row r="5847" spans="19:19" x14ac:dyDescent="0.3">
      <c r="S5847" s="19"/>
    </row>
    <row r="5848" spans="19:19" x14ac:dyDescent="0.3">
      <c r="S5848" s="18"/>
    </row>
    <row r="5849" spans="19:19" x14ac:dyDescent="0.3">
      <c r="S5849" s="19"/>
    </row>
    <row r="5850" spans="19:19" x14ac:dyDescent="0.3">
      <c r="S5850" s="18"/>
    </row>
    <row r="5851" spans="19:19" x14ac:dyDescent="0.3">
      <c r="S5851" s="19"/>
    </row>
    <row r="5852" spans="19:19" x14ac:dyDescent="0.3">
      <c r="S5852" s="18"/>
    </row>
    <row r="5853" spans="19:19" x14ac:dyDescent="0.3">
      <c r="S5853" s="19"/>
    </row>
    <row r="5854" spans="19:19" x14ac:dyDescent="0.3">
      <c r="S5854" s="18"/>
    </row>
    <row r="5855" spans="19:19" x14ac:dyDescent="0.3">
      <c r="S5855" s="19"/>
    </row>
    <row r="5856" spans="19:19" x14ac:dyDescent="0.3">
      <c r="S5856" s="18"/>
    </row>
    <row r="5857" spans="19:19" x14ac:dyDescent="0.3">
      <c r="S5857" s="19"/>
    </row>
    <row r="5858" spans="19:19" x14ac:dyDescent="0.3">
      <c r="S5858" s="18"/>
    </row>
    <row r="5859" spans="19:19" x14ac:dyDescent="0.3">
      <c r="S5859" s="19"/>
    </row>
    <row r="5860" spans="19:19" x14ac:dyDescent="0.3">
      <c r="S5860" s="18"/>
    </row>
    <row r="5861" spans="19:19" x14ac:dyDescent="0.3">
      <c r="S5861" s="19"/>
    </row>
    <row r="5862" spans="19:19" x14ac:dyDescent="0.3">
      <c r="S5862" s="18"/>
    </row>
    <row r="5863" spans="19:19" x14ac:dyDescent="0.3">
      <c r="S5863" s="19"/>
    </row>
    <row r="5864" spans="19:19" x14ac:dyDescent="0.3">
      <c r="S5864" s="18"/>
    </row>
    <row r="5865" spans="19:19" x14ac:dyDescent="0.3">
      <c r="S5865" s="19"/>
    </row>
    <row r="5866" spans="19:19" x14ac:dyDescent="0.3">
      <c r="S5866" s="18"/>
    </row>
    <row r="5867" spans="19:19" x14ac:dyDescent="0.3">
      <c r="S5867" s="19"/>
    </row>
    <row r="5868" spans="19:19" x14ac:dyDescent="0.3">
      <c r="S5868" s="18"/>
    </row>
    <row r="5869" spans="19:19" x14ac:dyDescent="0.3">
      <c r="S5869" s="19"/>
    </row>
    <row r="5870" spans="19:19" x14ac:dyDescent="0.3">
      <c r="S5870" s="18"/>
    </row>
    <row r="5871" spans="19:19" x14ac:dyDescent="0.3">
      <c r="S5871" s="19"/>
    </row>
    <row r="5872" spans="19:19" x14ac:dyDescent="0.3">
      <c r="S5872" s="18"/>
    </row>
    <row r="5873" spans="19:19" x14ac:dyDescent="0.3">
      <c r="S5873" s="19"/>
    </row>
    <row r="5874" spans="19:19" x14ac:dyDescent="0.3">
      <c r="S5874" s="18"/>
    </row>
    <row r="5875" spans="19:19" x14ac:dyDescent="0.3">
      <c r="S5875" s="19"/>
    </row>
    <row r="5876" spans="19:19" x14ac:dyDescent="0.3">
      <c r="S5876" s="18"/>
    </row>
    <row r="5877" spans="19:19" x14ac:dyDescent="0.3">
      <c r="S5877" s="19"/>
    </row>
    <row r="5878" spans="19:19" x14ac:dyDescent="0.3">
      <c r="S5878" s="18"/>
    </row>
    <row r="5879" spans="19:19" x14ac:dyDescent="0.3">
      <c r="S5879" s="19"/>
    </row>
    <row r="5880" spans="19:19" x14ac:dyDescent="0.3">
      <c r="S5880" s="18"/>
    </row>
    <row r="5881" spans="19:19" x14ac:dyDescent="0.3">
      <c r="S5881" s="19"/>
    </row>
    <row r="5882" spans="19:19" x14ac:dyDescent="0.3">
      <c r="S5882" s="18"/>
    </row>
    <row r="5883" spans="19:19" x14ac:dyDescent="0.3">
      <c r="S5883" s="19"/>
    </row>
    <row r="5884" spans="19:19" x14ac:dyDescent="0.3">
      <c r="S5884" s="18"/>
    </row>
    <row r="5885" spans="19:19" x14ac:dyDescent="0.3">
      <c r="S5885" s="19"/>
    </row>
    <row r="5886" spans="19:19" x14ac:dyDescent="0.3">
      <c r="S5886" s="18"/>
    </row>
    <row r="5887" spans="19:19" x14ac:dyDescent="0.3">
      <c r="S5887" s="19"/>
    </row>
    <row r="5888" spans="19:19" x14ac:dyDescent="0.3">
      <c r="S5888" s="18"/>
    </row>
    <row r="5889" spans="19:19" x14ac:dyDescent="0.3">
      <c r="S5889" s="19"/>
    </row>
    <row r="5890" spans="19:19" x14ac:dyDescent="0.3">
      <c r="S5890" s="18"/>
    </row>
    <row r="5891" spans="19:19" x14ac:dyDescent="0.3">
      <c r="S5891" s="19"/>
    </row>
    <row r="5892" spans="19:19" x14ac:dyDescent="0.3">
      <c r="S5892" s="18"/>
    </row>
    <row r="5893" spans="19:19" x14ac:dyDescent="0.3">
      <c r="S5893" s="19"/>
    </row>
    <row r="5894" spans="19:19" x14ac:dyDescent="0.3">
      <c r="S5894" s="18"/>
    </row>
    <row r="5895" spans="19:19" x14ac:dyDescent="0.3">
      <c r="S5895" s="19"/>
    </row>
    <row r="5896" spans="19:19" x14ac:dyDescent="0.3">
      <c r="S5896" s="18"/>
    </row>
    <row r="5897" spans="19:19" x14ac:dyDescent="0.3">
      <c r="S5897" s="19"/>
    </row>
    <row r="5898" spans="19:19" x14ac:dyDescent="0.3">
      <c r="S5898" s="18"/>
    </row>
    <row r="5899" spans="19:19" x14ac:dyDescent="0.3">
      <c r="S5899" s="19"/>
    </row>
    <row r="5900" spans="19:19" x14ac:dyDescent="0.3">
      <c r="S5900" s="18"/>
    </row>
    <row r="5901" spans="19:19" x14ac:dyDescent="0.3">
      <c r="S5901" s="19"/>
    </row>
    <row r="5902" spans="19:19" x14ac:dyDescent="0.3">
      <c r="S5902" s="18"/>
    </row>
    <row r="5903" spans="19:19" x14ac:dyDescent="0.3">
      <c r="S5903" s="19"/>
    </row>
    <row r="5904" spans="19:19" x14ac:dyDescent="0.3">
      <c r="S5904" s="18"/>
    </row>
    <row r="5905" spans="19:19" x14ac:dyDescent="0.3">
      <c r="S5905" s="19"/>
    </row>
    <row r="5906" spans="19:19" x14ac:dyDescent="0.3">
      <c r="S5906" s="18"/>
    </row>
    <row r="5907" spans="19:19" x14ac:dyDescent="0.3">
      <c r="S5907" s="19"/>
    </row>
    <row r="5908" spans="19:19" x14ac:dyDescent="0.3">
      <c r="S5908" s="18"/>
    </row>
    <row r="5909" spans="19:19" x14ac:dyDescent="0.3">
      <c r="S5909" s="19"/>
    </row>
    <row r="5910" spans="19:19" x14ac:dyDescent="0.3">
      <c r="S5910" s="18"/>
    </row>
    <row r="5911" spans="19:19" x14ac:dyDescent="0.3">
      <c r="S5911" s="19"/>
    </row>
    <row r="5912" spans="19:19" x14ac:dyDescent="0.3">
      <c r="S5912" s="18"/>
    </row>
    <row r="5913" spans="19:19" x14ac:dyDescent="0.3">
      <c r="S5913" s="19"/>
    </row>
    <row r="5914" spans="19:19" x14ac:dyDescent="0.3">
      <c r="S5914" s="18"/>
    </row>
    <row r="5915" spans="19:19" x14ac:dyDescent="0.3">
      <c r="S5915" s="19"/>
    </row>
    <row r="5916" spans="19:19" x14ac:dyDescent="0.3">
      <c r="S5916" s="18"/>
    </row>
    <row r="5917" spans="19:19" x14ac:dyDescent="0.3">
      <c r="S5917" s="19"/>
    </row>
    <row r="5918" spans="19:19" x14ac:dyDescent="0.3">
      <c r="S5918" s="18"/>
    </row>
    <row r="5919" spans="19:19" x14ac:dyDescent="0.3">
      <c r="S5919" s="19"/>
    </row>
    <row r="5920" spans="19:19" x14ac:dyDescent="0.3">
      <c r="S5920" s="18"/>
    </row>
    <row r="5921" spans="19:19" x14ac:dyDescent="0.3">
      <c r="S5921" s="19"/>
    </row>
    <row r="5922" spans="19:19" x14ac:dyDescent="0.3">
      <c r="S5922" s="18"/>
    </row>
    <row r="5923" spans="19:19" x14ac:dyDescent="0.3">
      <c r="S5923" s="19"/>
    </row>
    <row r="5924" spans="19:19" x14ac:dyDescent="0.3">
      <c r="S5924" s="18"/>
    </row>
    <row r="5925" spans="19:19" x14ac:dyDescent="0.3">
      <c r="S5925" s="19"/>
    </row>
    <row r="5926" spans="19:19" x14ac:dyDescent="0.3">
      <c r="S5926" s="18"/>
    </row>
    <row r="5927" spans="19:19" x14ac:dyDescent="0.3">
      <c r="S5927" s="19"/>
    </row>
    <row r="5928" spans="19:19" x14ac:dyDescent="0.3">
      <c r="S5928" s="18"/>
    </row>
    <row r="5929" spans="19:19" x14ac:dyDescent="0.3">
      <c r="S5929" s="19"/>
    </row>
    <row r="5930" spans="19:19" x14ac:dyDescent="0.3">
      <c r="S5930" s="18"/>
    </row>
    <row r="5931" spans="19:19" x14ac:dyDescent="0.3">
      <c r="S5931" s="19"/>
    </row>
    <row r="5932" spans="19:19" x14ac:dyDescent="0.3">
      <c r="S5932" s="18"/>
    </row>
    <row r="5933" spans="19:19" x14ac:dyDescent="0.3">
      <c r="S5933" s="19"/>
    </row>
    <row r="5934" spans="19:19" x14ac:dyDescent="0.3">
      <c r="S5934" s="18"/>
    </row>
    <row r="5935" spans="19:19" x14ac:dyDescent="0.3">
      <c r="S5935" s="19"/>
    </row>
    <row r="5936" spans="19:19" x14ac:dyDescent="0.3">
      <c r="S5936" s="18"/>
    </row>
    <row r="5937" spans="19:19" x14ac:dyDescent="0.3">
      <c r="S5937" s="19"/>
    </row>
    <row r="5938" spans="19:19" x14ac:dyDescent="0.3">
      <c r="S5938" s="18"/>
    </row>
    <row r="5939" spans="19:19" x14ac:dyDescent="0.3">
      <c r="S5939" s="19"/>
    </row>
    <row r="5940" spans="19:19" x14ac:dyDescent="0.3">
      <c r="S5940" s="18"/>
    </row>
    <row r="5941" spans="19:19" x14ac:dyDescent="0.3">
      <c r="S5941" s="19"/>
    </row>
    <row r="5942" spans="19:19" x14ac:dyDescent="0.3">
      <c r="S5942" s="18"/>
    </row>
    <row r="5943" spans="19:19" x14ac:dyDescent="0.3">
      <c r="S5943" s="19"/>
    </row>
    <row r="5944" spans="19:19" x14ac:dyDescent="0.3">
      <c r="S5944" s="18"/>
    </row>
    <row r="5945" spans="19:19" x14ac:dyDescent="0.3">
      <c r="S5945" s="19"/>
    </row>
    <row r="5946" spans="19:19" x14ac:dyDescent="0.3">
      <c r="S5946" s="18"/>
    </row>
    <row r="5947" spans="19:19" x14ac:dyDescent="0.3">
      <c r="S5947" s="19"/>
    </row>
    <row r="5948" spans="19:19" x14ac:dyDescent="0.3">
      <c r="S5948" s="18"/>
    </row>
    <row r="5949" spans="19:19" x14ac:dyDescent="0.3">
      <c r="S5949" s="19"/>
    </row>
    <row r="5950" spans="19:19" x14ac:dyDescent="0.3">
      <c r="S5950" s="18"/>
    </row>
    <row r="5951" spans="19:19" x14ac:dyDescent="0.3">
      <c r="S5951" s="19"/>
    </row>
    <row r="5952" spans="19:19" x14ac:dyDescent="0.3">
      <c r="S5952" s="18"/>
    </row>
    <row r="5953" spans="19:19" x14ac:dyDescent="0.3">
      <c r="S5953" s="19"/>
    </row>
    <row r="5954" spans="19:19" x14ac:dyDescent="0.3">
      <c r="S5954" s="18"/>
    </row>
    <row r="5955" spans="19:19" x14ac:dyDescent="0.3">
      <c r="S5955" s="19"/>
    </row>
    <row r="5956" spans="19:19" x14ac:dyDescent="0.3">
      <c r="S5956" s="18"/>
    </row>
    <row r="5957" spans="19:19" x14ac:dyDescent="0.3">
      <c r="S5957" s="19"/>
    </row>
    <row r="5958" spans="19:19" x14ac:dyDescent="0.3">
      <c r="S5958" s="18"/>
    </row>
    <row r="5959" spans="19:19" x14ac:dyDescent="0.3">
      <c r="S5959" s="19"/>
    </row>
    <row r="5960" spans="19:19" x14ac:dyDescent="0.3">
      <c r="S5960" s="18"/>
    </row>
    <row r="5961" spans="19:19" x14ac:dyDescent="0.3">
      <c r="S5961" s="19"/>
    </row>
    <row r="5962" spans="19:19" x14ac:dyDescent="0.3">
      <c r="S5962" s="18"/>
    </row>
    <row r="5963" spans="19:19" x14ac:dyDescent="0.3">
      <c r="S5963" s="19"/>
    </row>
    <row r="5964" spans="19:19" x14ac:dyDescent="0.3">
      <c r="S5964" s="18"/>
    </row>
    <row r="5965" spans="19:19" x14ac:dyDescent="0.3">
      <c r="S5965" s="19"/>
    </row>
    <row r="5966" spans="19:19" x14ac:dyDescent="0.3">
      <c r="S5966" s="18"/>
    </row>
    <row r="5967" spans="19:19" x14ac:dyDescent="0.3">
      <c r="S5967" s="19"/>
    </row>
    <row r="5968" spans="19:19" x14ac:dyDescent="0.3">
      <c r="S5968" s="18"/>
    </row>
    <row r="5969" spans="19:19" x14ac:dyDescent="0.3">
      <c r="S5969" s="19"/>
    </row>
    <row r="5970" spans="19:19" x14ac:dyDescent="0.3">
      <c r="S5970" s="18"/>
    </row>
    <row r="5971" spans="19:19" x14ac:dyDescent="0.3">
      <c r="S5971" s="19"/>
    </row>
    <row r="5972" spans="19:19" x14ac:dyDescent="0.3">
      <c r="S5972" s="18"/>
    </row>
    <row r="5973" spans="19:19" x14ac:dyDescent="0.3">
      <c r="S5973" s="19"/>
    </row>
    <row r="5974" spans="19:19" x14ac:dyDescent="0.3">
      <c r="S5974" s="18"/>
    </row>
    <row r="5975" spans="19:19" x14ac:dyDescent="0.3">
      <c r="S5975" s="19"/>
    </row>
    <row r="5976" spans="19:19" x14ac:dyDescent="0.3">
      <c r="S5976" s="18"/>
    </row>
    <row r="5977" spans="19:19" x14ac:dyDescent="0.3">
      <c r="S5977" s="19"/>
    </row>
    <row r="5978" spans="19:19" x14ac:dyDescent="0.3">
      <c r="S5978" s="18"/>
    </row>
    <row r="5979" spans="19:19" x14ac:dyDescent="0.3">
      <c r="S5979" s="19"/>
    </row>
    <row r="5980" spans="19:19" x14ac:dyDescent="0.3">
      <c r="S5980" s="18"/>
    </row>
    <row r="5981" spans="19:19" x14ac:dyDescent="0.3">
      <c r="S5981" s="19"/>
    </row>
    <row r="5982" spans="19:19" x14ac:dyDescent="0.3">
      <c r="S5982" s="18"/>
    </row>
    <row r="5983" spans="19:19" x14ac:dyDescent="0.3">
      <c r="S5983" s="19"/>
    </row>
    <row r="5984" spans="19:19" x14ac:dyDescent="0.3">
      <c r="S5984" s="18"/>
    </row>
    <row r="5985" spans="19:19" x14ac:dyDescent="0.3">
      <c r="S5985" s="19"/>
    </row>
    <row r="5986" spans="19:19" x14ac:dyDescent="0.3">
      <c r="S5986" s="18"/>
    </row>
    <row r="5987" spans="19:19" x14ac:dyDescent="0.3">
      <c r="S5987" s="19"/>
    </row>
    <row r="5988" spans="19:19" x14ac:dyDescent="0.3">
      <c r="S5988" s="18"/>
    </row>
    <row r="5989" spans="19:19" x14ac:dyDescent="0.3">
      <c r="S5989" s="19"/>
    </row>
    <row r="5990" spans="19:19" x14ac:dyDescent="0.3">
      <c r="S5990" s="18"/>
    </row>
    <row r="5991" spans="19:19" x14ac:dyDescent="0.3">
      <c r="S5991" s="19"/>
    </row>
    <row r="5992" spans="19:19" x14ac:dyDescent="0.3">
      <c r="S5992" s="18"/>
    </row>
    <row r="5993" spans="19:19" x14ac:dyDescent="0.3">
      <c r="S5993" s="19"/>
    </row>
    <row r="5994" spans="19:19" x14ac:dyDescent="0.3">
      <c r="S5994" s="18"/>
    </row>
    <row r="5995" spans="19:19" x14ac:dyDescent="0.3">
      <c r="S5995" s="19"/>
    </row>
    <row r="5996" spans="19:19" x14ac:dyDescent="0.3">
      <c r="S5996" s="18"/>
    </row>
    <row r="5997" spans="19:19" x14ac:dyDescent="0.3">
      <c r="S5997" s="19"/>
    </row>
    <row r="5998" spans="19:19" x14ac:dyDescent="0.3">
      <c r="S5998" s="18"/>
    </row>
    <row r="5999" spans="19:19" x14ac:dyDescent="0.3">
      <c r="S5999" s="19"/>
    </row>
    <row r="6000" spans="19:19" x14ac:dyDescent="0.3">
      <c r="S6000" s="18"/>
    </row>
    <row r="6001" spans="19:19" x14ac:dyDescent="0.3">
      <c r="S6001" s="19"/>
    </row>
    <row r="6002" spans="19:19" x14ac:dyDescent="0.3">
      <c r="S6002" s="18"/>
    </row>
    <row r="6003" spans="19:19" x14ac:dyDescent="0.3">
      <c r="S6003" s="19"/>
    </row>
    <row r="6004" spans="19:19" x14ac:dyDescent="0.3">
      <c r="S6004" s="18"/>
    </row>
    <row r="6005" spans="19:19" x14ac:dyDescent="0.3">
      <c r="S6005" s="19"/>
    </row>
    <row r="6006" spans="19:19" x14ac:dyDescent="0.3">
      <c r="S6006" s="18"/>
    </row>
    <row r="6007" spans="19:19" x14ac:dyDescent="0.3">
      <c r="S6007" s="19"/>
    </row>
    <row r="6008" spans="19:19" x14ac:dyDescent="0.3">
      <c r="S6008" s="18"/>
    </row>
    <row r="6009" spans="19:19" x14ac:dyDescent="0.3">
      <c r="S6009" s="19"/>
    </row>
    <row r="6010" spans="19:19" x14ac:dyDescent="0.3">
      <c r="S6010" s="18"/>
    </row>
    <row r="6011" spans="19:19" x14ac:dyDescent="0.3">
      <c r="S6011" s="19"/>
    </row>
    <row r="6012" spans="19:19" x14ac:dyDescent="0.3">
      <c r="S6012" s="18"/>
    </row>
    <row r="6013" spans="19:19" x14ac:dyDescent="0.3">
      <c r="S6013" s="19"/>
    </row>
    <row r="6014" spans="19:19" x14ac:dyDescent="0.3">
      <c r="S6014" s="18"/>
    </row>
    <row r="6015" spans="19:19" x14ac:dyDescent="0.3">
      <c r="S6015" s="19"/>
    </row>
    <row r="6016" spans="19:19" x14ac:dyDescent="0.3">
      <c r="S6016" s="18"/>
    </row>
    <row r="6017" spans="19:19" x14ac:dyDescent="0.3">
      <c r="S6017" s="19"/>
    </row>
    <row r="6018" spans="19:19" x14ac:dyDescent="0.3">
      <c r="S6018" s="18"/>
    </row>
    <row r="6019" spans="19:19" x14ac:dyDescent="0.3">
      <c r="S6019" s="19"/>
    </row>
    <row r="6020" spans="19:19" x14ac:dyDescent="0.3">
      <c r="S6020" s="18"/>
    </row>
    <row r="6021" spans="19:19" x14ac:dyDescent="0.3">
      <c r="S6021" s="19"/>
    </row>
    <row r="6022" spans="19:19" x14ac:dyDescent="0.3">
      <c r="S6022" s="18"/>
    </row>
    <row r="6023" spans="19:19" x14ac:dyDescent="0.3">
      <c r="S6023" s="19"/>
    </row>
    <row r="6024" spans="19:19" x14ac:dyDescent="0.3">
      <c r="S6024" s="18"/>
    </row>
    <row r="6025" spans="19:19" x14ac:dyDescent="0.3">
      <c r="S6025" s="19"/>
    </row>
    <row r="6026" spans="19:19" x14ac:dyDescent="0.3">
      <c r="S6026" s="18"/>
    </row>
    <row r="6027" spans="19:19" x14ac:dyDescent="0.3">
      <c r="S6027" s="19"/>
    </row>
    <row r="6028" spans="19:19" x14ac:dyDescent="0.3">
      <c r="S6028" s="18"/>
    </row>
    <row r="6029" spans="19:19" x14ac:dyDescent="0.3">
      <c r="S6029" s="19"/>
    </row>
    <row r="6030" spans="19:19" x14ac:dyDescent="0.3">
      <c r="S6030" s="18"/>
    </row>
    <row r="6031" spans="19:19" x14ac:dyDescent="0.3">
      <c r="S6031" s="19"/>
    </row>
    <row r="6032" spans="19:19" x14ac:dyDescent="0.3">
      <c r="S6032" s="18"/>
    </row>
    <row r="6033" spans="19:19" x14ac:dyDescent="0.3">
      <c r="S6033" s="19"/>
    </row>
    <row r="6034" spans="19:19" x14ac:dyDescent="0.3">
      <c r="S6034" s="18"/>
    </row>
    <row r="6035" spans="19:19" x14ac:dyDescent="0.3">
      <c r="S6035" s="19"/>
    </row>
    <row r="6036" spans="19:19" x14ac:dyDescent="0.3">
      <c r="S6036" s="18"/>
    </row>
    <row r="6037" spans="19:19" x14ac:dyDescent="0.3">
      <c r="S6037" s="19"/>
    </row>
    <row r="6038" spans="19:19" x14ac:dyDescent="0.3">
      <c r="S6038" s="18"/>
    </row>
    <row r="6039" spans="19:19" x14ac:dyDescent="0.3">
      <c r="S6039" s="19"/>
    </row>
    <row r="6040" spans="19:19" x14ac:dyDescent="0.3">
      <c r="S6040" s="18"/>
    </row>
    <row r="6041" spans="19:19" x14ac:dyDescent="0.3">
      <c r="S6041" s="19"/>
    </row>
    <row r="6042" spans="19:19" x14ac:dyDescent="0.3">
      <c r="S6042" s="18"/>
    </row>
    <row r="6043" spans="19:19" x14ac:dyDescent="0.3">
      <c r="S6043" s="19"/>
    </row>
    <row r="6044" spans="19:19" x14ac:dyDescent="0.3">
      <c r="S6044" s="18"/>
    </row>
    <row r="6045" spans="19:19" x14ac:dyDescent="0.3">
      <c r="S6045" s="19"/>
    </row>
    <row r="6046" spans="19:19" x14ac:dyDescent="0.3">
      <c r="S6046" s="18"/>
    </row>
    <row r="6047" spans="19:19" x14ac:dyDescent="0.3">
      <c r="S6047" s="19"/>
    </row>
    <row r="6048" spans="19:19" x14ac:dyDescent="0.3">
      <c r="S6048" s="18"/>
    </row>
    <row r="6049" spans="19:19" x14ac:dyDescent="0.3">
      <c r="S6049" s="19"/>
    </row>
    <row r="6050" spans="19:19" x14ac:dyDescent="0.3">
      <c r="S6050" s="18"/>
    </row>
    <row r="6051" spans="19:19" x14ac:dyDescent="0.3">
      <c r="S6051" s="19"/>
    </row>
    <row r="6052" spans="19:19" x14ac:dyDescent="0.3">
      <c r="S6052" s="18"/>
    </row>
    <row r="6053" spans="19:19" x14ac:dyDescent="0.3">
      <c r="S6053" s="19"/>
    </row>
    <row r="6054" spans="19:19" x14ac:dyDescent="0.3">
      <c r="S6054" s="18"/>
    </row>
    <row r="6055" spans="19:19" x14ac:dyDescent="0.3">
      <c r="S6055" s="19"/>
    </row>
    <row r="6056" spans="19:19" x14ac:dyDescent="0.3">
      <c r="S6056" s="18"/>
    </row>
    <row r="6057" spans="19:19" x14ac:dyDescent="0.3">
      <c r="S6057" s="19"/>
    </row>
    <row r="6058" spans="19:19" x14ac:dyDescent="0.3">
      <c r="S6058" s="18"/>
    </row>
    <row r="6059" spans="19:19" x14ac:dyDescent="0.3">
      <c r="S6059" s="19"/>
    </row>
    <row r="6060" spans="19:19" x14ac:dyDescent="0.3">
      <c r="S6060" s="18"/>
    </row>
    <row r="6061" spans="19:19" x14ac:dyDescent="0.3">
      <c r="S6061" s="19"/>
    </row>
    <row r="6062" spans="19:19" x14ac:dyDescent="0.3">
      <c r="S6062" s="18"/>
    </row>
    <row r="6063" spans="19:19" x14ac:dyDescent="0.3">
      <c r="S6063" s="19"/>
    </row>
    <row r="6064" spans="19:19" x14ac:dyDescent="0.3">
      <c r="S6064" s="18"/>
    </row>
    <row r="6065" spans="19:19" x14ac:dyDescent="0.3">
      <c r="S6065" s="19"/>
    </row>
    <row r="6066" spans="19:19" x14ac:dyDescent="0.3">
      <c r="S6066" s="18"/>
    </row>
    <row r="6067" spans="19:19" x14ac:dyDescent="0.3">
      <c r="S6067" s="19"/>
    </row>
    <row r="6068" spans="19:19" x14ac:dyDescent="0.3">
      <c r="S6068" s="18"/>
    </row>
    <row r="6069" spans="19:19" x14ac:dyDescent="0.3">
      <c r="S6069" s="19"/>
    </row>
    <row r="6070" spans="19:19" x14ac:dyDescent="0.3">
      <c r="S6070" s="18"/>
    </row>
    <row r="6071" spans="19:19" x14ac:dyDescent="0.3">
      <c r="S6071" s="19"/>
    </row>
    <row r="6072" spans="19:19" x14ac:dyDescent="0.3">
      <c r="S6072" s="18"/>
    </row>
    <row r="6073" spans="19:19" x14ac:dyDescent="0.3">
      <c r="S6073" s="19"/>
    </row>
    <row r="6074" spans="19:19" x14ac:dyDescent="0.3">
      <c r="S6074" s="18"/>
    </row>
    <row r="6075" spans="19:19" x14ac:dyDescent="0.3">
      <c r="S6075" s="19"/>
    </row>
    <row r="6076" spans="19:19" x14ac:dyDescent="0.3">
      <c r="S6076" s="18"/>
    </row>
    <row r="6077" spans="19:19" x14ac:dyDescent="0.3">
      <c r="S6077" s="19"/>
    </row>
    <row r="6078" spans="19:19" x14ac:dyDescent="0.3">
      <c r="S6078" s="18"/>
    </row>
    <row r="6079" spans="19:19" x14ac:dyDescent="0.3">
      <c r="S6079" s="19"/>
    </row>
    <row r="6080" spans="19:19" x14ac:dyDescent="0.3">
      <c r="S6080" s="18"/>
    </row>
    <row r="6081" spans="19:19" x14ac:dyDescent="0.3">
      <c r="S6081" s="19"/>
    </row>
    <row r="6082" spans="19:19" x14ac:dyDescent="0.3">
      <c r="S6082" s="18"/>
    </row>
    <row r="6083" spans="19:19" x14ac:dyDescent="0.3">
      <c r="S6083" s="19"/>
    </row>
    <row r="6084" spans="19:19" x14ac:dyDescent="0.3">
      <c r="S6084" s="18"/>
    </row>
    <row r="6085" spans="19:19" x14ac:dyDescent="0.3">
      <c r="S6085" s="19"/>
    </row>
    <row r="6086" spans="19:19" x14ac:dyDescent="0.3">
      <c r="S6086" s="18"/>
    </row>
    <row r="6087" spans="19:19" x14ac:dyDescent="0.3">
      <c r="S6087" s="19"/>
    </row>
    <row r="6088" spans="19:19" x14ac:dyDescent="0.3">
      <c r="S6088" s="18"/>
    </row>
    <row r="6089" spans="19:19" x14ac:dyDescent="0.3">
      <c r="S6089" s="19"/>
    </row>
    <row r="6090" spans="19:19" x14ac:dyDescent="0.3">
      <c r="S6090" s="18"/>
    </row>
    <row r="6091" spans="19:19" x14ac:dyDescent="0.3">
      <c r="S6091" s="19"/>
    </row>
    <row r="6092" spans="19:19" x14ac:dyDescent="0.3">
      <c r="S6092" s="18"/>
    </row>
    <row r="6093" spans="19:19" x14ac:dyDescent="0.3">
      <c r="S6093" s="19"/>
    </row>
    <row r="6094" spans="19:19" x14ac:dyDescent="0.3">
      <c r="S6094" s="18"/>
    </row>
    <row r="6095" spans="19:19" x14ac:dyDescent="0.3">
      <c r="S6095" s="19"/>
    </row>
    <row r="6096" spans="19:19" x14ac:dyDescent="0.3">
      <c r="S6096" s="18"/>
    </row>
    <row r="6097" spans="19:19" x14ac:dyDescent="0.3">
      <c r="S6097" s="19"/>
    </row>
    <row r="6098" spans="19:19" x14ac:dyDescent="0.3">
      <c r="S6098" s="18"/>
    </row>
    <row r="6099" spans="19:19" x14ac:dyDescent="0.3">
      <c r="S6099" s="19"/>
    </row>
    <row r="6100" spans="19:19" x14ac:dyDescent="0.3">
      <c r="S6100" s="18"/>
    </row>
    <row r="6101" spans="19:19" x14ac:dyDescent="0.3">
      <c r="S6101" s="19"/>
    </row>
    <row r="6102" spans="19:19" x14ac:dyDescent="0.3">
      <c r="S6102" s="18"/>
    </row>
    <row r="6103" spans="19:19" x14ac:dyDescent="0.3">
      <c r="S6103" s="19"/>
    </row>
    <row r="6104" spans="19:19" x14ac:dyDescent="0.3">
      <c r="S6104" s="18"/>
    </row>
    <row r="6105" spans="19:19" x14ac:dyDescent="0.3">
      <c r="S6105" s="19"/>
    </row>
    <row r="6106" spans="19:19" x14ac:dyDescent="0.3">
      <c r="S6106" s="18"/>
    </row>
    <row r="6107" spans="19:19" x14ac:dyDescent="0.3">
      <c r="S6107" s="19"/>
    </row>
    <row r="6108" spans="19:19" x14ac:dyDescent="0.3">
      <c r="S6108" s="18"/>
    </row>
    <row r="6109" spans="19:19" x14ac:dyDescent="0.3">
      <c r="S6109" s="19"/>
    </row>
    <row r="6110" spans="19:19" x14ac:dyDescent="0.3">
      <c r="S6110" s="18"/>
    </row>
    <row r="6111" spans="19:19" x14ac:dyDescent="0.3">
      <c r="S6111" s="19"/>
    </row>
    <row r="6112" spans="19:19" x14ac:dyDescent="0.3">
      <c r="S6112" s="18"/>
    </row>
    <row r="6113" spans="19:19" x14ac:dyDescent="0.3">
      <c r="S6113" s="19"/>
    </row>
    <row r="6114" spans="19:19" x14ac:dyDescent="0.3">
      <c r="S6114" s="18"/>
    </row>
    <row r="6115" spans="19:19" x14ac:dyDescent="0.3">
      <c r="S6115" s="19"/>
    </row>
    <row r="6116" spans="19:19" x14ac:dyDescent="0.3">
      <c r="S6116" s="18"/>
    </row>
    <row r="6117" spans="19:19" x14ac:dyDescent="0.3">
      <c r="S6117" s="19"/>
    </row>
    <row r="6118" spans="19:19" x14ac:dyDescent="0.3">
      <c r="S6118" s="18"/>
    </row>
    <row r="6119" spans="19:19" x14ac:dyDescent="0.3">
      <c r="S6119" s="19"/>
    </row>
    <row r="6120" spans="19:19" x14ac:dyDescent="0.3">
      <c r="S6120" s="18"/>
    </row>
    <row r="6121" spans="19:19" x14ac:dyDescent="0.3">
      <c r="S6121" s="19"/>
    </row>
    <row r="6122" spans="19:19" x14ac:dyDescent="0.3">
      <c r="S6122" s="18"/>
    </row>
    <row r="6123" spans="19:19" x14ac:dyDescent="0.3">
      <c r="S6123" s="19"/>
    </row>
    <row r="6124" spans="19:19" x14ac:dyDescent="0.3">
      <c r="S6124" s="18"/>
    </row>
    <row r="6125" spans="19:19" x14ac:dyDescent="0.3">
      <c r="S6125" s="19"/>
    </row>
    <row r="6126" spans="19:19" x14ac:dyDescent="0.3">
      <c r="S6126" s="18"/>
    </row>
    <row r="6127" spans="19:19" x14ac:dyDescent="0.3">
      <c r="S6127" s="19"/>
    </row>
    <row r="6128" spans="19:19" x14ac:dyDescent="0.3">
      <c r="S6128" s="18"/>
    </row>
    <row r="6129" spans="19:19" x14ac:dyDescent="0.3">
      <c r="S6129" s="19"/>
    </row>
    <row r="6130" spans="19:19" x14ac:dyDescent="0.3">
      <c r="S6130" s="18"/>
    </row>
    <row r="6131" spans="19:19" x14ac:dyDescent="0.3">
      <c r="S6131" s="19"/>
    </row>
    <row r="6132" spans="19:19" x14ac:dyDescent="0.3">
      <c r="S6132" s="18"/>
    </row>
    <row r="6133" spans="19:19" x14ac:dyDescent="0.3">
      <c r="S6133" s="19"/>
    </row>
    <row r="6134" spans="19:19" x14ac:dyDescent="0.3">
      <c r="S6134" s="18"/>
    </row>
    <row r="6135" spans="19:19" x14ac:dyDescent="0.3">
      <c r="S6135" s="19"/>
    </row>
    <row r="6136" spans="19:19" x14ac:dyDescent="0.3">
      <c r="S6136" s="18"/>
    </row>
    <row r="6137" spans="19:19" x14ac:dyDescent="0.3">
      <c r="S6137" s="19"/>
    </row>
    <row r="6138" spans="19:19" x14ac:dyDescent="0.3">
      <c r="S6138" s="18"/>
    </row>
    <row r="6139" spans="19:19" x14ac:dyDescent="0.3">
      <c r="S6139" s="19"/>
    </row>
    <row r="6140" spans="19:19" x14ac:dyDescent="0.3">
      <c r="S6140" s="18"/>
    </row>
    <row r="6141" spans="19:19" x14ac:dyDescent="0.3">
      <c r="S6141" s="19"/>
    </row>
    <row r="6142" spans="19:19" x14ac:dyDescent="0.3">
      <c r="S6142" s="18"/>
    </row>
    <row r="6143" spans="19:19" x14ac:dyDescent="0.3">
      <c r="S6143" s="19"/>
    </row>
    <row r="6144" spans="19:19" x14ac:dyDescent="0.3">
      <c r="S6144" s="18"/>
    </row>
    <row r="6145" spans="19:19" x14ac:dyDescent="0.3">
      <c r="S6145" s="19"/>
    </row>
    <row r="6146" spans="19:19" x14ac:dyDescent="0.3">
      <c r="S6146" s="18"/>
    </row>
    <row r="6147" spans="19:19" x14ac:dyDescent="0.3">
      <c r="S6147" s="19"/>
    </row>
    <row r="6148" spans="19:19" x14ac:dyDescent="0.3">
      <c r="S6148" s="18"/>
    </row>
    <row r="6149" spans="19:19" x14ac:dyDescent="0.3">
      <c r="S6149" s="19"/>
    </row>
    <row r="6150" spans="19:19" x14ac:dyDescent="0.3">
      <c r="S6150" s="18"/>
    </row>
    <row r="6151" spans="19:19" x14ac:dyDescent="0.3">
      <c r="S6151" s="19"/>
    </row>
    <row r="6152" spans="19:19" x14ac:dyDescent="0.3">
      <c r="S6152" s="18"/>
    </row>
    <row r="6153" spans="19:19" x14ac:dyDescent="0.3">
      <c r="S6153" s="19"/>
    </row>
    <row r="6154" spans="19:19" x14ac:dyDescent="0.3">
      <c r="S6154" s="18"/>
    </row>
    <row r="6155" spans="19:19" x14ac:dyDescent="0.3">
      <c r="S6155" s="19"/>
    </row>
    <row r="6156" spans="19:19" x14ac:dyDescent="0.3">
      <c r="S6156" s="18"/>
    </row>
    <row r="6157" spans="19:19" x14ac:dyDescent="0.3">
      <c r="S6157" s="19"/>
    </row>
    <row r="6158" spans="19:19" x14ac:dyDescent="0.3">
      <c r="S6158" s="18"/>
    </row>
    <row r="6159" spans="19:19" x14ac:dyDescent="0.3">
      <c r="S6159" s="19"/>
    </row>
    <row r="6160" spans="19:19" x14ac:dyDescent="0.3">
      <c r="S6160" s="18"/>
    </row>
    <row r="6161" spans="19:19" x14ac:dyDescent="0.3">
      <c r="S6161" s="19"/>
    </row>
    <row r="6162" spans="19:19" x14ac:dyDescent="0.3">
      <c r="S6162" s="18"/>
    </row>
    <row r="6163" spans="19:19" x14ac:dyDescent="0.3">
      <c r="S6163" s="19"/>
    </row>
    <row r="6164" spans="19:19" x14ac:dyDescent="0.3">
      <c r="S6164" s="18"/>
    </row>
    <row r="6165" spans="19:19" x14ac:dyDescent="0.3">
      <c r="S6165" s="19"/>
    </row>
    <row r="6166" spans="19:19" x14ac:dyDescent="0.3">
      <c r="S6166" s="18"/>
    </row>
    <row r="6167" spans="19:19" x14ac:dyDescent="0.3">
      <c r="S6167" s="19"/>
    </row>
    <row r="6168" spans="19:19" x14ac:dyDescent="0.3">
      <c r="S6168" s="18"/>
    </row>
    <row r="6169" spans="19:19" x14ac:dyDescent="0.3">
      <c r="S6169" s="19"/>
    </row>
    <row r="6170" spans="19:19" x14ac:dyDescent="0.3">
      <c r="S6170" s="18"/>
    </row>
    <row r="6171" spans="19:19" x14ac:dyDescent="0.3">
      <c r="S6171" s="19"/>
    </row>
    <row r="6172" spans="19:19" x14ac:dyDescent="0.3">
      <c r="S6172" s="18"/>
    </row>
    <row r="6173" spans="19:19" x14ac:dyDescent="0.3">
      <c r="S6173" s="19"/>
    </row>
    <row r="6174" spans="19:19" x14ac:dyDescent="0.3">
      <c r="S6174" s="18"/>
    </row>
    <row r="6175" spans="19:19" x14ac:dyDescent="0.3">
      <c r="S6175" s="19"/>
    </row>
    <row r="6176" spans="19:19" x14ac:dyDescent="0.3">
      <c r="S6176" s="18"/>
    </row>
    <row r="6177" spans="19:19" x14ac:dyDescent="0.3">
      <c r="S6177" s="19"/>
    </row>
    <row r="6178" spans="19:19" x14ac:dyDescent="0.3">
      <c r="S6178" s="18"/>
    </row>
    <row r="6179" spans="19:19" x14ac:dyDescent="0.3">
      <c r="S6179" s="19"/>
    </row>
    <row r="6180" spans="19:19" x14ac:dyDescent="0.3">
      <c r="S6180" s="18"/>
    </row>
    <row r="6181" spans="19:19" x14ac:dyDescent="0.3">
      <c r="S6181" s="19"/>
    </row>
    <row r="6182" spans="19:19" x14ac:dyDescent="0.3">
      <c r="S6182" s="18"/>
    </row>
    <row r="6183" spans="19:19" x14ac:dyDescent="0.3">
      <c r="S6183" s="19"/>
    </row>
    <row r="6184" spans="19:19" x14ac:dyDescent="0.3">
      <c r="S6184" s="18"/>
    </row>
    <row r="6185" spans="19:19" x14ac:dyDescent="0.3">
      <c r="S6185" s="19"/>
    </row>
    <row r="6186" spans="19:19" x14ac:dyDescent="0.3">
      <c r="S6186" s="18"/>
    </row>
    <row r="6187" spans="19:19" x14ac:dyDescent="0.3">
      <c r="S6187" s="19"/>
    </row>
    <row r="6188" spans="19:19" x14ac:dyDescent="0.3">
      <c r="S6188" s="18"/>
    </row>
    <row r="6189" spans="19:19" x14ac:dyDescent="0.3">
      <c r="S6189" s="19"/>
    </row>
    <row r="6190" spans="19:19" x14ac:dyDescent="0.3">
      <c r="S6190" s="18"/>
    </row>
    <row r="6191" spans="19:19" x14ac:dyDescent="0.3">
      <c r="S6191" s="19"/>
    </row>
    <row r="6192" spans="19:19" x14ac:dyDescent="0.3">
      <c r="S6192" s="18"/>
    </row>
    <row r="6193" spans="19:19" x14ac:dyDescent="0.3">
      <c r="S6193" s="19"/>
    </row>
    <row r="6194" spans="19:19" x14ac:dyDescent="0.3">
      <c r="S6194" s="18"/>
    </row>
    <row r="6195" spans="19:19" x14ac:dyDescent="0.3">
      <c r="S6195" s="19"/>
    </row>
    <row r="6196" spans="19:19" x14ac:dyDescent="0.3">
      <c r="S6196" s="18"/>
    </row>
    <row r="6197" spans="19:19" x14ac:dyDescent="0.3">
      <c r="S6197" s="19"/>
    </row>
    <row r="6198" spans="19:19" x14ac:dyDescent="0.3">
      <c r="S6198" s="18"/>
    </row>
    <row r="6199" spans="19:19" x14ac:dyDescent="0.3">
      <c r="S6199" s="19"/>
    </row>
    <row r="6200" spans="19:19" x14ac:dyDescent="0.3">
      <c r="S6200" s="18"/>
    </row>
    <row r="6201" spans="19:19" x14ac:dyDescent="0.3">
      <c r="S6201" s="19"/>
    </row>
    <row r="6202" spans="19:19" x14ac:dyDescent="0.3">
      <c r="S6202" s="18"/>
    </row>
    <row r="6203" spans="19:19" x14ac:dyDescent="0.3">
      <c r="S6203" s="19"/>
    </row>
    <row r="6204" spans="19:19" x14ac:dyDescent="0.3">
      <c r="S6204" s="18"/>
    </row>
    <row r="6205" spans="19:19" x14ac:dyDescent="0.3">
      <c r="S6205" s="19"/>
    </row>
    <row r="6206" spans="19:19" x14ac:dyDescent="0.3">
      <c r="S6206" s="18"/>
    </row>
    <row r="6207" spans="19:19" x14ac:dyDescent="0.3">
      <c r="S6207" s="19"/>
    </row>
    <row r="6208" spans="19:19" x14ac:dyDescent="0.3">
      <c r="S6208" s="18"/>
    </row>
    <row r="6209" spans="19:19" x14ac:dyDescent="0.3">
      <c r="S6209" s="19"/>
    </row>
    <row r="6210" spans="19:19" x14ac:dyDescent="0.3">
      <c r="S6210" s="18"/>
    </row>
    <row r="6211" spans="19:19" x14ac:dyDescent="0.3">
      <c r="S6211" s="19"/>
    </row>
    <row r="6212" spans="19:19" x14ac:dyDescent="0.3">
      <c r="S6212" s="18"/>
    </row>
    <row r="6213" spans="19:19" x14ac:dyDescent="0.3">
      <c r="S6213" s="19"/>
    </row>
    <row r="6214" spans="19:19" x14ac:dyDescent="0.3">
      <c r="S6214" s="18"/>
    </row>
    <row r="6215" spans="19:19" x14ac:dyDescent="0.3">
      <c r="S6215" s="19"/>
    </row>
    <row r="6216" spans="19:19" x14ac:dyDescent="0.3">
      <c r="S6216" s="18"/>
    </row>
    <row r="6217" spans="19:19" x14ac:dyDescent="0.3">
      <c r="S6217" s="19"/>
    </row>
    <row r="6218" spans="19:19" x14ac:dyDescent="0.3">
      <c r="S6218" s="18"/>
    </row>
    <row r="6219" spans="19:19" x14ac:dyDescent="0.3">
      <c r="S6219" s="19"/>
    </row>
    <row r="6220" spans="19:19" x14ac:dyDescent="0.3">
      <c r="S6220" s="18"/>
    </row>
    <row r="6221" spans="19:19" x14ac:dyDescent="0.3">
      <c r="S6221" s="19"/>
    </row>
    <row r="6222" spans="19:19" x14ac:dyDescent="0.3">
      <c r="S6222" s="18"/>
    </row>
    <row r="6223" spans="19:19" x14ac:dyDescent="0.3">
      <c r="S6223" s="19"/>
    </row>
    <row r="6224" spans="19:19" x14ac:dyDescent="0.3">
      <c r="S6224" s="18"/>
    </row>
    <row r="6225" spans="19:19" x14ac:dyDescent="0.3">
      <c r="S6225" s="19"/>
    </row>
    <row r="6226" spans="19:19" x14ac:dyDescent="0.3">
      <c r="S6226" s="18"/>
    </row>
    <row r="6227" spans="19:19" x14ac:dyDescent="0.3">
      <c r="S6227" s="19"/>
    </row>
    <row r="6228" spans="19:19" x14ac:dyDescent="0.3">
      <c r="S6228" s="18"/>
    </row>
    <row r="6229" spans="19:19" x14ac:dyDescent="0.3">
      <c r="S6229" s="19"/>
    </row>
    <row r="6230" spans="19:19" x14ac:dyDescent="0.3">
      <c r="S6230" s="18"/>
    </row>
    <row r="6231" spans="19:19" x14ac:dyDescent="0.3">
      <c r="S6231" s="19"/>
    </row>
    <row r="6232" spans="19:19" x14ac:dyDescent="0.3">
      <c r="S6232" s="18"/>
    </row>
    <row r="6233" spans="19:19" x14ac:dyDescent="0.3">
      <c r="S6233" s="19"/>
    </row>
    <row r="6234" spans="19:19" x14ac:dyDescent="0.3">
      <c r="S6234" s="18"/>
    </row>
    <row r="6235" spans="19:19" x14ac:dyDescent="0.3">
      <c r="S6235" s="19"/>
    </row>
    <row r="6236" spans="19:19" x14ac:dyDescent="0.3">
      <c r="S6236" s="18"/>
    </row>
    <row r="6237" spans="19:19" x14ac:dyDescent="0.3">
      <c r="S6237" s="19"/>
    </row>
    <row r="6238" spans="19:19" x14ac:dyDescent="0.3">
      <c r="S6238" s="18"/>
    </row>
    <row r="6239" spans="19:19" x14ac:dyDescent="0.3">
      <c r="S6239" s="19"/>
    </row>
    <row r="6240" spans="19:19" x14ac:dyDescent="0.3">
      <c r="S6240" s="18"/>
    </row>
    <row r="6241" spans="19:19" x14ac:dyDescent="0.3">
      <c r="S6241" s="19"/>
    </row>
    <row r="6242" spans="19:19" x14ac:dyDescent="0.3">
      <c r="S6242" s="18"/>
    </row>
    <row r="6243" spans="19:19" x14ac:dyDescent="0.3">
      <c r="S6243" s="19"/>
    </row>
    <row r="6244" spans="19:19" x14ac:dyDescent="0.3">
      <c r="S6244" s="18"/>
    </row>
    <row r="6245" spans="19:19" x14ac:dyDescent="0.3">
      <c r="S6245" s="19"/>
    </row>
    <row r="6246" spans="19:19" x14ac:dyDescent="0.3">
      <c r="S6246" s="18"/>
    </row>
    <row r="6247" spans="19:19" x14ac:dyDescent="0.3">
      <c r="S6247" s="19"/>
    </row>
    <row r="6248" spans="19:19" x14ac:dyDescent="0.3">
      <c r="S6248" s="18"/>
    </row>
    <row r="6249" spans="19:19" x14ac:dyDescent="0.3">
      <c r="S6249" s="19"/>
    </row>
    <row r="6250" spans="19:19" x14ac:dyDescent="0.3">
      <c r="S6250" s="18"/>
    </row>
    <row r="6251" spans="19:19" x14ac:dyDescent="0.3">
      <c r="S6251" s="19"/>
    </row>
    <row r="6252" spans="19:19" x14ac:dyDescent="0.3">
      <c r="S6252" s="18"/>
    </row>
    <row r="6253" spans="19:19" x14ac:dyDescent="0.3">
      <c r="S6253" s="19"/>
    </row>
    <row r="6254" spans="19:19" x14ac:dyDescent="0.3">
      <c r="S6254" s="18"/>
    </row>
    <row r="6255" spans="19:19" x14ac:dyDescent="0.3">
      <c r="S6255" s="19"/>
    </row>
    <row r="6256" spans="19:19" x14ac:dyDescent="0.3">
      <c r="S6256" s="18"/>
    </row>
    <row r="6257" spans="19:19" x14ac:dyDescent="0.3">
      <c r="S6257" s="19"/>
    </row>
    <row r="6258" spans="19:19" x14ac:dyDescent="0.3">
      <c r="S6258" s="18"/>
    </row>
    <row r="6259" spans="19:19" x14ac:dyDescent="0.3">
      <c r="S6259" s="19"/>
    </row>
    <row r="6260" spans="19:19" x14ac:dyDescent="0.3">
      <c r="S6260" s="18"/>
    </row>
    <row r="6261" spans="19:19" x14ac:dyDescent="0.3">
      <c r="S6261" s="19"/>
    </row>
    <row r="6262" spans="19:19" x14ac:dyDescent="0.3">
      <c r="S6262" s="18"/>
    </row>
    <row r="6263" spans="19:19" x14ac:dyDescent="0.3">
      <c r="S6263" s="19"/>
    </row>
    <row r="6264" spans="19:19" x14ac:dyDescent="0.3">
      <c r="S6264" s="18"/>
    </row>
    <row r="6265" spans="19:19" x14ac:dyDescent="0.3">
      <c r="S6265" s="19"/>
    </row>
    <row r="6266" spans="19:19" x14ac:dyDescent="0.3">
      <c r="S6266" s="18"/>
    </row>
    <row r="6267" spans="19:19" x14ac:dyDescent="0.3">
      <c r="S6267" s="19"/>
    </row>
    <row r="6268" spans="19:19" x14ac:dyDescent="0.3">
      <c r="S6268" s="18"/>
    </row>
    <row r="6269" spans="19:19" x14ac:dyDescent="0.3">
      <c r="S6269" s="19"/>
    </row>
    <row r="6270" spans="19:19" x14ac:dyDescent="0.3">
      <c r="S6270" s="18"/>
    </row>
    <row r="6271" spans="19:19" x14ac:dyDescent="0.3">
      <c r="S6271" s="19"/>
    </row>
    <row r="6272" spans="19:19" x14ac:dyDescent="0.3">
      <c r="S6272" s="18"/>
    </row>
    <row r="6273" spans="19:19" x14ac:dyDescent="0.3">
      <c r="S6273" s="19"/>
    </row>
    <row r="6274" spans="19:19" x14ac:dyDescent="0.3">
      <c r="S6274" s="18"/>
    </row>
    <row r="6275" spans="19:19" x14ac:dyDescent="0.3">
      <c r="S6275" s="19"/>
    </row>
    <row r="6276" spans="19:19" x14ac:dyDescent="0.3">
      <c r="S6276" s="18"/>
    </row>
    <row r="6277" spans="19:19" x14ac:dyDescent="0.3">
      <c r="S6277" s="19"/>
    </row>
    <row r="6278" spans="19:19" x14ac:dyDescent="0.3">
      <c r="S6278" s="18"/>
    </row>
    <row r="6279" spans="19:19" x14ac:dyDescent="0.3">
      <c r="S6279" s="19"/>
    </row>
    <row r="6280" spans="19:19" x14ac:dyDescent="0.3">
      <c r="S6280" s="18"/>
    </row>
    <row r="6281" spans="19:19" x14ac:dyDescent="0.3">
      <c r="S6281" s="19"/>
    </row>
    <row r="6282" spans="19:19" x14ac:dyDescent="0.3">
      <c r="S6282" s="18"/>
    </row>
    <row r="6283" spans="19:19" x14ac:dyDescent="0.3">
      <c r="S6283" s="19"/>
    </row>
    <row r="6284" spans="19:19" x14ac:dyDescent="0.3">
      <c r="S6284" s="18"/>
    </row>
    <row r="6285" spans="19:19" x14ac:dyDescent="0.3">
      <c r="S6285" s="19"/>
    </row>
    <row r="6286" spans="19:19" x14ac:dyDescent="0.3">
      <c r="S6286" s="18"/>
    </row>
    <row r="6287" spans="19:19" x14ac:dyDescent="0.3">
      <c r="S6287" s="19"/>
    </row>
    <row r="6288" spans="19:19" x14ac:dyDescent="0.3">
      <c r="S6288" s="18"/>
    </row>
    <row r="6289" spans="19:19" x14ac:dyDescent="0.3">
      <c r="S6289" s="19"/>
    </row>
    <row r="6290" spans="19:19" x14ac:dyDescent="0.3">
      <c r="S6290" s="18"/>
    </row>
    <row r="6291" spans="19:19" x14ac:dyDescent="0.3">
      <c r="S6291" s="19"/>
    </row>
    <row r="6292" spans="19:19" x14ac:dyDescent="0.3">
      <c r="S6292" s="18"/>
    </row>
    <row r="6293" spans="19:19" x14ac:dyDescent="0.3">
      <c r="S6293" s="19"/>
    </row>
    <row r="6294" spans="19:19" x14ac:dyDescent="0.3">
      <c r="S6294" s="18"/>
    </row>
    <row r="6295" spans="19:19" x14ac:dyDescent="0.3">
      <c r="S6295" s="19"/>
    </row>
    <row r="6296" spans="19:19" x14ac:dyDescent="0.3">
      <c r="S6296" s="18"/>
    </row>
    <row r="6297" spans="19:19" x14ac:dyDescent="0.3">
      <c r="S6297" s="19"/>
    </row>
    <row r="6298" spans="19:19" x14ac:dyDescent="0.3">
      <c r="S6298" s="18"/>
    </row>
    <row r="6299" spans="19:19" x14ac:dyDescent="0.3">
      <c r="S6299" s="19"/>
    </row>
    <row r="6300" spans="19:19" x14ac:dyDescent="0.3">
      <c r="S6300" s="18"/>
    </row>
    <row r="6301" spans="19:19" x14ac:dyDescent="0.3">
      <c r="S6301" s="19"/>
    </row>
    <row r="6302" spans="19:19" x14ac:dyDescent="0.3">
      <c r="S6302" s="18"/>
    </row>
    <row r="6303" spans="19:19" x14ac:dyDescent="0.3">
      <c r="S6303" s="19"/>
    </row>
    <row r="6304" spans="19:19" x14ac:dyDescent="0.3">
      <c r="S6304" s="18"/>
    </row>
    <row r="6305" spans="19:19" x14ac:dyDescent="0.3">
      <c r="S6305" s="19"/>
    </row>
    <row r="6306" spans="19:19" x14ac:dyDescent="0.3">
      <c r="S6306" s="18"/>
    </row>
    <row r="6307" spans="19:19" x14ac:dyDescent="0.3">
      <c r="S6307" s="19"/>
    </row>
    <row r="6308" spans="19:19" x14ac:dyDescent="0.3">
      <c r="S6308" s="18"/>
    </row>
    <row r="6309" spans="19:19" x14ac:dyDescent="0.3">
      <c r="S6309" s="19"/>
    </row>
    <row r="6310" spans="19:19" x14ac:dyDescent="0.3">
      <c r="S6310" s="18"/>
    </row>
    <row r="6311" spans="19:19" x14ac:dyDescent="0.3">
      <c r="S6311" s="19"/>
    </row>
    <row r="6312" spans="19:19" x14ac:dyDescent="0.3">
      <c r="S6312" s="18"/>
    </row>
    <row r="6313" spans="19:19" x14ac:dyDescent="0.3">
      <c r="S6313" s="19"/>
    </row>
    <row r="6314" spans="19:19" x14ac:dyDescent="0.3">
      <c r="S6314" s="18"/>
    </row>
    <row r="6315" spans="19:19" x14ac:dyDescent="0.3">
      <c r="S6315" s="19"/>
    </row>
    <row r="6316" spans="19:19" x14ac:dyDescent="0.3">
      <c r="S6316" s="18"/>
    </row>
    <row r="6317" spans="19:19" x14ac:dyDescent="0.3">
      <c r="S6317" s="19"/>
    </row>
    <row r="6318" spans="19:19" x14ac:dyDescent="0.3">
      <c r="S6318" s="18"/>
    </row>
    <row r="6319" spans="19:19" x14ac:dyDescent="0.3">
      <c r="S6319" s="19"/>
    </row>
    <row r="6320" spans="19:19" x14ac:dyDescent="0.3">
      <c r="S6320" s="18"/>
    </row>
    <row r="6321" spans="19:19" x14ac:dyDescent="0.3">
      <c r="S6321" s="19"/>
    </row>
    <row r="6322" spans="19:19" x14ac:dyDescent="0.3">
      <c r="S6322" s="18"/>
    </row>
    <row r="6323" spans="19:19" x14ac:dyDescent="0.3">
      <c r="S6323" s="19"/>
    </row>
    <row r="6324" spans="19:19" x14ac:dyDescent="0.3">
      <c r="S6324" s="18"/>
    </row>
    <row r="6325" spans="19:19" x14ac:dyDescent="0.3">
      <c r="S6325" s="19"/>
    </row>
    <row r="6326" spans="19:19" x14ac:dyDescent="0.3">
      <c r="S6326" s="18"/>
    </row>
    <row r="6327" spans="19:19" x14ac:dyDescent="0.3">
      <c r="S6327" s="19"/>
    </row>
    <row r="6328" spans="19:19" x14ac:dyDescent="0.3">
      <c r="S6328" s="18"/>
    </row>
    <row r="6329" spans="19:19" x14ac:dyDescent="0.3">
      <c r="S6329" s="19"/>
    </row>
    <row r="6330" spans="19:19" x14ac:dyDescent="0.3">
      <c r="S6330" s="18"/>
    </row>
    <row r="6331" spans="19:19" x14ac:dyDescent="0.3">
      <c r="S6331" s="19"/>
    </row>
    <row r="6332" spans="19:19" x14ac:dyDescent="0.3">
      <c r="S6332" s="18"/>
    </row>
    <row r="6333" spans="19:19" x14ac:dyDescent="0.3">
      <c r="S6333" s="19"/>
    </row>
    <row r="6334" spans="19:19" x14ac:dyDescent="0.3">
      <c r="S6334" s="18"/>
    </row>
    <row r="6335" spans="19:19" x14ac:dyDescent="0.3">
      <c r="S6335" s="19"/>
    </row>
    <row r="6336" spans="19:19" x14ac:dyDescent="0.3">
      <c r="S6336" s="18"/>
    </row>
    <row r="6337" spans="19:19" x14ac:dyDescent="0.3">
      <c r="S6337" s="19"/>
    </row>
    <row r="6338" spans="19:19" x14ac:dyDescent="0.3">
      <c r="S6338" s="18"/>
    </row>
    <row r="6339" spans="19:19" x14ac:dyDescent="0.3">
      <c r="S6339" s="19"/>
    </row>
    <row r="6340" spans="19:19" x14ac:dyDescent="0.3">
      <c r="S6340" s="18"/>
    </row>
    <row r="6341" spans="19:19" x14ac:dyDescent="0.3">
      <c r="S6341" s="19"/>
    </row>
    <row r="6342" spans="19:19" x14ac:dyDescent="0.3">
      <c r="S6342" s="18"/>
    </row>
    <row r="6343" spans="19:19" x14ac:dyDescent="0.3">
      <c r="S6343" s="19"/>
    </row>
    <row r="6344" spans="19:19" x14ac:dyDescent="0.3">
      <c r="S6344" s="18"/>
    </row>
    <row r="6345" spans="19:19" x14ac:dyDescent="0.3">
      <c r="S6345" s="19"/>
    </row>
    <row r="6346" spans="19:19" x14ac:dyDescent="0.3">
      <c r="S6346" s="18"/>
    </row>
    <row r="6347" spans="19:19" x14ac:dyDescent="0.3">
      <c r="S6347" s="19"/>
    </row>
    <row r="6348" spans="19:19" x14ac:dyDescent="0.3">
      <c r="S6348" s="18"/>
    </row>
    <row r="6349" spans="19:19" x14ac:dyDescent="0.3">
      <c r="S6349" s="19"/>
    </row>
    <row r="6350" spans="19:19" x14ac:dyDescent="0.3">
      <c r="S6350" s="18"/>
    </row>
    <row r="6351" spans="19:19" x14ac:dyDescent="0.3">
      <c r="S6351" s="19"/>
    </row>
    <row r="6352" spans="19:19" x14ac:dyDescent="0.3">
      <c r="S6352" s="18"/>
    </row>
    <row r="6353" spans="19:19" x14ac:dyDescent="0.3">
      <c r="S6353" s="19"/>
    </row>
    <row r="6354" spans="19:19" x14ac:dyDescent="0.3">
      <c r="S6354" s="18"/>
    </row>
    <row r="6355" spans="19:19" x14ac:dyDescent="0.3">
      <c r="S6355" s="19"/>
    </row>
    <row r="6356" spans="19:19" x14ac:dyDescent="0.3">
      <c r="S6356" s="18"/>
    </row>
    <row r="6357" spans="19:19" x14ac:dyDescent="0.3">
      <c r="S6357" s="19"/>
    </row>
    <row r="6358" spans="19:19" x14ac:dyDescent="0.3">
      <c r="S6358" s="18"/>
    </row>
    <row r="6359" spans="19:19" x14ac:dyDescent="0.3">
      <c r="S6359" s="19"/>
    </row>
    <row r="6360" spans="19:19" x14ac:dyDescent="0.3">
      <c r="S6360" s="18"/>
    </row>
    <row r="6361" spans="19:19" x14ac:dyDescent="0.3">
      <c r="S6361" s="19"/>
    </row>
    <row r="6362" spans="19:19" x14ac:dyDescent="0.3">
      <c r="S6362" s="18"/>
    </row>
    <row r="6363" spans="19:19" x14ac:dyDescent="0.3">
      <c r="S6363" s="19"/>
    </row>
    <row r="6364" spans="19:19" x14ac:dyDescent="0.3">
      <c r="S6364" s="18"/>
    </row>
    <row r="6365" spans="19:19" x14ac:dyDescent="0.3">
      <c r="S6365" s="19"/>
    </row>
    <row r="6366" spans="19:19" x14ac:dyDescent="0.3">
      <c r="S6366" s="18"/>
    </row>
    <row r="6367" spans="19:19" x14ac:dyDescent="0.3">
      <c r="S6367" s="19"/>
    </row>
    <row r="6368" spans="19:19" x14ac:dyDescent="0.3">
      <c r="S6368" s="18"/>
    </row>
    <row r="6369" spans="19:19" x14ac:dyDescent="0.3">
      <c r="S6369" s="19"/>
    </row>
    <row r="6370" spans="19:19" x14ac:dyDescent="0.3">
      <c r="S6370" s="18"/>
    </row>
    <row r="6371" spans="19:19" x14ac:dyDescent="0.3">
      <c r="S6371" s="19"/>
    </row>
    <row r="6372" spans="19:19" x14ac:dyDescent="0.3">
      <c r="S6372" s="18"/>
    </row>
    <row r="6373" spans="19:19" x14ac:dyDescent="0.3">
      <c r="S6373" s="19"/>
    </row>
    <row r="6374" spans="19:19" x14ac:dyDescent="0.3">
      <c r="S6374" s="18"/>
    </row>
    <row r="6375" spans="19:19" x14ac:dyDescent="0.3">
      <c r="S6375" s="19"/>
    </row>
    <row r="6376" spans="19:19" x14ac:dyDescent="0.3">
      <c r="S6376" s="18"/>
    </row>
    <row r="6377" spans="19:19" x14ac:dyDescent="0.3">
      <c r="S6377" s="19"/>
    </row>
    <row r="6378" spans="19:19" x14ac:dyDescent="0.3">
      <c r="S6378" s="18"/>
    </row>
    <row r="6379" spans="19:19" x14ac:dyDescent="0.3">
      <c r="S6379" s="19"/>
    </row>
    <row r="6380" spans="19:19" x14ac:dyDescent="0.3">
      <c r="S6380" s="18"/>
    </row>
    <row r="6381" spans="19:19" x14ac:dyDescent="0.3">
      <c r="S6381" s="19"/>
    </row>
    <row r="6382" spans="19:19" x14ac:dyDescent="0.3">
      <c r="S6382" s="18"/>
    </row>
    <row r="6383" spans="19:19" x14ac:dyDescent="0.3">
      <c r="S6383" s="19"/>
    </row>
    <row r="6384" spans="19:19" x14ac:dyDescent="0.3">
      <c r="S6384" s="18"/>
    </row>
    <row r="6385" spans="19:19" x14ac:dyDescent="0.3">
      <c r="S6385" s="19"/>
    </row>
    <row r="6386" spans="19:19" x14ac:dyDescent="0.3">
      <c r="S6386" s="18"/>
    </row>
    <row r="6387" spans="19:19" x14ac:dyDescent="0.3">
      <c r="S6387" s="19"/>
    </row>
    <row r="6388" spans="19:19" x14ac:dyDescent="0.3">
      <c r="S6388" s="18"/>
    </row>
    <row r="6389" spans="19:19" x14ac:dyDescent="0.3">
      <c r="S6389" s="19"/>
    </row>
    <row r="6390" spans="19:19" x14ac:dyDescent="0.3">
      <c r="S6390" s="18"/>
    </row>
    <row r="6391" spans="19:19" x14ac:dyDescent="0.3">
      <c r="S6391" s="19"/>
    </row>
    <row r="6392" spans="19:19" x14ac:dyDescent="0.3">
      <c r="S6392" s="18"/>
    </row>
    <row r="6393" spans="19:19" x14ac:dyDescent="0.3">
      <c r="S6393" s="19"/>
    </row>
    <row r="6394" spans="19:19" x14ac:dyDescent="0.3">
      <c r="S6394" s="18"/>
    </row>
    <row r="6395" spans="19:19" x14ac:dyDescent="0.3">
      <c r="S6395" s="19"/>
    </row>
    <row r="6396" spans="19:19" x14ac:dyDescent="0.3">
      <c r="S6396" s="18"/>
    </row>
    <row r="6397" spans="19:19" x14ac:dyDescent="0.3">
      <c r="S6397" s="19"/>
    </row>
    <row r="6398" spans="19:19" x14ac:dyDescent="0.3">
      <c r="S6398" s="18"/>
    </row>
    <row r="6399" spans="19:19" x14ac:dyDescent="0.3">
      <c r="S6399" s="19"/>
    </row>
    <row r="6400" spans="19:19" x14ac:dyDescent="0.3">
      <c r="S6400" s="18"/>
    </row>
    <row r="6401" spans="19:19" x14ac:dyDescent="0.3">
      <c r="S6401" s="19"/>
    </row>
    <row r="6402" spans="19:19" x14ac:dyDescent="0.3">
      <c r="S6402" s="18"/>
    </row>
    <row r="6403" spans="19:19" x14ac:dyDescent="0.3">
      <c r="S6403" s="19"/>
    </row>
    <row r="6404" spans="19:19" x14ac:dyDescent="0.3">
      <c r="S6404" s="18"/>
    </row>
    <row r="6405" spans="19:19" x14ac:dyDescent="0.3">
      <c r="S6405" s="19"/>
    </row>
    <row r="6406" spans="19:19" x14ac:dyDescent="0.3">
      <c r="S6406" s="18"/>
    </row>
    <row r="6407" spans="19:19" x14ac:dyDescent="0.3">
      <c r="S6407" s="19"/>
    </row>
    <row r="6408" spans="19:19" x14ac:dyDescent="0.3">
      <c r="S6408" s="18"/>
    </row>
    <row r="6409" spans="19:19" x14ac:dyDescent="0.3">
      <c r="S6409" s="19"/>
    </row>
    <row r="6410" spans="19:19" x14ac:dyDescent="0.3">
      <c r="S6410" s="18"/>
    </row>
    <row r="6411" spans="19:19" x14ac:dyDescent="0.3">
      <c r="S6411" s="19"/>
    </row>
    <row r="6412" spans="19:19" x14ac:dyDescent="0.3">
      <c r="S6412" s="18"/>
    </row>
    <row r="6413" spans="19:19" x14ac:dyDescent="0.3">
      <c r="S6413" s="19"/>
    </row>
    <row r="6414" spans="19:19" x14ac:dyDescent="0.3">
      <c r="S6414" s="18"/>
    </row>
    <row r="6415" spans="19:19" x14ac:dyDescent="0.3">
      <c r="S6415" s="19"/>
    </row>
    <row r="6416" spans="19:19" x14ac:dyDescent="0.3">
      <c r="S6416" s="18"/>
    </row>
    <row r="6417" spans="19:19" x14ac:dyDescent="0.3">
      <c r="S6417" s="19"/>
    </row>
    <row r="6418" spans="19:19" x14ac:dyDescent="0.3">
      <c r="S6418" s="18"/>
    </row>
    <row r="6419" spans="19:19" x14ac:dyDescent="0.3">
      <c r="S6419" s="19"/>
    </row>
    <row r="6420" spans="19:19" x14ac:dyDescent="0.3">
      <c r="S6420" s="18"/>
    </row>
    <row r="6421" spans="19:19" x14ac:dyDescent="0.3">
      <c r="S6421" s="19"/>
    </row>
    <row r="6422" spans="19:19" x14ac:dyDescent="0.3">
      <c r="S6422" s="18"/>
    </row>
    <row r="6423" spans="19:19" x14ac:dyDescent="0.3">
      <c r="S6423" s="19"/>
    </row>
    <row r="6424" spans="19:19" x14ac:dyDescent="0.3">
      <c r="S6424" s="18"/>
    </row>
    <row r="6425" spans="19:19" x14ac:dyDescent="0.3">
      <c r="S6425" s="19"/>
    </row>
    <row r="6426" spans="19:19" x14ac:dyDescent="0.3">
      <c r="S6426" s="18"/>
    </row>
    <row r="6427" spans="19:19" x14ac:dyDescent="0.3">
      <c r="S6427" s="19"/>
    </row>
    <row r="6428" spans="19:19" x14ac:dyDescent="0.3">
      <c r="S6428" s="18"/>
    </row>
    <row r="6429" spans="19:19" x14ac:dyDescent="0.3">
      <c r="S6429" s="19"/>
    </row>
    <row r="6430" spans="19:19" x14ac:dyDescent="0.3">
      <c r="S6430" s="18"/>
    </row>
    <row r="6431" spans="19:19" x14ac:dyDescent="0.3">
      <c r="S6431" s="19"/>
    </row>
    <row r="6432" spans="19:19" x14ac:dyDescent="0.3">
      <c r="S6432" s="18"/>
    </row>
    <row r="6433" spans="19:19" x14ac:dyDescent="0.3">
      <c r="S6433" s="19"/>
    </row>
    <row r="6434" spans="19:19" x14ac:dyDescent="0.3">
      <c r="S6434" s="18"/>
    </row>
    <row r="6435" spans="19:19" x14ac:dyDescent="0.3">
      <c r="S6435" s="19"/>
    </row>
    <row r="6436" spans="19:19" x14ac:dyDescent="0.3">
      <c r="S6436" s="18"/>
    </row>
    <row r="6437" spans="19:19" x14ac:dyDescent="0.3">
      <c r="S6437" s="19"/>
    </row>
    <row r="6438" spans="19:19" x14ac:dyDescent="0.3">
      <c r="S6438" s="18"/>
    </row>
    <row r="6439" spans="19:19" x14ac:dyDescent="0.3">
      <c r="S6439" s="19"/>
    </row>
    <row r="6440" spans="19:19" x14ac:dyDescent="0.3">
      <c r="S6440" s="18"/>
    </row>
    <row r="6441" spans="19:19" x14ac:dyDescent="0.3">
      <c r="S6441" s="19"/>
    </row>
    <row r="6442" spans="19:19" x14ac:dyDescent="0.3">
      <c r="S6442" s="18"/>
    </row>
    <row r="6443" spans="19:19" x14ac:dyDescent="0.3">
      <c r="S6443" s="19"/>
    </row>
    <row r="6444" spans="19:19" x14ac:dyDescent="0.3">
      <c r="S6444" s="18"/>
    </row>
    <row r="6445" spans="19:19" x14ac:dyDescent="0.3">
      <c r="S6445" s="19"/>
    </row>
    <row r="6446" spans="19:19" x14ac:dyDescent="0.3">
      <c r="S6446" s="18"/>
    </row>
    <row r="6447" spans="19:19" x14ac:dyDescent="0.3">
      <c r="S6447" s="19"/>
    </row>
    <row r="6448" spans="19:19" x14ac:dyDescent="0.3">
      <c r="S6448" s="18"/>
    </row>
    <row r="6449" spans="19:19" x14ac:dyDescent="0.3">
      <c r="S6449" s="19"/>
    </row>
    <row r="6450" spans="19:19" x14ac:dyDescent="0.3">
      <c r="S6450" s="18"/>
    </row>
    <row r="6451" spans="19:19" x14ac:dyDescent="0.3">
      <c r="S6451" s="19"/>
    </row>
    <row r="6452" spans="19:19" x14ac:dyDescent="0.3">
      <c r="S6452" s="18"/>
    </row>
    <row r="6453" spans="19:19" x14ac:dyDescent="0.3">
      <c r="S6453" s="19"/>
    </row>
    <row r="6454" spans="19:19" x14ac:dyDescent="0.3">
      <c r="S6454" s="18"/>
    </row>
    <row r="6455" spans="19:19" x14ac:dyDescent="0.3">
      <c r="S6455" s="19"/>
    </row>
    <row r="6456" spans="19:19" x14ac:dyDescent="0.3">
      <c r="S6456" s="18"/>
    </row>
    <row r="6457" spans="19:19" x14ac:dyDescent="0.3">
      <c r="S6457" s="19"/>
    </row>
    <row r="6458" spans="19:19" x14ac:dyDescent="0.3">
      <c r="S6458" s="18"/>
    </row>
    <row r="6459" spans="19:19" x14ac:dyDescent="0.3">
      <c r="S6459" s="19"/>
    </row>
    <row r="6460" spans="19:19" x14ac:dyDescent="0.3">
      <c r="S6460" s="18"/>
    </row>
    <row r="6461" spans="19:19" x14ac:dyDescent="0.3">
      <c r="S6461" s="19"/>
    </row>
    <row r="6462" spans="19:19" x14ac:dyDescent="0.3">
      <c r="S6462" s="18"/>
    </row>
    <row r="6463" spans="19:19" x14ac:dyDescent="0.3">
      <c r="S6463" s="19"/>
    </row>
    <row r="6464" spans="19:19" x14ac:dyDescent="0.3">
      <c r="S6464" s="18"/>
    </row>
    <row r="6465" spans="19:19" x14ac:dyDescent="0.3">
      <c r="S6465" s="19"/>
    </row>
    <row r="6466" spans="19:19" x14ac:dyDescent="0.3">
      <c r="S6466" s="18"/>
    </row>
    <row r="6467" spans="19:19" x14ac:dyDescent="0.3">
      <c r="S6467" s="19"/>
    </row>
    <row r="6468" spans="19:19" x14ac:dyDescent="0.3">
      <c r="S6468" s="18"/>
    </row>
    <row r="6469" spans="19:19" x14ac:dyDescent="0.3">
      <c r="S6469" s="19"/>
    </row>
    <row r="6470" spans="19:19" x14ac:dyDescent="0.3">
      <c r="S6470" s="18"/>
    </row>
    <row r="6471" spans="19:19" x14ac:dyDescent="0.3">
      <c r="S6471" s="19"/>
    </row>
    <row r="6472" spans="19:19" x14ac:dyDescent="0.3">
      <c r="S6472" s="18"/>
    </row>
    <row r="6473" spans="19:19" x14ac:dyDescent="0.3">
      <c r="S6473" s="19"/>
    </row>
    <row r="6474" spans="19:19" x14ac:dyDescent="0.3">
      <c r="S6474" s="18"/>
    </row>
    <row r="6475" spans="19:19" x14ac:dyDescent="0.3">
      <c r="S6475" s="19"/>
    </row>
    <row r="6476" spans="19:19" x14ac:dyDescent="0.3">
      <c r="S6476" s="18"/>
    </row>
    <row r="6477" spans="19:19" x14ac:dyDescent="0.3">
      <c r="S6477" s="19"/>
    </row>
    <row r="6478" spans="19:19" x14ac:dyDescent="0.3">
      <c r="S6478" s="18"/>
    </row>
    <row r="6479" spans="19:19" x14ac:dyDescent="0.3">
      <c r="S6479" s="19"/>
    </row>
    <row r="6480" spans="19:19" x14ac:dyDescent="0.3">
      <c r="S6480" s="18"/>
    </row>
    <row r="6481" spans="19:19" x14ac:dyDescent="0.3">
      <c r="S6481" s="19"/>
    </row>
    <row r="6482" spans="19:19" x14ac:dyDescent="0.3">
      <c r="S6482" s="18"/>
    </row>
    <row r="6483" spans="19:19" x14ac:dyDescent="0.3">
      <c r="S6483" s="19"/>
    </row>
    <row r="6484" spans="19:19" x14ac:dyDescent="0.3">
      <c r="S6484" s="18"/>
    </row>
    <row r="6485" spans="19:19" x14ac:dyDescent="0.3">
      <c r="S6485" s="19"/>
    </row>
    <row r="6486" spans="19:19" x14ac:dyDescent="0.3">
      <c r="S6486" s="18"/>
    </row>
    <row r="6487" spans="19:19" x14ac:dyDescent="0.3">
      <c r="S6487" s="19"/>
    </row>
    <row r="6488" spans="19:19" x14ac:dyDescent="0.3">
      <c r="S6488" s="18"/>
    </row>
    <row r="6489" spans="19:19" x14ac:dyDescent="0.3">
      <c r="S6489" s="19"/>
    </row>
    <row r="6490" spans="19:19" x14ac:dyDescent="0.3">
      <c r="S6490" s="18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E4067-E0A4-489D-AB75-1CF9F47C9F49}">
  <dimension ref="B1:D181"/>
  <sheetViews>
    <sheetView workbookViewId="0">
      <selection activeCell="F19" sqref="F19"/>
    </sheetView>
  </sheetViews>
  <sheetFormatPr defaultRowHeight="14.4" x14ac:dyDescent="0.3"/>
  <cols>
    <col min="2" max="2" width="23.77734375" bestFit="1" customWidth="1"/>
  </cols>
  <sheetData>
    <row r="1" spans="2:4" x14ac:dyDescent="0.3">
      <c r="B1" t="s">
        <v>3803</v>
      </c>
    </row>
    <row r="2" spans="2:4" x14ac:dyDescent="0.3">
      <c r="B2" s="18" t="s">
        <v>3355</v>
      </c>
      <c r="C2">
        <f>COUNTIFS(tbPedido[Nome],Apoio2!B2) + ROW()/10000000000</f>
        <v>22.0000000002</v>
      </c>
      <c r="D2">
        <f>_xlfn.RANK.EQ(C2,$C$2:$C$181)</f>
        <v>1</v>
      </c>
    </row>
    <row r="3" spans="2:4" x14ac:dyDescent="0.3">
      <c r="B3" s="19" t="s">
        <v>3421</v>
      </c>
      <c r="C3">
        <f>COUNTIFS(tbPedido[Nome],Apoio2!B3) + ROW()/10000000000</f>
        <v>3.0000000003</v>
      </c>
      <c r="D3">
        <f t="shared" ref="D3:D66" si="0">_xlfn.RANK.EQ(C3,$C$2:$C$181)</f>
        <v>35</v>
      </c>
    </row>
    <row r="4" spans="2:4" x14ac:dyDescent="0.3">
      <c r="B4" s="18" t="s">
        <v>3339</v>
      </c>
      <c r="C4">
        <f>COUNTIFS(tbPedido[Nome],Apoio2!B4) + ROW()/10000000000</f>
        <v>3.0000000004</v>
      </c>
      <c r="D4">
        <f t="shared" si="0"/>
        <v>34</v>
      </c>
    </row>
    <row r="5" spans="2:4" x14ac:dyDescent="0.3">
      <c r="B5" s="19" t="s">
        <v>3336</v>
      </c>
      <c r="C5">
        <f>COUNTIFS(tbPedido[Nome],Apoio2!B5) + ROW()/10000000000</f>
        <v>15.0000000005</v>
      </c>
      <c r="D5">
        <f t="shared" si="0"/>
        <v>4</v>
      </c>
    </row>
    <row r="6" spans="2:4" x14ac:dyDescent="0.3">
      <c r="B6" s="18" t="s">
        <v>3519</v>
      </c>
      <c r="C6">
        <f>COUNTIFS(tbPedido[Nome],Apoio2!B6) + ROW()/10000000000</f>
        <v>3.0000000006</v>
      </c>
      <c r="D6">
        <f t="shared" si="0"/>
        <v>33</v>
      </c>
    </row>
    <row r="7" spans="2:4" x14ac:dyDescent="0.3">
      <c r="B7" s="19" t="s">
        <v>3478</v>
      </c>
      <c r="C7">
        <f>COUNTIFS(tbPedido[Nome],Apoio2!B7) + ROW()/10000000000</f>
        <v>1.0000000007000001</v>
      </c>
      <c r="D7">
        <f t="shared" si="0"/>
        <v>180</v>
      </c>
    </row>
    <row r="8" spans="2:4" x14ac:dyDescent="0.3">
      <c r="B8" s="18" t="s">
        <v>3543</v>
      </c>
      <c r="C8">
        <f>COUNTIFS(tbPedido[Nome],Apoio2!B8) + ROW()/10000000000</f>
        <v>2.0000000008000001</v>
      </c>
      <c r="D8">
        <f t="shared" si="0"/>
        <v>67</v>
      </c>
    </row>
    <row r="9" spans="2:4" x14ac:dyDescent="0.3">
      <c r="B9" s="19" t="s">
        <v>3503</v>
      </c>
      <c r="C9">
        <f>COUNTIFS(tbPedido[Nome],Apoio2!B9) + ROW()/10000000000</f>
        <v>2.0000000009000001</v>
      </c>
      <c r="D9">
        <f t="shared" si="0"/>
        <v>66</v>
      </c>
    </row>
    <row r="10" spans="2:4" x14ac:dyDescent="0.3">
      <c r="B10" s="19" t="s">
        <v>3346</v>
      </c>
      <c r="C10">
        <f>COUNTIFS(tbPedido[Nome],Apoio2!B10) + ROW()/10000000000</f>
        <v>15.000000001</v>
      </c>
      <c r="D10">
        <f t="shared" si="0"/>
        <v>3</v>
      </c>
    </row>
    <row r="11" spans="2:4" x14ac:dyDescent="0.3">
      <c r="B11" s="18" t="s">
        <v>3632</v>
      </c>
      <c r="C11">
        <f>COUNTIFS(tbPedido[Nome],Apoio2!B11) + ROW()/10000000000</f>
        <v>3.0000000011000001</v>
      </c>
      <c r="D11">
        <f t="shared" si="0"/>
        <v>32</v>
      </c>
    </row>
    <row r="12" spans="2:4" x14ac:dyDescent="0.3">
      <c r="B12" s="19" t="s">
        <v>3611</v>
      </c>
      <c r="C12">
        <f>COUNTIFS(tbPedido[Nome],Apoio2!B12) + ROW()/10000000000</f>
        <v>3.0000000012000001</v>
      </c>
      <c r="D12">
        <f t="shared" si="0"/>
        <v>31</v>
      </c>
    </row>
    <row r="13" spans="2:4" x14ac:dyDescent="0.3">
      <c r="B13" s="18" t="s">
        <v>3422</v>
      </c>
      <c r="C13">
        <f>COUNTIFS(tbPedido[Nome],Apoio2!B13) + ROW()/10000000000</f>
        <v>3.0000000013000001</v>
      </c>
      <c r="D13">
        <f t="shared" si="0"/>
        <v>30</v>
      </c>
    </row>
    <row r="14" spans="2:4" x14ac:dyDescent="0.3">
      <c r="B14" s="18" t="s">
        <v>3515</v>
      </c>
      <c r="C14">
        <f>COUNTIFS(tbPedido[Nome],Apoio2!B14) + ROW()/10000000000</f>
        <v>3.0000000014000001</v>
      </c>
      <c r="D14">
        <f t="shared" si="0"/>
        <v>29</v>
      </c>
    </row>
    <row r="15" spans="2:4" x14ac:dyDescent="0.3">
      <c r="B15" s="19" t="s">
        <v>3467</v>
      </c>
      <c r="C15">
        <f>COUNTIFS(tbPedido[Nome],Apoio2!B15) + ROW()/10000000000</f>
        <v>3.0000000015000001</v>
      </c>
      <c r="D15">
        <f t="shared" si="0"/>
        <v>28</v>
      </c>
    </row>
    <row r="16" spans="2:4" x14ac:dyDescent="0.3">
      <c r="B16" s="18" t="s">
        <v>3716</v>
      </c>
      <c r="C16">
        <f>COUNTIFS(tbPedido[Nome],Apoio2!B16) + ROW()/10000000000</f>
        <v>2.0000000016000001</v>
      </c>
      <c r="D16">
        <f t="shared" si="0"/>
        <v>65</v>
      </c>
    </row>
    <row r="17" spans="2:4" x14ac:dyDescent="0.3">
      <c r="B17" s="19" t="s">
        <v>3621</v>
      </c>
      <c r="C17">
        <f>COUNTIFS(tbPedido[Nome],Apoio2!B17) + ROW()/10000000000</f>
        <v>1.0000000016999999</v>
      </c>
      <c r="D17">
        <f t="shared" si="0"/>
        <v>179</v>
      </c>
    </row>
    <row r="18" spans="2:4" x14ac:dyDescent="0.3">
      <c r="B18" s="18" t="s">
        <v>3617</v>
      </c>
      <c r="C18">
        <f>COUNTIFS(tbPedido[Nome],Apoio2!B18) + ROW()/10000000000</f>
        <v>1.0000000017999999</v>
      </c>
      <c r="D18">
        <f t="shared" si="0"/>
        <v>178</v>
      </c>
    </row>
    <row r="19" spans="2:4" x14ac:dyDescent="0.3">
      <c r="B19" s="19" t="s">
        <v>3529</v>
      </c>
      <c r="C19">
        <f>COUNTIFS(tbPedido[Nome],Apoio2!B19) + ROW()/10000000000</f>
        <v>3.0000000019000002</v>
      </c>
      <c r="D19">
        <f t="shared" si="0"/>
        <v>27</v>
      </c>
    </row>
    <row r="20" spans="2:4" x14ac:dyDescent="0.3">
      <c r="B20" s="18" t="s">
        <v>3403</v>
      </c>
      <c r="C20">
        <f>COUNTIFS(tbPedido[Nome],Apoio2!B20) + ROW()/10000000000</f>
        <v>3.0000000020000002</v>
      </c>
      <c r="D20">
        <f t="shared" si="0"/>
        <v>26</v>
      </c>
    </row>
    <row r="21" spans="2:4" x14ac:dyDescent="0.3">
      <c r="B21" s="19" t="s">
        <v>3329</v>
      </c>
      <c r="C21">
        <f>COUNTIFS(tbPedido[Nome],Apoio2!B21) + ROW()/10000000000</f>
        <v>2.0000000021000002</v>
      </c>
      <c r="D21">
        <f t="shared" si="0"/>
        <v>64</v>
      </c>
    </row>
    <row r="22" spans="2:4" x14ac:dyDescent="0.3">
      <c r="B22" s="18" t="s">
        <v>3348</v>
      </c>
      <c r="C22">
        <f>COUNTIFS(tbPedido[Nome],Apoio2!B22) + ROW()/10000000000</f>
        <v>15.0000000022</v>
      </c>
      <c r="D22">
        <f t="shared" si="0"/>
        <v>2</v>
      </c>
    </row>
    <row r="23" spans="2:4" x14ac:dyDescent="0.3">
      <c r="B23" s="19" t="s">
        <v>3481</v>
      </c>
      <c r="C23">
        <f>COUNTIFS(tbPedido[Nome],Apoio2!B23) + ROW()/10000000000</f>
        <v>6.0000000023000002</v>
      </c>
      <c r="D23">
        <f t="shared" si="0"/>
        <v>9</v>
      </c>
    </row>
    <row r="24" spans="2:4" x14ac:dyDescent="0.3">
      <c r="B24" s="19" t="s">
        <v>3391</v>
      </c>
      <c r="C24">
        <f>COUNTIFS(tbPedido[Nome],Apoio2!B24) + ROW()/10000000000</f>
        <v>1.0000000024</v>
      </c>
      <c r="D24">
        <f t="shared" si="0"/>
        <v>177</v>
      </c>
    </row>
    <row r="25" spans="2:4" x14ac:dyDescent="0.3">
      <c r="B25" s="18" t="s">
        <v>3381</v>
      </c>
      <c r="C25">
        <f>COUNTIFS(tbPedido[Nome],Apoio2!B25) + ROW()/10000000000</f>
        <v>6.0000000025000002</v>
      </c>
      <c r="D25">
        <f t="shared" si="0"/>
        <v>8</v>
      </c>
    </row>
    <row r="26" spans="2:4" x14ac:dyDescent="0.3">
      <c r="B26" s="19" t="s">
        <v>3335</v>
      </c>
      <c r="C26">
        <f>COUNTIFS(tbPedido[Nome],Apoio2!B26) + ROW()/10000000000</f>
        <v>2.0000000026000002</v>
      </c>
      <c r="D26">
        <f t="shared" si="0"/>
        <v>63</v>
      </c>
    </row>
    <row r="27" spans="2:4" x14ac:dyDescent="0.3">
      <c r="B27" s="18" t="s">
        <v>3482</v>
      </c>
      <c r="C27">
        <f>COUNTIFS(tbPedido[Nome],Apoio2!B27) + ROW()/10000000000</f>
        <v>3.0000000026999998</v>
      </c>
      <c r="D27">
        <f t="shared" si="0"/>
        <v>25</v>
      </c>
    </row>
    <row r="28" spans="2:4" x14ac:dyDescent="0.3">
      <c r="B28" s="19" t="s">
        <v>3417</v>
      </c>
      <c r="C28">
        <f>COUNTIFS(tbPedido[Nome],Apoio2!B28) + ROW()/10000000000</f>
        <v>1.0000000028</v>
      </c>
      <c r="D28">
        <f t="shared" si="0"/>
        <v>176</v>
      </c>
    </row>
    <row r="29" spans="2:4" x14ac:dyDescent="0.3">
      <c r="B29" s="18" t="s">
        <v>3527</v>
      </c>
      <c r="C29">
        <f>COUNTIFS(tbPedido[Nome],Apoio2!B29) + ROW()/10000000000</f>
        <v>2.0000000028999998</v>
      </c>
      <c r="D29">
        <f t="shared" si="0"/>
        <v>62</v>
      </c>
    </row>
    <row r="30" spans="2:4" x14ac:dyDescent="0.3">
      <c r="B30" s="19" t="s">
        <v>3364</v>
      </c>
      <c r="C30">
        <f>COUNTIFS(tbPedido[Nome],Apoio2!B30) + ROW()/10000000000</f>
        <v>1.000000003</v>
      </c>
      <c r="D30">
        <f t="shared" si="0"/>
        <v>175</v>
      </c>
    </row>
    <row r="31" spans="2:4" x14ac:dyDescent="0.3">
      <c r="B31" s="18" t="s">
        <v>3494</v>
      </c>
      <c r="C31">
        <f>COUNTIFS(tbPedido[Nome],Apoio2!B31) + ROW()/10000000000</f>
        <v>2.0000000030999998</v>
      </c>
      <c r="D31">
        <f t="shared" si="0"/>
        <v>61</v>
      </c>
    </row>
    <row r="32" spans="2:4" x14ac:dyDescent="0.3">
      <c r="B32" s="19" t="s">
        <v>3367</v>
      </c>
      <c r="C32">
        <f>COUNTIFS(tbPedido[Nome],Apoio2!B32) + ROW()/10000000000</f>
        <v>3.0000000031999998</v>
      </c>
      <c r="D32">
        <f t="shared" si="0"/>
        <v>24</v>
      </c>
    </row>
    <row r="33" spans="2:4" x14ac:dyDescent="0.3">
      <c r="B33" s="19" t="s">
        <v>3639</v>
      </c>
      <c r="C33">
        <f>COUNTIFS(tbPedido[Nome],Apoio2!B33) + ROW()/10000000000</f>
        <v>1.0000000033000001</v>
      </c>
      <c r="D33">
        <f t="shared" si="0"/>
        <v>174</v>
      </c>
    </row>
    <row r="34" spans="2:4" x14ac:dyDescent="0.3">
      <c r="B34" s="18" t="s">
        <v>3332</v>
      </c>
      <c r="C34">
        <f>COUNTIFS(tbPedido[Nome],Apoio2!B34) + ROW()/10000000000</f>
        <v>8.0000000034000003</v>
      </c>
      <c r="D34">
        <f t="shared" si="0"/>
        <v>6</v>
      </c>
    </row>
    <row r="35" spans="2:4" x14ac:dyDescent="0.3">
      <c r="B35" s="19" t="s">
        <v>3674</v>
      </c>
      <c r="C35">
        <f>COUNTIFS(tbPedido[Nome],Apoio2!B35) + ROW()/10000000000</f>
        <v>1.0000000035000001</v>
      </c>
      <c r="D35">
        <f t="shared" si="0"/>
        <v>173</v>
      </c>
    </row>
    <row r="36" spans="2:4" x14ac:dyDescent="0.3">
      <c r="B36" s="18" t="s">
        <v>3435</v>
      </c>
      <c r="C36">
        <f>COUNTIFS(tbPedido[Nome],Apoio2!B36) + ROW()/10000000000</f>
        <v>1.0000000036000001</v>
      </c>
      <c r="D36">
        <f t="shared" si="0"/>
        <v>172</v>
      </c>
    </row>
    <row r="37" spans="2:4" x14ac:dyDescent="0.3">
      <c r="B37" s="19" t="s">
        <v>3492</v>
      </c>
      <c r="C37">
        <f>COUNTIFS(tbPedido[Nome],Apoio2!B37) + ROW()/10000000000</f>
        <v>1.0000000037000001</v>
      </c>
      <c r="D37">
        <f t="shared" si="0"/>
        <v>171</v>
      </c>
    </row>
    <row r="38" spans="2:4" x14ac:dyDescent="0.3">
      <c r="B38" s="19" t="s">
        <v>3660</v>
      </c>
      <c r="C38">
        <f>COUNTIFS(tbPedido[Nome],Apoio2!B38) + ROW()/10000000000</f>
        <v>1.0000000038000001</v>
      </c>
      <c r="D38">
        <f t="shared" si="0"/>
        <v>170</v>
      </c>
    </row>
    <row r="39" spans="2:4" x14ac:dyDescent="0.3">
      <c r="B39" s="18" t="s">
        <v>3370</v>
      </c>
      <c r="C39">
        <f>COUNTIFS(tbPedido[Nome],Apoio2!B39) + ROW()/10000000000</f>
        <v>2.0000000038999999</v>
      </c>
      <c r="D39">
        <f t="shared" si="0"/>
        <v>60</v>
      </c>
    </row>
    <row r="40" spans="2:4" x14ac:dyDescent="0.3">
      <c r="B40" s="18" t="s">
        <v>3383</v>
      </c>
      <c r="C40">
        <f>COUNTIFS(tbPedido[Nome],Apoio2!B40) + ROW()/10000000000</f>
        <v>8.0000000040000003</v>
      </c>
      <c r="D40">
        <f t="shared" si="0"/>
        <v>5</v>
      </c>
    </row>
    <row r="41" spans="2:4" x14ac:dyDescent="0.3">
      <c r="B41" s="19" t="s">
        <v>3402</v>
      </c>
      <c r="C41">
        <f>COUNTIFS(tbPedido[Nome],Apoio2!B41) + ROW()/10000000000</f>
        <v>5.0000000041000003</v>
      </c>
      <c r="D41">
        <f t="shared" si="0"/>
        <v>11</v>
      </c>
    </row>
    <row r="42" spans="2:4" x14ac:dyDescent="0.3">
      <c r="B42" s="18" t="s">
        <v>3347</v>
      </c>
      <c r="C42">
        <f>COUNTIFS(tbPedido[Nome],Apoio2!B42) + ROW()/10000000000</f>
        <v>5.0000000042000003</v>
      </c>
      <c r="D42">
        <f t="shared" si="0"/>
        <v>10</v>
      </c>
    </row>
    <row r="43" spans="2:4" x14ac:dyDescent="0.3">
      <c r="B43" s="19" t="s">
        <v>3693</v>
      </c>
      <c r="C43">
        <f>COUNTIFS(tbPedido[Nome],Apoio2!B43) + ROW()/10000000000</f>
        <v>1.0000000042999999</v>
      </c>
      <c r="D43">
        <f t="shared" si="0"/>
        <v>169</v>
      </c>
    </row>
    <row r="44" spans="2:4" x14ac:dyDescent="0.3">
      <c r="B44" s="18" t="s">
        <v>3452</v>
      </c>
      <c r="C44">
        <f>COUNTIFS(tbPedido[Nome],Apoio2!B44) + ROW()/10000000000</f>
        <v>1.0000000043999999</v>
      </c>
      <c r="D44">
        <f t="shared" si="0"/>
        <v>168</v>
      </c>
    </row>
    <row r="45" spans="2:4" x14ac:dyDescent="0.3">
      <c r="B45" s="18" t="s">
        <v>3461</v>
      </c>
      <c r="C45">
        <f>COUNTIFS(tbPedido[Nome],Apoio2!B45) + ROW()/10000000000</f>
        <v>1.0000000044999999</v>
      </c>
      <c r="D45">
        <f t="shared" si="0"/>
        <v>167</v>
      </c>
    </row>
    <row r="46" spans="2:4" x14ac:dyDescent="0.3">
      <c r="B46" s="18" t="s">
        <v>3671</v>
      </c>
      <c r="C46">
        <f>COUNTIFS(tbPedido[Nome],Apoio2!B46) + ROW()/10000000000</f>
        <v>2.0000000045999999</v>
      </c>
      <c r="D46">
        <f t="shared" si="0"/>
        <v>59</v>
      </c>
    </row>
    <row r="47" spans="2:4" x14ac:dyDescent="0.3">
      <c r="B47" s="19" t="s">
        <v>3718</v>
      </c>
      <c r="C47">
        <f>COUNTIFS(tbPedido[Nome],Apoio2!B47) + ROW()/10000000000</f>
        <v>1.0000000046999999</v>
      </c>
      <c r="D47">
        <f t="shared" si="0"/>
        <v>166</v>
      </c>
    </row>
    <row r="48" spans="2:4" x14ac:dyDescent="0.3">
      <c r="B48" s="18" t="s">
        <v>3443</v>
      </c>
      <c r="C48">
        <f>COUNTIFS(tbPedido[Nome],Apoio2!B48) + ROW()/10000000000</f>
        <v>1.0000000048</v>
      </c>
      <c r="D48">
        <f t="shared" si="0"/>
        <v>165</v>
      </c>
    </row>
    <row r="49" spans="2:4" x14ac:dyDescent="0.3">
      <c r="B49" s="19" t="s">
        <v>3479</v>
      </c>
      <c r="C49">
        <f>COUNTIFS(tbPedido[Nome],Apoio2!B49) + ROW()/10000000000</f>
        <v>3.0000000049</v>
      </c>
      <c r="D49">
        <f t="shared" si="0"/>
        <v>23</v>
      </c>
    </row>
    <row r="50" spans="2:4" x14ac:dyDescent="0.3">
      <c r="B50" s="18" t="s">
        <v>3507</v>
      </c>
      <c r="C50">
        <f>COUNTIFS(tbPedido[Nome],Apoio2!B50) + ROW()/10000000000</f>
        <v>2.000000005</v>
      </c>
      <c r="D50">
        <f t="shared" si="0"/>
        <v>58</v>
      </c>
    </row>
    <row r="51" spans="2:4" x14ac:dyDescent="0.3">
      <c r="B51" s="18" t="s">
        <v>3470</v>
      </c>
      <c r="C51">
        <f>COUNTIFS(tbPedido[Nome],Apoio2!B51) + ROW()/10000000000</f>
        <v>2.0000000051</v>
      </c>
      <c r="D51">
        <f t="shared" si="0"/>
        <v>57</v>
      </c>
    </row>
    <row r="52" spans="2:4" x14ac:dyDescent="0.3">
      <c r="B52" s="19" t="s">
        <v>3323</v>
      </c>
      <c r="C52">
        <f>COUNTIFS(tbPedido[Nome],Apoio2!B52) + ROW()/10000000000</f>
        <v>1.0000000052</v>
      </c>
      <c r="D52">
        <f t="shared" si="0"/>
        <v>164</v>
      </c>
    </row>
    <row r="53" spans="2:4" x14ac:dyDescent="0.3">
      <c r="B53" s="18" t="s">
        <v>3493</v>
      </c>
      <c r="C53">
        <f>COUNTIFS(tbPedido[Nome],Apoio2!B53) + ROW()/10000000000</f>
        <v>1.0000000053</v>
      </c>
      <c r="D53">
        <f t="shared" si="0"/>
        <v>163</v>
      </c>
    </row>
    <row r="54" spans="2:4" x14ac:dyDescent="0.3">
      <c r="B54" s="19" t="s">
        <v>3728</v>
      </c>
      <c r="C54">
        <f>COUNTIFS(tbPedido[Nome],Apoio2!B54) + ROW()/10000000000</f>
        <v>1.0000000054</v>
      </c>
      <c r="D54">
        <f t="shared" si="0"/>
        <v>162</v>
      </c>
    </row>
    <row r="55" spans="2:4" x14ac:dyDescent="0.3">
      <c r="B55" s="18" t="s">
        <v>3608</v>
      </c>
      <c r="C55">
        <f>COUNTIFS(tbPedido[Nome],Apoio2!B55) + ROW()/10000000000</f>
        <v>1.0000000055</v>
      </c>
      <c r="D55">
        <f t="shared" si="0"/>
        <v>161</v>
      </c>
    </row>
    <row r="56" spans="2:4" x14ac:dyDescent="0.3">
      <c r="B56" s="19" t="s">
        <v>3454</v>
      </c>
      <c r="C56">
        <f>COUNTIFS(tbPedido[Nome],Apoio2!B56) + ROW()/10000000000</f>
        <v>1.0000000056</v>
      </c>
      <c r="D56">
        <f t="shared" si="0"/>
        <v>160</v>
      </c>
    </row>
    <row r="57" spans="2:4" x14ac:dyDescent="0.3">
      <c r="B57" s="19" t="s">
        <v>3361</v>
      </c>
      <c r="C57">
        <f>COUNTIFS(tbPedido[Nome],Apoio2!B57) + ROW()/10000000000</f>
        <v>4.0000000056999996</v>
      </c>
      <c r="D57">
        <f t="shared" si="0"/>
        <v>14</v>
      </c>
    </row>
    <row r="58" spans="2:4" x14ac:dyDescent="0.3">
      <c r="B58" s="18" t="s">
        <v>3480</v>
      </c>
      <c r="C58">
        <f>COUNTIFS(tbPedido[Nome],Apoio2!B58) + ROW()/10000000000</f>
        <v>1.0000000058</v>
      </c>
      <c r="D58">
        <f t="shared" si="0"/>
        <v>159</v>
      </c>
    </row>
    <row r="59" spans="2:4" x14ac:dyDescent="0.3">
      <c r="B59" s="19" t="s">
        <v>3656</v>
      </c>
      <c r="C59">
        <f>COUNTIFS(tbPedido[Nome],Apoio2!B59) + ROW()/10000000000</f>
        <v>1.0000000059</v>
      </c>
      <c r="D59">
        <f t="shared" si="0"/>
        <v>158</v>
      </c>
    </row>
    <row r="60" spans="2:4" x14ac:dyDescent="0.3">
      <c r="B60" s="19" t="s">
        <v>3675</v>
      </c>
      <c r="C60">
        <f>COUNTIFS(tbPedido[Nome],Apoio2!B60) + ROW()/10000000000</f>
        <v>1.0000000060000001</v>
      </c>
      <c r="D60">
        <f t="shared" si="0"/>
        <v>157</v>
      </c>
    </row>
    <row r="61" spans="2:4" x14ac:dyDescent="0.3">
      <c r="B61" s="18" t="s">
        <v>3491</v>
      </c>
      <c r="C61">
        <f>COUNTIFS(tbPedido[Nome],Apoio2!B61) + ROW()/10000000000</f>
        <v>1.0000000061000001</v>
      </c>
      <c r="D61">
        <f t="shared" si="0"/>
        <v>156</v>
      </c>
    </row>
    <row r="62" spans="2:4" x14ac:dyDescent="0.3">
      <c r="B62" s="18" t="s">
        <v>3377</v>
      </c>
      <c r="C62">
        <f>COUNTIFS(tbPedido[Nome],Apoio2!B62) + ROW()/10000000000</f>
        <v>4.0000000061999996</v>
      </c>
      <c r="D62">
        <f t="shared" si="0"/>
        <v>13</v>
      </c>
    </row>
    <row r="63" spans="2:4" x14ac:dyDescent="0.3">
      <c r="B63" s="19" t="s">
        <v>3554</v>
      </c>
      <c r="C63">
        <f>COUNTIFS(tbPedido[Nome],Apoio2!B63) + ROW()/10000000000</f>
        <v>1.0000000063000001</v>
      </c>
      <c r="D63">
        <f t="shared" si="0"/>
        <v>155</v>
      </c>
    </row>
    <row r="64" spans="2:4" x14ac:dyDescent="0.3">
      <c r="B64" s="19" t="s">
        <v>3630</v>
      </c>
      <c r="C64">
        <f>COUNTIFS(tbPedido[Nome],Apoio2!B64) + ROW()/10000000000</f>
        <v>1.0000000064000001</v>
      </c>
      <c r="D64">
        <f t="shared" si="0"/>
        <v>154</v>
      </c>
    </row>
    <row r="65" spans="2:4" x14ac:dyDescent="0.3">
      <c r="B65" s="18" t="s">
        <v>3569</v>
      </c>
      <c r="C65">
        <f>COUNTIFS(tbPedido[Nome],Apoio2!B65) + ROW()/10000000000</f>
        <v>1.0000000065000001</v>
      </c>
      <c r="D65">
        <f t="shared" si="0"/>
        <v>153</v>
      </c>
    </row>
    <row r="66" spans="2:4" x14ac:dyDescent="0.3">
      <c r="B66" s="18" t="s">
        <v>3317</v>
      </c>
      <c r="C66">
        <f>COUNTIFS(tbPedido[Nome],Apoio2!B66) + ROW()/10000000000</f>
        <v>1.0000000066000001</v>
      </c>
      <c r="D66">
        <f t="shared" si="0"/>
        <v>152</v>
      </c>
    </row>
    <row r="67" spans="2:4" x14ac:dyDescent="0.3">
      <c r="B67" s="19" t="s">
        <v>3664</v>
      </c>
      <c r="C67">
        <f>COUNTIFS(tbPedido[Nome],Apoio2!B67) + ROW()/10000000000</f>
        <v>1.0000000067000001</v>
      </c>
      <c r="D67">
        <f t="shared" ref="D67:D130" si="1">_xlfn.RANK.EQ(C67,$C$2:$C$181)</f>
        <v>151</v>
      </c>
    </row>
    <row r="68" spans="2:4" x14ac:dyDescent="0.3">
      <c r="B68" s="19" t="s">
        <v>3525</v>
      </c>
      <c r="C68">
        <f>COUNTIFS(tbPedido[Nome],Apoio2!B68) + ROW()/10000000000</f>
        <v>1.0000000067999999</v>
      </c>
      <c r="D68">
        <f t="shared" si="1"/>
        <v>150</v>
      </c>
    </row>
    <row r="69" spans="2:4" x14ac:dyDescent="0.3">
      <c r="B69" s="18" t="s">
        <v>3400</v>
      </c>
      <c r="C69">
        <f>COUNTIFS(tbPedido[Nome],Apoio2!B69) + ROW()/10000000000</f>
        <v>2.0000000069000001</v>
      </c>
      <c r="D69">
        <f t="shared" si="1"/>
        <v>56</v>
      </c>
    </row>
    <row r="70" spans="2:4" x14ac:dyDescent="0.3">
      <c r="B70" s="19" t="s">
        <v>3552</v>
      </c>
      <c r="C70">
        <f>COUNTIFS(tbPedido[Nome],Apoio2!B70) + ROW()/10000000000</f>
        <v>1.0000000069999999</v>
      </c>
      <c r="D70">
        <f t="shared" si="1"/>
        <v>149</v>
      </c>
    </row>
    <row r="71" spans="2:4" x14ac:dyDescent="0.3">
      <c r="B71" s="18" t="s">
        <v>3312</v>
      </c>
      <c r="C71">
        <f>COUNTIFS(tbPedido[Nome],Apoio2!B71) + ROW()/10000000000</f>
        <v>2.0000000071000001</v>
      </c>
      <c r="D71">
        <f t="shared" si="1"/>
        <v>55</v>
      </c>
    </row>
    <row r="72" spans="2:4" x14ac:dyDescent="0.3">
      <c r="B72" s="19" t="s">
        <v>3468</v>
      </c>
      <c r="C72">
        <f>COUNTIFS(tbPedido[Nome],Apoio2!B72) + ROW()/10000000000</f>
        <v>2.0000000072000002</v>
      </c>
      <c r="D72">
        <f t="shared" si="1"/>
        <v>54</v>
      </c>
    </row>
    <row r="73" spans="2:4" x14ac:dyDescent="0.3">
      <c r="B73" s="18" t="s">
        <v>3584</v>
      </c>
      <c r="C73">
        <f>COUNTIFS(tbPedido[Nome],Apoio2!B73) + ROW()/10000000000</f>
        <v>2.0000000073000002</v>
      </c>
      <c r="D73">
        <f t="shared" si="1"/>
        <v>53</v>
      </c>
    </row>
    <row r="74" spans="2:4" x14ac:dyDescent="0.3">
      <c r="B74" s="18" t="s">
        <v>3687</v>
      </c>
      <c r="C74">
        <f>COUNTIFS(tbPedido[Nome],Apoio2!B74) + ROW()/10000000000</f>
        <v>1.0000000073999999</v>
      </c>
      <c r="D74">
        <f t="shared" si="1"/>
        <v>148</v>
      </c>
    </row>
    <row r="75" spans="2:4" x14ac:dyDescent="0.3">
      <c r="B75" s="19" t="s">
        <v>3327</v>
      </c>
      <c r="C75">
        <f>COUNTIFS(tbPedido[Nome],Apoio2!B75) + ROW()/10000000000</f>
        <v>1.0000000075</v>
      </c>
      <c r="D75">
        <f t="shared" si="1"/>
        <v>147</v>
      </c>
    </row>
    <row r="76" spans="2:4" x14ac:dyDescent="0.3">
      <c r="B76" s="18" t="s">
        <v>3531</v>
      </c>
      <c r="C76">
        <f>COUNTIFS(tbPedido[Nome],Apoio2!B76) + ROW()/10000000000</f>
        <v>1.0000000076</v>
      </c>
      <c r="D76">
        <f t="shared" si="1"/>
        <v>146</v>
      </c>
    </row>
    <row r="77" spans="2:4" x14ac:dyDescent="0.3">
      <c r="B77" s="19" t="s">
        <v>3580</v>
      </c>
      <c r="C77">
        <f>COUNTIFS(tbPedido[Nome],Apoio2!B77) + ROW()/10000000000</f>
        <v>1.0000000077</v>
      </c>
      <c r="D77">
        <f t="shared" si="1"/>
        <v>145</v>
      </c>
    </row>
    <row r="78" spans="2:4" x14ac:dyDescent="0.3">
      <c r="B78" s="18" t="s">
        <v>3703</v>
      </c>
      <c r="C78">
        <f>COUNTIFS(tbPedido[Nome],Apoio2!B78) + ROW()/10000000000</f>
        <v>2.0000000078000002</v>
      </c>
      <c r="D78">
        <f t="shared" si="1"/>
        <v>52</v>
      </c>
    </row>
    <row r="79" spans="2:4" x14ac:dyDescent="0.3">
      <c r="B79" s="19" t="s">
        <v>3357</v>
      </c>
      <c r="C79">
        <f>COUNTIFS(tbPedido[Nome],Apoio2!B79) + ROW()/10000000000</f>
        <v>3.0000000079000002</v>
      </c>
      <c r="D79">
        <f t="shared" si="1"/>
        <v>22</v>
      </c>
    </row>
    <row r="80" spans="2:4" x14ac:dyDescent="0.3">
      <c r="B80" s="18" t="s">
        <v>3351</v>
      </c>
      <c r="C80">
        <f>COUNTIFS(tbPedido[Nome],Apoio2!B80) + ROW()/10000000000</f>
        <v>3.0000000080000002</v>
      </c>
      <c r="D80">
        <f t="shared" si="1"/>
        <v>21</v>
      </c>
    </row>
    <row r="81" spans="2:4" x14ac:dyDescent="0.3">
      <c r="B81" s="19" t="s">
        <v>3595</v>
      </c>
      <c r="C81">
        <f>COUNTIFS(tbPedido[Nome],Apoio2!B81) + ROW()/10000000000</f>
        <v>1.0000000081</v>
      </c>
      <c r="D81">
        <f t="shared" si="1"/>
        <v>144</v>
      </c>
    </row>
    <row r="82" spans="2:4" x14ac:dyDescent="0.3">
      <c r="B82" s="18" t="s">
        <v>3345</v>
      </c>
      <c r="C82">
        <f>COUNTIFS(tbPedido[Nome],Apoio2!B82) + ROW()/10000000000</f>
        <v>2.0000000081999998</v>
      </c>
      <c r="D82">
        <f t="shared" si="1"/>
        <v>51</v>
      </c>
    </row>
    <row r="83" spans="2:4" x14ac:dyDescent="0.3">
      <c r="B83" s="19" t="s">
        <v>3540</v>
      </c>
      <c r="C83">
        <f>COUNTIFS(tbPedido[Nome],Apoio2!B83) + ROW()/10000000000</f>
        <v>3.0000000082999998</v>
      </c>
      <c r="D83">
        <f t="shared" si="1"/>
        <v>20</v>
      </c>
    </row>
    <row r="84" spans="2:4" x14ac:dyDescent="0.3">
      <c r="B84" s="18" t="s">
        <v>3410</v>
      </c>
      <c r="C84">
        <f>COUNTIFS(tbPedido[Nome],Apoio2!B84) + ROW()/10000000000</f>
        <v>1.0000000084</v>
      </c>
      <c r="D84">
        <f t="shared" si="1"/>
        <v>143</v>
      </c>
    </row>
    <row r="85" spans="2:4" x14ac:dyDescent="0.3">
      <c r="B85" s="18" t="s">
        <v>3738</v>
      </c>
      <c r="C85">
        <f>COUNTIFS(tbPedido[Nome],Apoio2!B85) + ROW()/10000000000</f>
        <v>1.0000000085</v>
      </c>
      <c r="D85">
        <f t="shared" si="1"/>
        <v>142</v>
      </c>
    </row>
    <row r="86" spans="2:4" x14ac:dyDescent="0.3">
      <c r="B86" s="19" t="s">
        <v>3524</v>
      </c>
      <c r="C86">
        <f>COUNTIFS(tbPedido[Nome],Apoio2!B86) + ROW()/10000000000</f>
        <v>1.0000000086</v>
      </c>
      <c r="D86">
        <f t="shared" si="1"/>
        <v>141</v>
      </c>
    </row>
    <row r="87" spans="2:4" x14ac:dyDescent="0.3">
      <c r="B87" s="18" t="s">
        <v>3516</v>
      </c>
      <c r="C87">
        <f>COUNTIFS(tbPedido[Nome],Apoio2!B87) + ROW()/10000000000</f>
        <v>1.0000000087000001</v>
      </c>
      <c r="D87">
        <f t="shared" si="1"/>
        <v>140</v>
      </c>
    </row>
    <row r="88" spans="2:4" x14ac:dyDescent="0.3">
      <c r="B88" s="19" t="s">
        <v>3517</v>
      </c>
      <c r="C88">
        <f>COUNTIFS(tbPedido[Nome],Apoio2!B88) + ROW()/10000000000</f>
        <v>1.0000000088000001</v>
      </c>
      <c r="D88">
        <f t="shared" si="1"/>
        <v>139</v>
      </c>
    </row>
    <row r="89" spans="2:4" x14ac:dyDescent="0.3">
      <c r="B89" s="18" t="s">
        <v>3627</v>
      </c>
      <c r="C89">
        <f>COUNTIFS(tbPedido[Nome],Apoio2!B89) + ROW()/10000000000</f>
        <v>1.0000000089000001</v>
      </c>
      <c r="D89">
        <f t="shared" si="1"/>
        <v>138</v>
      </c>
    </row>
    <row r="90" spans="2:4" x14ac:dyDescent="0.3">
      <c r="B90" s="19" t="s">
        <v>3731</v>
      </c>
      <c r="C90">
        <f>COUNTIFS(tbPedido[Nome],Apoio2!B90) + ROW()/10000000000</f>
        <v>1.0000000090000001</v>
      </c>
      <c r="D90">
        <f t="shared" si="1"/>
        <v>137</v>
      </c>
    </row>
    <row r="91" spans="2:4" x14ac:dyDescent="0.3">
      <c r="B91" s="19" t="s">
        <v>3511</v>
      </c>
      <c r="C91">
        <f>COUNTIFS(tbPedido[Nome],Apoio2!B91) + ROW()/10000000000</f>
        <v>3.0000000090999999</v>
      </c>
      <c r="D91">
        <f t="shared" si="1"/>
        <v>19</v>
      </c>
    </row>
    <row r="92" spans="2:4" x14ac:dyDescent="0.3">
      <c r="B92" s="18" t="s">
        <v>3709</v>
      </c>
      <c r="C92">
        <f>COUNTIFS(tbPedido[Nome],Apoio2!B92) + ROW()/10000000000</f>
        <v>1.0000000092000001</v>
      </c>
      <c r="D92">
        <f t="shared" si="1"/>
        <v>136</v>
      </c>
    </row>
    <row r="93" spans="2:4" x14ac:dyDescent="0.3">
      <c r="B93" s="18" t="s">
        <v>3449</v>
      </c>
      <c r="C93">
        <f>COUNTIFS(tbPedido[Nome],Apoio2!B93) + ROW()/10000000000</f>
        <v>1.0000000093000001</v>
      </c>
      <c r="D93">
        <f t="shared" si="1"/>
        <v>135</v>
      </c>
    </row>
    <row r="94" spans="2:4" x14ac:dyDescent="0.3">
      <c r="B94" s="19" t="s">
        <v>3723</v>
      </c>
      <c r="C94">
        <f>COUNTIFS(tbPedido[Nome],Apoio2!B94) + ROW()/10000000000</f>
        <v>1.0000000093999999</v>
      </c>
      <c r="D94">
        <f t="shared" si="1"/>
        <v>134</v>
      </c>
    </row>
    <row r="95" spans="2:4" x14ac:dyDescent="0.3">
      <c r="B95" s="18" t="s">
        <v>3408</v>
      </c>
      <c r="C95">
        <f>COUNTIFS(tbPedido[Nome],Apoio2!B95) + ROW()/10000000000</f>
        <v>3.0000000094999999</v>
      </c>
      <c r="D95">
        <f t="shared" si="1"/>
        <v>18</v>
      </c>
    </row>
    <row r="96" spans="2:4" x14ac:dyDescent="0.3">
      <c r="B96" s="19" t="s">
        <v>3475</v>
      </c>
      <c r="C96">
        <f>COUNTIFS(tbPedido[Nome],Apoio2!B96) + ROW()/10000000000</f>
        <v>1.0000000095999999</v>
      </c>
      <c r="D96">
        <f t="shared" si="1"/>
        <v>133</v>
      </c>
    </row>
    <row r="97" spans="2:4" x14ac:dyDescent="0.3">
      <c r="B97" s="18" t="s">
        <v>3386</v>
      </c>
      <c r="C97">
        <f>COUNTIFS(tbPedido[Nome],Apoio2!B97) + ROW()/10000000000</f>
        <v>2.0000000096999999</v>
      </c>
      <c r="D97">
        <f t="shared" si="1"/>
        <v>50</v>
      </c>
    </row>
    <row r="98" spans="2:4" x14ac:dyDescent="0.3">
      <c r="B98" s="19" t="s">
        <v>3534</v>
      </c>
      <c r="C98">
        <f>COUNTIFS(tbPedido[Nome],Apoio2!B98) + ROW()/10000000000</f>
        <v>2.0000000097999999</v>
      </c>
      <c r="D98">
        <f t="shared" si="1"/>
        <v>49</v>
      </c>
    </row>
    <row r="99" spans="2:4" x14ac:dyDescent="0.3">
      <c r="B99" s="18" t="s">
        <v>3736</v>
      </c>
      <c r="C99">
        <f>COUNTIFS(tbPedido[Nome],Apoio2!B99) + ROW()/10000000000</f>
        <v>1.0000000098999999</v>
      </c>
      <c r="D99">
        <f t="shared" si="1"/>
        <v>132</v>
      </c>
    </row>
    <row r="100" spans="2:4" x14ac:dyDescent="0.3">
      <c r="B100" s="19" t="s">
        <v>3319</v>
      </c>
      <c r="C100">
        <f>COUNTIFS(tbPedido[Nome],Apoio2!B100) + ROW()/10000000000</f>
        <v>1.0000000099999999</v>
      </c>
      <c r="D100">
        <f t="shared" si="1"/>
        <v>131</v>
      </c>
    </row>
    <row r="101" spans="2:4" x14ac:dyDescent="0.3">
      <c r="B101" s="18" t="s">
        <v>3430</v>
      </c>
      <c r="C101">
        <f>COUNTIFS(tbPedido[Nome],Apoio2!B101) + ROW()/10000000000</f>
        <v>3.0000000100999999</v>
      </c>
      <c r="D101">
        <f t="shared" si="1"/>
        <v>17</v>
      </c>
    </row>
    <row r="102" spans="2:4" x14ac:dyDescent="0.3">
      <c r="B102" s="19" t="s">
        <v>3668</v>
      </c>
      <c r="C102">
        <f>COUNTIFS(tbPedido[Nome],Apoio2!B102) + ROW()/10000000000</f>
        <v>1.0000000102</v>
      </c>
      <c r="D102">
        <f t="shared" si="1"/>
        <v>130</v>
      </c>
    </row>
    <row r="103" spans="2:4" x14ac:dyDescent="0.3">
      <c r="B103" s="19" t="s">
        <v>3374</v>
      </c>
      <c r="C103">
        <f>COUNTIFS(tbPedido[Nome],Apoio2!B103) + ROW()/10000000000</f>
        <v>1.0000000103</v>
      </c>
      <c r="D103">
        <f t="shared" si="1"/>
        <v>129</v>
      </c>
    </row>
    <row r="104" spans="2:4" x14ac:dyDescent="0.3">
      <c r="B104" s="18" t="s">
        <v>3626</v>
      </c>
      <c r="C104">
        <f>COUNTIFS(tbPedido[Nome],Apoio2!B104) + ROW()/10000000000</f>
        <v>1.0000000104</v>
      </c>
      <c r="D104">
        <f t="shared" si="1"/>
        <v>128</v>
      </c>
    </row>
    <row r="105" spans="2:4" x14ac:dyDescent="0.3">
      <c r="B105" s="19" t="s">
        <v>3496</v>
      </c>
      <c r="C105">
        <f>COUNTIFS(tbPedido[Nome],Apoio2!B105) + ROW()/10000000000</f>
        <v>2.0000000105</v>
      </c>
      <c r="D105">
        <f t="shared" si="1"/>
        <v>48</v>
      </c>
    </row>
    <row r="106" spans="2:4" x14ac:dyDescent="0.3">
      <c r="B106" s="18" t="s">
        <v>3418</v>
      </c>
      <c r="C106">
        <f>COUNTIFS(tbPedido[Nome],Apoio2!B106) + ROW()/10000000000</f>
        <v>1.0000000106</v>
      </c>
      <c r="D106">
        <f t="shared" si="1"/>
        <v>127</v>
      </c>
    </row>
    <row r="107" spans="2:4" x14ac:dyDescent="0.3">
      <c r="B107" s="19" t="s">
        <v>3654</v>
      </c>
      <c r="C107">
        <f>COUNTIFS(tbPedido[Nome],Apoio2!B107) + ROW()/10000000000</f>
        <v>1.0000000107</v>
      </c>
      <c r="D107">
        <f t="shared" si="1"/>
        <v>126</v>
      </c>
    </row>
    <row r="108" spans="2:4" x14ac:dyDescent="0.3">
      <c r="B108" s="19" t="s">
        <v>3372</v>
      </c>
      <c r="C108">
        <f>COUNTIFS(tbPedido[Nome],Apoio2!B108) + ROW()/10000000000</f>
        <v>1.0000000108</v>
      </c>
      <c r="D108">
        <f t="shared" si="1"/>
        <v>125</v>
      </c>
    </row>
    <row r="109" spans="2:4" x14ac:dyDescent="0.3">
      <c r="B109" s="18" t="s">
        <v>3673</v>
      </c>
      <c r="C109">
        <f>COUNTIFS(tbPedido[Nome],Apoio2!B109) + ROW()/10000000000</f>
        <v>2.0000000109</v>
      </c>
      <c r="D109">
        <f t="shared" si="1"/>
        <v>47</v>
      </c>
    </row>
    <row r="110" spans="2:4" x14ac:dyDescent="0.3">
      <c r="B110" s="19" t="s">
        <v>3344</v>
      </c>
      <c r="C110">
        <f>COUNTIFS(tbPedido[Nome],Apoio2!B110) + ROW()/10000000000</f>
        <v>1.000000011</v>
      </c>
      <c r="D110">
        <f t="shared" si="1"/>
        <v>124</v>
      </c>
    </row>
    <row r="111" spans="2:4" x14ac:dyDescent="0.3">
      <c r="B111" s="18" t="s">
        <v>3647</v>
      </c>
      <c r="C111">
        <f>COUNTIFS(tbPedido[Nome],Apoio2!B111) + ROW()/10000000000</f>
        <v>1.0000000111</v>
      </c>
      <c r="D111">
        <f t="shared" si="1"/>
        <v>123</v>
      </c>
    </row>
    <row r="112" spans="2:4" x14ac:dyDescent="0.3">
      <c r="B112" s="19" t="s">
        <v>3614</v>
      </c>
      <c r="C112">
        <f>COUNTIFS(tbPedido[Nome],Apoio2!B112) + ROW()/10000000000</f>
        <v>2.0000000112</v>
      </c>
      <c r="D112">
        <f t="shared" si="1"/>
        <v>46</v>
      </c>
    </row>
    <row r="113" spans="2:4" x14ac:dyDescent="0.3">
      <c r="B113" s="19" t="s">
        <v>3651</v>
      </c>
      <c r="C113">
        <f>COUNTIFS(tbPedido[Nome],Apoio2!B113) + ROW()/10000000000</f>
        <v>1.0000000113</v>
      </c>
      <c r="D113">
        <f t="shared" si="1"/>
        <v>122</v>
      </c>
    </row>
    <row r="114" spans="2:4" x14ac:dyDescent="0.3">
      <c r="B114" s="18" t="s">
        <v>3352</v>
      </c>
      <c r="C114">
        <f>COUNTIFS(tbPedido[Nome],Apoio2!B114) + ROW()/10000000000</f>
        <v>3.0000000114000001</v>
      </c>
      <c r="D114">
        <f t="shared" si="1"/>
        <v>16</v>
      </c>
    </row>
    <row r="115" spans="2:4" x14ac:dyDescent="0.3">
      <c r="B115" s="19" t="s">
        <v>3321</v>
      </c>
      <c r="C115">
        <f>COUNTIFS(tbPedido[Nome],Apoio2!B115) + ROW()/10000000000</f>
        <v>2.0000000115000001</v>
      </c>
      <c r="D115">
        <f t="shared" si="1"/>
        <v>45</v>
      </c>
    </row>
    <row r="116" spans="2:4" x14ac:dyDescent="0.3">
      <c r="B116" s="18" t="s">
        <v>3393</v>
      </c>
      <c r="C116">
        <f>COUNTIFS(tbPedido[Nome],Apoio2!B116) + ROW()/10000000000</f>
        <v>1.0000000116000001</v>
      </c>
      <c r="D116">
        <f t="shared" si="1"/>
        <v>121</v>
      </c>
    </row>
    <row r="117" spans="2:4" x14ac:dyDescent="0.3">
      <c r="B117" s="19" t="s">
        <v>3414</v>
      </c>
      <c r="C117">
        <f>COUNTIFS(tbPedido[Nome],Apoio2!B117) + ROW()/10000000000</f>
        <v>1.0000000117000001</v>
      </c>
      <c r="D117">
        <f t="shared" si="1"/>
        <v>120</v>
      </c>
    </row>
    <row r="118" spans="2:4" x14ac:dyDescent="0.3">
      <c r="B118" s="18" t="s">
        <v>3549</v>
      </c>
      <c r="C118">
        <f>COUNTIFS(tbPedido[Nome],Apoio2!B118) + ROW()/10000000000</f>
        <v>2.0000000118000001</v>
      </c>
      <c r="D118">
        <f t="shared" si="1"/>
        <v>44</v>
      </c>
    </row>
    <row r="119" spans="2:4" x14ac:dyDescent="0.3">
      <c r="B119" s="19" t="s">
        <v>3476</v>
      </c>
      <c r="C119">
        <f>COUNTIFS(tbPedido[Nome],Apoio2!B119) + ROW()/10000000000</f>
        <v>2.0000000119000001</v>
      </c>
      <c r="D119">
        <f t="shared" si="1"/>
        <v>43</v>
      </c>
    </row>
    <row r="120" spans="2:4" x14ac:dyDescent="0.3">
      <c r="B120" s="18" t="s">
        <v>3499</v>
      </c>
      <c r="C120">
        <f>COUNTIFS(tbPedido[Nome],Apoio2!B120) + ROW()/10000000000</f>
        <v>1.0000000120000001</v>
      </c>
      <c r="D120">
        <f t="shared" si="1"/>
        <v>119</v>
      </c>
    </row>
    <row r="121" spans="2:4" x14ac:dyDescent="0.3">
      <c r="B121" s="18" t="s">
        <v>3456</v>
      </c>
      <c r="C121">
        <f>COUNTIFS(tbPedido[Nome],Apoio2!B121) + ROW()/10000000000</f>
        <v>3.0000000121000001</v>
      </c>
      <c r="D121">
        <f t="shared" si="1"/>
        <v>15</v>
      </c>
    </row>
    <row r="122" spans="2:4" x14ac:dyDescent="0.3">
      <c r="B122" s="18" t="s">
        <v>3510</v>
      </c>
      <c r="C122">
        <f>COUNTIFS(tbPedido[Nome],Apoio2!B122) + ROW()/10000000000</f>
        <v>1.0000000121999999</v>
      </c>
      <c r="D122">
        <f t="shared" si="1"/>
        <v>118</v>
      </c>
    </row>
    <row r="123" spans="2:4" x14ac:dyDescent="0.3">
      <c r="B123" s="19" t="s">
        <v>3561</v>
      </c>
      <c r="C123">
        <f>COUNTIFS(tbPedido[Nome],Apoio2!B123) + ROW()/10000000000</f>
        <v>1.0000000122999999</v>
      </c>
      <c r="D123">
        <f t="shared" si="1"/>
        <v>117</v>
      </c>
    </row>
    <row r="124" spans="2:4" x14ac:dyDescent="0.3">
      <c r="B124" s="18" t="s">
        <v>3354</v>
      </c>
      <c r="C124">
        <f>COUNTIFS(tbPedido[Nome],Apoio2!B124) + ROW()/10000000000</f>
        <v>2.0000000124000001</v>
      </c>
      <c r="D124">
        <f t="shared" si="1"/>
        <v>42</v>
      </c>
    </row>
    <row r="125" spans="2:4" x14ac:dyDescent="0.3">
      <c r="B125" s="19" t="s">
        <v>3378</v>
      </c>
      <c r="C125">
        <f>COUNTIFS(tbPedido[Nome],Apoio2!B125) + ROW()/10000000000</f>
        <v>1.0000000124999999</v>
      </c>
      <c r="D125">
        <f t="shared" si="1"/>
        <v>116</v>
      </c>
    </row>
    <row r="126" spans="2:4" x14ac:dyDescent="0.3">
      <c r="B126" s="18" t="s">
        <v>3727</v>
      </c>
      <c r="C126">
        <f>COUNTIFS(tbPedido[Nome],Apoio2!B126) + ROW()/10000000000</f>
        <v>1.0000000125999999</v>
      </c>
      <c r="D126">
        <f t="shared" si="1"/>
        <v>115</v>
      </c>
    </row>
    <row r="127" spans="2:4" x14ac:dyDescent="0.3">
      <c r="B127" s="19" t="s">
        <v>3428</v>
      </c>
      <c r="C127">
        <f>COUNTIFS(tbPedido[Nome],Apoio2!B127) + ROW()/10000000000</f>
        <v>2.0000000127000002</v>
      </c>
      <c r="D127">
        <f t="shared" si="1"/>
        <v>41</v>
      </c>
    </row>
    <row r="128" spans="2:4" x14ac:dyDescent="0.3">
      <c r="B128" s="19" t="s">
        <v>3546</v>
      </c>
      <c r="C128">
        <f>COUNTIFS(tbPedido[Nome],Apoio2!B128) + ROW()/10000000000</f>
        <v>1.0000000127999999</v>
      </c>
      <c r="D128">
        <f t="shared" si="1"/>
        <v>114</v>
      </c>
    </row>
    <row r="129" spans="2:4" x14ac:dyDescent="0.3">
      <c r="B129" s="18" t="s">
        <v>3343</v>
      </c>
      <c r="C129">
        <f>COUNTIFS(tbPedido[Nome],Apoio2!B129) + ROW()/10000000000</f>
        <v>6.0000000129000002</v>
      </c>
      <c r="D129">
        <f t="shared" si="1"/>
        <v>7</v>
      </c>
    </row>
    <row r="130" spans="2:4" x14ac:dyDescent="0.3">
      <c r="B130" s="18" t="s">
        <v>3732</v>
      </c>
      <c r="C130">
        <f>COUNTIFS(tbPedido[Nome],Apoio2!B130) + ROW()/10000000000</f>
        <v>1.000000013</v>
      </c>
      <c r="D130">
        <f t="shared" si="1"/>
        <v>113</v>
      </c>
    </row>
    <row r="131" spans="2:4" x14ac:dyDescent="0.3">
      <c r="B131" s="18" t="s">
        <v>3658</v>
      </c>
      <c r="C131">
        <f>COUNTIFS(tbPedido[Nome],Apoio2!B131) + ROW()/10000000000</f>
        <v>2.0000000131000002</v>
      </c>
      <c r="D131">
        <f t="shared" ref="D131:D181" si="2">_xlfn.RANK.EQ(C131,$C$2:$C$181)</f>
        <v>40</v>
      </c>
    </row>
    <row r="132" spans="2:4" x14ac:dyDescent="0.3">
      <c r="B132" s="18" t="s">
        <v>3412</v>
      </c>
      <c r="C132">
        <f>COUNTIFS(tbPedido[Nome],Apoio2!B132) + ROW()/10000000000</f>
        <v>1.0000000132</v>
      </c>
      <c r="D132">
        <f t="shared" si="2"/>
        <v>112</v>
      </c>
    </row>
    <row r="133" spans="2:4" x14ac:dyDescent="0.3">
      <c r="B133" s="19" t="s">
        <v>3725</v>
      </c>
      <c r="C133">
        <f>COUNTIFS(tbPedido[Nome],Apoio2!B133) + ROW()/10000000000</f>
        <v>1.0000000133</v>
      </c>
      <c r="D133">
        <f t="shared" si="2"/>
        <v>111</v>
      </c>
    </row>
    <row r="134" spans="2:4" x14ac:dyDescent="0.3">
      <c r="B134" s="18" t="s">
        <v>3599</v>
      </c>
      <c r="C134">
        <f>COUNTIFS(tbPedido[Nome],Apoio2!B134) + ROW()/10000000000</f>
        <v>2.0000000134000002</v>
      </c>
      <c r="D134">
        <f t="shared" si="2"/>
        <v>39</v>
      </c>
    </row>
    <row r="135" spans="2:4" x14ac:dyDescent="0.3">
      <c r="B135" s="19" t="s">
        <v>3487</v>
      </c>
      <c r="C135">
        <f>COUNTIFS(tbPedido[Nome],Apoio2!B135) + ROW()/10000000000</f>
        <v>1.0000000135</v>
      </c>
      <c r="D135">
        <f t="shared" si="2"/>
        <v>110</v>
      </c>
    </row>
    <row r="136" spans="2:4" x14ac:dyDescent="0.3">
      <c r="B136" s="18" t="s">
        <v>3397</v>
      </c>
      <c r="C136">
        <f>COUNTIFS(tbPedido[Nome],Apoio2!B136) + ROW()/10000000000</f>
        <v>1.0000000136</v>
      </c>
      <c r="D136">
        <f t="shared" si="2"/>
        <v>109</v>
      </c>
    </row>
    <row r="137" spans="2:4" x14ac:dyDescent="0.3">
      <c r="B137" s="19" t="s">
        <v>3406</v>
      </c>
      <c r="C137">
        <f>COUNTIFS(tbPedido[Nome],Apoio2!B137) + ROW()/10000000000</f>
        <v>2.0000000136999998</v>
      </c>
      <c r="D137">
        <f t="shared" si="2"/>
        <v>38</v>
      </c>
    </row>
    <row r="138" spans="2:4" x14ac:dyDescent="0.3">
      <c r="B138" s="18" t="s">
        <v>3439</v>
      </c>
      <c r="C138">
        <f>COUNTIFS(tbPedido[Nome],Apoio2!B138) + ROW()/10000000000</f>
        <v>1.0000000138</v>
      </c>
      <c r="D138">
        <f t="shared" si="2"/>
        <v>108</v>
      </c>
    </row>
    <row r="139" spans="2:4" x14ac:dyDescent="0.3">
      <c r="B139" s="18" t="s">
        <v>3473</v>
      </c>
      <c r="C139">
        <f>COUNTIFS(tbPedido[Nome],Apoio2!B139) + ROW()/10000000000</f>
        <v>1.0000000139</v>
      </c>
      <c r="D139">
        <f t="shared" si="2"/>
        <v>107</v>
      </c>
    </row>
    <row r="140" spans="2:4" x14ac:dyDescent="0.3">
      <c r="B140" s="19" t="s">
        <v>3575</v>
      </c>
      <c r="C140">
        <f>COUNTIFS(tbPedido[Nome],Apoio2!B140) + ROW()/10000000000</f>
        <v>1.000000014</v>
      </c>
      <c r="D140">
        <f t="shared" si="2"/>
        <v>106</v>
      </c>
    </row>
    <row r="141" spans="2:4" x14ac:dyDescent="0.3">
      <c r="B141" s="18" t="s">
        <v>3474</v>
      </c>
      <c r="C141">
        <f>COUNTIFS(tbPedido[Nome],Apoio2!B141) + ROW()/10000000000</f>
        <v>1.0000000141000001</v>
      </c>
      <c r="D141">
        <f t="shared" si="2"/>
        <v>105</v>
      </c>
    </row>
    <row r="142" spans="2:4" x14ac:dyDescent="0.3">
      <c r="B142" s="18" t="s">
        <v>3691</v>
      </c>
      <c r="C142">
        <f>COUNTIFS(tbPedido[Nome],Apoio2!B142) + ROW()/10000000000</f>
        <v>1.0000000142000001</v>
      </c>
      <c r="D142">
        <f t="shared" si="2"/>
        <v>104</v>
      </c>
    </row>
    <row r="143" spans="2:4" x14ac:dyDescent="0.3">
      <c r="B143" s="18" t="s">
        <v>3689</v>
      </c>
      <c r="C143">
        <f>COUNTIFS(tbPedido[Nome],Apoio2!B143) + ROW()/10000000000</f>
        <v>1.0000000143000001</v>
      </c>
      <c r="D143">
        <f t="shared" si="2"/>
        <v>103</v>
      </c>
    </row>
    <row r="144" spans="2:4" x14ac:dyDescent="0.3">
      <c r="B144" s="19" t="s">
        <v>3684</v>
      </c>
      <c r="C144">
        <f>COUNTIFS(tbPedido[Nome],Apoio2!B144) + ROW()/10000000000</f>
        <v>1.0000000144000001</v>
      </c>
      <c r="D144">
        <f t="shared" si="2"/>
        <v>102</v>
      </c>
    </row>
    <row r="145" spans="2:4" x14ac:dyDescent="0.3">
      <c r="B145" s="19" t="s">
        <v>3459</v>
      </c>
      <c r="C145">
        <f>COUNTIFS(tbPedido[Nome],Apoio2!B145) + ROW()/10000000000</f>
        <v>1.0000000145000001</v>
      </c>
      <c r="D145">
        <f t="shared" si="2"/>
        <v>101</v>
      </c>
    </row>
    <row r="146" spans="2:4" x14ac:dyDescent="0.3">
      <c r="B146" s="18" t="s">
        <v>3466</v>
      </c>
      <c r="C146">
        <f>COUNTIFS(tbPedido[Nome],Apoio2!B146) + ROW()/10000000000</f>
        <v>1.0000000146000001</v>
      </c>
      <c r="D146">
        <f t="shared" si="2"/>
        <v>100</v>
      </c>
    </row>
    <row r="147" spans="2:4" x14ac:dyDescent="0.3">
      <c r="B147" s="18" t="s">
        <v>3733</v>
      </c>
      <c r="C147">
        <f>COUNTIFS(tbPedido[Nome],Apoio2!B147) + ROW()/10000000000</f>
        <v>1.0000000147000001</v>
      </c>
      <c r="D147">
        <f t="shared" si="2"/>
        <v>99</v>
      </c>
    </row>
    <row r="148" spans="2:4" x14ac:dyDescent="0.3">
      <c r="B148" s="19" t="s">
        <v>3705</v>
      </c>
      <c r="C148">
        <f>COUNTIFS(tbPedido[Nome],Apoio2!B148) + ROW()/10000000000</f>
        <v>1.0000000147999999</v>
      </c>
      <c r="D148">
        <f t="shared" si="2"/>
        <v>98</v>
      </c>
    </row>
    <row r="149" spans="2:4" x14ac:dyDescent="0.3">
      <c r="B149" s="18" t="s">
        <v>3538</v>
      </c>
      <c r="C149">
        <f>COUNTIFS(tbPedido[Nome],Apoio2!B149) + ROW()/10000000000</f>
        <v>4.0000000149000003</v>
      </c>
      <c r="D149">
        <f t="shared" si="2"/>
        <v>12</v>
      </c>
    </row>
    <row r="150" spans="2:4" x14ac:dyDescent="0.3">
      <c r="B150" s="19" t="s">
        <v>3722</v>
      </c>
      <c r="C150">
        <f>COUNTIFS(tbPedido[Nome],Apoio2!B150) + ROW()/10000000000</f>
        <v>1.0000000149999999</v>
      </c>
      <c r="D150">
        <f t="shared" si="2"/>
        <v>97</v>
      </c>
    </row>
    <row r="151" spans="2:4" x14ac:dyDescent="0.3">
      <c r="B151" s="18" t="s">
        <v>3442</v>
      </c>
      <c r="C151">
        <f>COUNTIFS(tbPedido[Nome],Apoio2!B151) + ROW()/10000000000</f>
        <v>1.0000000150999999</v>
      </c>
      <c r="D151">
        <f t="shared" si="2"/>
        <v>96</v>
      </c>
    </row>
    <row r="152" spans="2:4" x14ac:dyDescent="0.3">
      <c r="B152" s="18" t="s">
        <v>3669</v>
      </c>
      <c r="C152">
        <f>COUNTIFS(tbPedido[Nome],Apoio2!B152) + ROW()/10000000000</f>
        <v>1.0000000151999999</v>
      </c>
      <c r="D152">
        <f t="shared" si="2"/>
        <v>95</v>
      </c>
    </row>
    <row r="153" spans="2:4" x14ac:dyDescent="0.3">
      <c r="B153" s="19" t="s">
        <v>3446</v>
      </c>
      <c r="C153">
        <f>COUNTIFS(tbPedido[Nome],Apoio2!B153) + ROW()/10000000000</f>
        <v>1.0000000152999999</v>
      </c>
      <c r="D153">
        <f t="shared" si="2"/>
        <v>94</v>
      </c>
    </row>
    <row r="154" spans="2:4" x14ac:dyDescent="0.3">
      <c r="B154" s="19" t="s">
        <v>3522</v>
      </c>
      <c r="C154">
        <f>COUNTIFS(tbPedido[Nome],Apoio2!B154) + ROW()/10000000000</f>
        <v>1.0000000153999999</v>
      </c>
      <c r="D154">
        <f t="shared" si="2"/>
        <v>93</v>
      </c>
    </row>
    <row r="155" spans="2:4" x14ac:dyDescent="0.3">
      <c r="B155" s="18" t="s">
        <v>3472</v>
      </c>
      <c r="C155">
        <f>COUNTIFS(tbPedido[Nome],Apoio2!B155) + ROW()/10000000000</f>
        <v>1.0000000155</v>
      </c>
      <c r="D155">
        <f t="shared" si="2"/>
        <v>92</v>
      </c>
    </row>
    <row r="156" spans="2:4" x14ac:dyDescent="0.3">
      <c r="B156" s="18" t="s">
        <v>3726</v>
      </c>
      <c r="C156">
        <f>COUNTIFS(tbPedido[Nome],Apoio2!B156) + ROW()/10000000000</f>
        <v>2.0000000156</v>
      </c>
      <c r="D156">
        <f t="shared" si="2"/>
        <v>37</v>
      </c>
    </row>
    <row r="157" spans="2:4" x14ac:dyDescent="0.3">
      <c r="B157" s="19" t="s">
        <v>3555</v>
      </c>
      <c r="C157">
        <f>COUNTIFS(tbPedido[Nome],Apoio2!B157) + ROW()/10000000000</f>
        <v>1.0000000157</v>
      </c>
      <c r="D157">
        <f t="shared" si="2"/>
        <v>91</v>
      </c>
    </row>
    <row r="158" spans="2:4" x14ac:dyDescent="0.3">
      <c r="B158" s="19" t="s">
        <v>3325</v>
      </c>
      <c r="C158">
        <f>COUNTIFS(tbPedido[Nome],Apoio2!B158) + ROW()/10000000000</f>
        <v>1.0000000158</v>
      </c>
      <c r="D158">
        <f t="shared" si="2"/>
        <v>90</v>
      </c>
    </row>
    <row r="159" spans="2:4" x14ac:dyDescent="0.3">
      <c r="B159" s="19" t="s">
        <v>3486</v>
      </c>
      <c r="C159">
        <f>COUNTIFS(tbPedido[Nome],Apoio2!B159) + ROW()/10000000000</f>
        <v>1.0000000159</v>
      </c>
      <c r="D159">
        <f t="shared" si="2"/>
        <v>89</v>
      </c>
    </row>
    <row r="160" spans="2:4" x14ac:dyDescent="0.3">
      <c r="B160" s="18" t="s">
        <v>3604</v>
      </c>
      <c r="C160">
        <f>COUNTIFS(tbPedido[Nome],Apoio2!B160) + ROW()/10000000000</f>
        <v>1.000000016</v>
      </c>
      <c r="D160">
        <f t="shared" si="2"/>
        <v>88</v>
      </c>
    </row>
    <row r="161" spans="2:4" x14ac:dyDescent="0.3">
      <c r="B161" s="19" t="s">
        <v>3416</v>
      </c>
      <c r="C161">
        <f>COUNTIFS(tbPedido[Nome],Apoio2!B161) + ROW()/10000000000</f>
        <v>1.0000000161</v>
      </c>
      <c r="D161">
        <f t="shared" si="2"/>
        <v>87</v>
      </c>
    </row>
    <row r="162" spans="2:4" x14ac:dyDescent="0.3">
      <c r="B162" s="18" t="s">
        <v>3662</v>
      </c>
      <c r="C162">
        <f>COUNTIFS(tbPedido[Nome],Apoio2!B162) + ROW()/10000000000</f>
        <v>1.0000000162</v>
      </c>
      <c r="D162">
        <f t="shared" si="2"/>
        <v>86</v>
      </c>
    </row>
    <row r="163" spans="2:4" x14ac:dyDescent="0.3">
      <c r="B163" s="19" t="s">
        <v>3458</v>
      </c>
      <c r="C163">
        <f>COUNTIFS(tbPedido[Nome],Apoio2!B163) + ROW()/10000000000</f>
        <v>1.0000000163</v>
      </c>
      <c r="D163">
        <f t="shared" si="2"/>
        <v>85</v>
      </c>
    </row>
    <row r="164" spans="2:4" x14ac:dyDescent="0.3">
      <c r="B164" s="19" t="s">
        <v>3463</v>
      </c>
      <c r="C164">
        <f>COUNTIFS(tbPedido[Nome],Apoio2!B164) + ROW()/10000000000</f>
        <v>1.0000000164</v>
      </c>
      <c r="D164">
        <f t="shared" si="2"/>
        <v>84</v>
      </c>
    </row>
    <row r="165" spans="2:4" x14ac:dyDescent="0.3">
      <c r="B165" s="18" t="s">
        <v>3495</v>
      </c>
      <c r="C165">
        <f>COUNTIFS(tbPedido[Nome],Apoio2!B165) + ROW()/10000000000</f>
        <v>1.0000000165</v>
      </c>
      <c r="D165">
        <f t="shared" si="2"/>
        <v>83</v>
      </c>
    </row>
    <row r="166" spans="2:4" x14ac:dyDescent="0.3">
      <c r="B166" s="19" t="s">
        <v>3624</v>
      </c>
      <c r="C166">
        <f>COUNTIFS(tbPedido[Nome],Apoio2!B166) + ROW()/10000000000</f>
        <v>1.0000000166</v>
      </c>
      <c r="D166">
        <f t="shared" si="2"/>
        <v>82</v>
      </c>
    </row>
    <row r="167" spans="2:4" x14ac:dyDescent="0.3">
      <c r="B167" s="19" t="s">
        <v>3424</v>
      </c>
      <c r="C167">
        <f>COUNTIFS(tbPedido[Nome],Apoio2!B167) + ROW()/10000000000</f>
        <v>1.0000000167</v>
      </c>
      <c r="D167">
        <f t="shared" si="2"/>
        <v>81</v>
      </c>
    </row>
    <row r="168" spans="2:4" x14ac:dyDescent="0.3">
      <c r="B168" s="18" t="s">
        <v>3649</v>
      </c>
      <c r="C168">
        <f>COUNTIFS(tbPedido[Nome],Apoio2!B168) + ROW()/10000000000</f>
        <v>1.0000000168000001</v>
      </c>
      <c r="D168">
        <f t="shared" si="2"/>
        <v>80</v>
      </c>
    </row>
    <row r="169" spans="2:4" x14ac:dyDescent="0.3">
      <c r="B169" s="19" t="s">
        <v>3558</v>
      </c>
      <c r="C169">
        <f>COUNTIFS(tbPedido[Nome],Apoio2!B169) + ROW()/10000000000</f>
        <v>2.0000000169000001</v>
      </c>
      <c r="D169">
        <f t="shared" si="2"/>
        <v>36</v>
      </c>
    </row>
    <row r="170" spans="2:4" x14ac:dyDescent="0.3">
      <c r="B170" s="18" t="s">
        <v>3730</v>
      </c>
      <c r="C170">
        <f>COUNTIFS(tbPedido[Nome],Apoio2!B170) + ROW()/10000000000</f>
        <v>1.0000000170000001</v>
      </c>
      <c r="D170">
        <f t="shared" si="2"/>
        <v>79</v>
      </c>
    </row>
    <row r="171" spans="2:4" x14ac:dyDescent="0.3">
      <c r="B171" s="19" t="s">
        <v>3398</v>
      </c>
      <c r="C171">
        <f>COUNTIFS(tbPedido[Nome],Apoio2!B171) + ROW()/10000000000</f>
        <v>1.0000000171000001</v>
      </c>
      <c r="D171">
        <f t="shared" si="2"/>
        <v>78</v>
      </c>
    </row>
    <row r="172" spans="2:4" x14ac:dyDescent="0.3">
      <c r="B172" s="19" t="s">
        <v>3695</v>
      </c>
      <c r="C172">
        <f>COUNTIFS(tbPedido[Nome],Apoio2!B172) + ROW()/10000000000</f>
        <v>1.0000000172000001</v>
      </c>
      <c r="D172">
        <f t="shared" si="2"/>
        <v>77</v>
      </c>
    </row>
    <row r="173" spans="2:4" x14ac:dyDescent="0.3">
      <c r="B173" s="18" t="s">
        <v>3644</v>
      </c>
      <c r="C173">
        <f>COUNTIFS(tbPedido[Nome],Apoio2!B173) + ROW()/10000000000</f>
        <v>1.0000000173000001</v>
      </c>
      <c r="D173">
        <f t="shared" si="2"/>
        <v>76</v>
      </c>
    </row>
    <row r="174" spans="2:4" x14ac:dyDescent="0.3">
      <c r="B174" s="19" t="s">
        <v>3636</v>
      </c>
      <c r="C174">
        <f>COUNTIFS(tbPedido[Nome],Apoio2!B174) + ROW()/10000000000</f>
        <v>1.0000000174000001</v>
      </c>
      <c r="D174">
        <f t="shared" si="2"/>
        <v>75</v>
      </c>
    </row>
    <row r="175" spans="2:4" x14ac:dyDescent="0.3">
      <c r="B175" s="18" t="s">
        <v>3489</v>
      </c>
      <c r="C175">
        <f>COUNTIFS(tbPedido[Nome],Apoio2!B175) + ROW()/10000000000</f>
        <v>1.0000000174999999</v>
      </c>
      <c r="D175">
        <f t="shared" si="2"/>
        <v>74</v>
      </c>
    </row>
    <row r="176" spans="2:4" x14ac:dyDescent="0.3">
      <c r="B176" s="19" t="s">
        <v>3484</v>
      </c>
      <c r="C176">
        <f>COUNTIFS(tbPedido[Nome],Apoio2!B176) + ROW()/10000000000</f>
        <v>1.0000000175999999</v>
      </c>
      <c r="D176">
        <f t="shared" si="2"/>
        <v>73</v>
      </c>
    </row>
    <row r="177" spans="2:4" x14ac:dyDescent="0.3">
      <c r="B177" s="18" t="s">
        <v>3713</v>
      </c>
      <c r="C177">
        <f>COUNTIFS(tbPedido[Nome],Apoio2!B177) + ROW()/10000000000</f>
        <v>1.0000000176999999</v>
      </c>
      <c r="D177">
        <f t="shared" si="2"/>
        <v>72</v>
      </c>
    </row>
    <row r="178" spans="2:4" x14ac:dyDescent="0.3">
      <c r="B178" s="18" t="s">
        <v>3536</v>
      </c>
      <c r="C178">
        <f>COUNTIFS(tbPedido[Nome],Apoio2!B178) + ROW()/10000000000</f>
        <v>1.0000000177999999</v>
      </c>
      <c r="D178">
        <f t="shared" si="2"/>
        <v>71</v>
      </c>
    </row>
    <row r="179" spans="2:4" x14ac:dyDescent="0.3">
      <c r="B179" s="19" t="s">
        <v>3740</v>
      </c>
      <c r="C179">
        <f>COUNTIFS(tbPedido[Nome],Apoio2!B179) + ROW()/10000000000</f>
        <v>1.0000000178999999</v>
      </c>
      <c r="D179">
        <f t="shared" si="2"/>
        <v>70</v>
      </c>
    </row>
    <row r="180" spans="2:4" x14ac:dyDescent="0.3">
      <c r="B180" s="18" t="s">
        <v>3488</v>
      </c>
      <c r="C180">
        <f>COUNTIFS(tbPedido[Nome],Apoio2!B180) + ROW()/10000000000</f>
        <v>1.0000000179999999</v>
      </c>
      <c r="D180">
        <f t="shared" si="2"/>
        <v>69</v>
      </c>
    </row>
    <row r="181" spans="2:4" x14ac:dyDescent="0.3">
      <c r="B181" s="19" t="s">
        <v>3681</v>
      </c>
      <c r="C181">
        <f>COUNTIFS(tbPedido[Nome],Apoio2!B181) + ROW()/10000000000</f>
        <v>1.0000000180999999</v>
      </c>
      <c r="D181">
        <f t="shared" si="2"/>
        <v>68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F3C39-1A3F-4CF5-8884-FBCEFDCD1162}">
  <sheetPr codeName="wsLog">
    <tabColor rgb="FFFF0000"/>
  </sheetPr>
  <dimension ref="A1:H67"/>
  <sheetViews>
    <sheetView topLeftCell="A16" workbookViewId="0">
      <selection activeCell="F23" sqref="F23"/>
    </sheetView>
  </sheetViews>
  <sheetFormatPr defaultRowHeight="14.4" x14ac:dyDescent="0.3"/>
  <cols>
    <col min="3" max="3" width="15.6640625" bestFit="1" customWidth="1"/>
    <col min="4" max="4" width="11.88671875" bestFit="1" customWidth="1"/>
    <col min="5" max="5" width="26.33203125" bestFit="1" customWidth="1"/>
    <col min="6" max="6" width="10.109375" bestFit="1" customWidth="1"/>
  </cols>
  <sheetData>
    <row r="1" spans="1:5" x14ac:dyDescent="0.3">
      <c r="A1" s="6">
        <v>0</v>
      </c>
    </row>
    <row r="2" spans="1:5" x14ac:dyDescent="0.3">
      <c r="C2" s="4">
        <v>43983.469236111108</v>
      </c>
      <c r="D2" t="s">
        <v>6</v>
      </c>
      <c r="E2" t="s">
        <v>5</v>
      </c>
    </row>
    <row r="3" spans="1:5" x14ac:dyDescent="0.3">
      <c r="C3" s="4">
        <v>44334.958912037036</v>
      </c>
      <c r="D3" t="s">
        <v>8</v>
      </c>
      <c r="E3" t="s">
        <v>12</v>
      </c>
    </row>
    <row r="4" spans="1:5" x14ac:dyDescent="0.3">
      <c r="C4" s="4">
        <v>44334.959675925929</v>
      </c>
      <c r="D4" t="s">
        <v>8</v>
      </c>
      <c r="E4" t="s">
        <v>12</v>
      </c>
    </row>
    <row r="5" spans="1:5" x14ac:dyDescent="0.3">
      <c r="C5" s="4">
        <v>44334.959722222222</v>
      </c>
      <c r="D5" t="s">
        <v>8</v>
      </c>
      <c r="E5" t="s">
        <v>12</v>
      </c>
    </row>
    <row r="6" spans="1:5" x14ac:dyDescent="0.3">
      <c r="C6" s="4">
        <v>44334.959733796299</v>
      </c>
      <c r="D6" t="s">
        <v>9</v>
      </c>
      <c r="E6" t="s">
        <v>12</v>
      </c>
    </row>
    <row r="7" spans="1:5" x14ac:dyDescent="0.3">
      <c r="C7" s="4">
        <v>44334.959733796299</v>
      </c>
      <c r="D7" t="s">
        <v>8</v>
      </c>
      <c r="E7" t="s">
        <v>12</v>
      </c>
    </row>
    <row r="8" spans="1:5" x14ac:dyDescent="0.3">
      <c r="C8" s="4">
        <v>44487.784837962965</v>
      </c>
      <c r="D8" t="s">
        <v>3758</v>
      </c>
      <c r="E8" t="s">
        <v>12</v>
      </c>
    </row>
    <row r="9" spans="1:5" x14ac:dyDescent="0.3">
      <c r="C9" s="4">
        <v>44487.861319444448</v>
      </c>
      <c r="D9" t="s">
        <v>9</v>
      </c>
      <c r="E9" t="s">
        <v>12</v>
      </c>
    </row>
    <row r="10" spans="1:5" x14ac:dyDescent="0.3">
      <c r="C10" s="4">
        <v>44487.861319444448</v>
      </c>
      <c r="D10" t="s">
        <v>8</v>
      </c>
      <c r="E10" t="s">
        <v>12</v>
      </c>
    </row>
    <row r="11" spans="1:5" x14ac:dyDescent="0.3">
      <c r="C11" s="4">
        <v>44487.92832175926</v>
      </c>
      <c r="D11" t="s">
        <v>3758</v>
      </c>
      <c r="E11" t="s">
        <v>12</v>
      </c>
    </row>
    <row r="12" spans="1:5" x14ac:dyDescent="0.3">
      <c r="C12" s="4">
        <v>44487.934849537036</v>
      </c>
      <c r="D12" t="s">
        <v>9</v>
      </c>
      <c r="E12" t="s">
        <v>12</v>
      </c>
    </row>
    <row r="13" spans="1:5" x14ac:dyDescent="0.3">
      <c r="C13" s="4">
        <v>44487.934849537036</v>
      </c>
      <c r="D13" t="s">
        <v>8</v>
      </c>
      <c r="E13" t="s">
        <v>12</v>
      </c>
    </row>
    <row r="14" spans="1:5" x14ac:dyDescent="0.3">
      <c r="C14" s="4">
        <v>45425.791539351849</v>
      </c>
      <c r="D14" t="s">
        <v>3758</v>
      </c>
      <c r="E14" t="s">
        <v>3759</v>
      </c>
    </row>
    <row r="15" spans="1:5" x14ac:dyDescent="0.3">
      <c r="C15" s="4">
        <v>45425.834236111114</v>
      </c>
      <c r="D15" t="s">
        <v>9</v>
      </c>
      <c r="E15" t="s">
        <v>3759</v>
      </c>
    </row>
    <row r="16" spans="1:5" x14ac:dyDescent="0.3">
      <c r="C16" s="4">
        <v>45425.834236111114</v>
      </c>
      <c r="D16" t="s">
        <v>8</v>
      </c>
      <c r="E16" t="s">
        <v>3759</v>
      </c>
    </row>
    <row r="17" spans="3:8" x14ac:dyDescent="0.3">
      <c r="C17" s="4">
        <v>45425.872581018521</v>
      </c>
      <c r="D17" t="s">
        <v>3758</v>
      </c>
      <c r="E17" t="s">
        <v>3760</v>
      </c>
    </row>
    <row r="18" spans="3:8" x14ac:dyDescent="0.3">
      <c r="C18" s="4">
        <v>45425.917222222219</v>
      </c>
      <c r="D18" t="s">
        <v>9</v>
      </c>
      <c r="E18" t="s">
        <v>3760</v>
      </c>
    </row>
    <row r="19" spans="3:8" x14ac:dyDescent="0.3">
      <c r="C19" s="4">
        <v>45425.917222222219</v>
      </c>
      <c r="D19" t="s">
        <v>8</v>
      </c>
      <c r="E19" t="s">
        <v>3760</v>
      </c>
    </row>
    <row r="20" spans="3:8" x14ac:dyDescent="0.3">
      <c r="C20" s="4">
        <v>45789.818981481483</v>
      </c>
      <c r="D20" t="s">
        <v>3758</v>
      </c>
      <c r="E20" t="s">
        <v>3761</v>
      </c>
    </row>
    <row r="21" spans="3:8" x14ac:dyDescent="0.3">
      <c r="C21" s="4">
        <v>45789.819374999999</v>
      </c>
      <c r="D21" t="s">
        <v>9</v>
      </c>
      <c r="E21" t="s">
        <v>3761</v>
      </c>
    </row>
    <row r="22" spans="3:8" x14ac:dyDescent="0.3">
      <c r="C22" s="4">
        <v>45789.819374999999</v>
      </c>
      <c r="D22" t="s">
        <v>8</v>
      </c>
      <c r="E22" t="s">
        <v>3761</v>
      </c>
      <c r="F22" t="s">
        <v>3768</v>
      </c>
      <c r="G22" t="s">
        <v>3768</v>
      </c>
      <c r="H22" t="s">
        <v>3768</v>
      </c>
    </row>
    <row r="23" spans="3:8" x14ac:dyDescent="0.3">
      <c r="C23" s="4" t="s">
        <v>3768</v>
      </c>
      <c r="D23" t="s">
        <v>3768</v>
      </c>
      <c r="E23" t="s">
        <v>3768</v>
      </c>
      <c r="F23" t="s">
        <v>3768</v>
      </c>
      <c r="G23" t="s">
        <v>3768</v>
      </c>
      <c r="H23" t="s">
        <v>3768</v>
      </c>
    </row>
    <row r="24" spans="3:8" x14ac:dyDescent="0.3">
      <c r="C24" s="4">
        <v>45796.84039351852</v>
      </c>
      <c r="D24" t="s">
        <v>8</v>
      </c>
      <c r="E24" t="s">
        <v>3761</v>
      </c>
      <c r="F24">
        <v>123</v>
      </c>
      <c r="G24" t="s">
        <v>3767</v>
      </c>
    </row>
    <row r="25" spans="3:8" x14ac:dyDescent="0.3">
      <c r="C25" s="4">
        <v>45796.840833333335</v>
      </c>
      <c r="D25" t="s">
        <v>8</v>
      </c>
      <c r="E25" t="s">
        <v>3761</v>
      </c>
      <c r="F25">
        <v>123</v>
      </c>
      <c r="G25" t="s">
        <v>3767</v>
      </c>
    </row>
    <row r="26" spans="3:8" x14ac:dyDescent="0.3">
      <c r="C26" s="4">
        <v>45796.840879629628</v>
      </c>
      <c r="D26" t="s">
        <v>9</v>
      </c>
      <c r="E26" t="s">
        <v>3761</v>
      </c>
      <c r="F26">
        <v>123</v>
      </c>
      <c r="G26" t="s">
        <v>3767</v>
      </c>
    </row>
    <row r="27" spans="3:8" x14ac:dyDescent="0.3">
      <c r="C27" s="4">
        <v>45796.840879629628</v>
      </c>
      <c r="D27" t="s">
        <v>8</v>
      </c>
      <c r="E27" t="s">
        <v>3761</v>
      </c>
      <c r="F27">
        <v>123</v>
      </c>
      <c r="G27" t="s">
        <v>3767</v>
      </c>
    </row>
    <row r="28" spans="3:8" x14ac:dyDescent="0.3">
      <c r="C28" s="4">
        <v>45796.84138888889</v>
      </c>
      <c r="D28" t="s">
        <v>3758</v>
      </c>
      <c r="E28" t="s">
        <v>3761</v>
      </c>
      <c r="F28">
        <v>123</v>
      </c>
      <c r="G28" t="s">
        <v>3767</v>
      </c>
    </row>
    <row r="29" spans="3:8" x14ac:dyDescent="0.3">
      <c r="C29" s="4">
        <v>45796.841886574075</v>
      </c>
      <c r="D29" t="s">
        <v>8</v>
      </c>
      <c r="E29" t="s">
        <v>3761</v>
      </c>
      <c r="F29">
        <v>123</v>
      </c>
      <c r="G29" t="s">
        <v>3767</v>
      </c>
    </row>
    <row r="30" spans="3:8" x14ac:dyDescent="0.3">
      <c r="C30" s="4">
        <v>45796.845277777778</v>
      </c>
      <c r="D30" t="s">
        <v>9</v>
      </c>
      <c r="E30" t="s">
        <v>3761</v>
      </c>
    </row>
    <row r="31" spans="3:8" x14ac:dyDescent="0.3">
      <c r="C31" s="4">
        <v>45796.845277777778</v>
      </c>
      <c r="D31" t="s">
        <v>8</v>
      </c>
      <c r="E31" t="s">
        <v>3761</v>
      </c>
    </row>
    <row r="32" spans="3:8" x14ac:dyDescent="0.3">
      <c r="C32" s="4">
        <v>45796.883229166669</v>
      </c>
      <c r="D32" t="s">
        <v>3758</v>
      </c>
      <c r="E32" t="s">
        <v>3769</v>
      </c>
    </row>
    <row r="33" spans="3:5" x14ac:dyDescent="0.3">
      <c r="C33" s="4">
        <v>45796.883611111109</v>
      </c>
      <c r="D33" t="s">
        <v>9</v>
      </c>
      <c r="E33" t="s">
        <v>3769</v>
      </c>
    </row>
    <row r="34" spans="3:5" x14ac:dyDescent="0.3">
      <c r="C34" s="4">
        <v>45796.883611111109</v>
      </c>
      <c r="D34" t="s">
        <v>8</v>
      </c>
      <c r="E34" t="s">
        <v>3769</v>
      </c>
    </row>
    <row r="35" spans="3:5" x14ac:dyDescent="0.3">
      <c r="C35" s="4">
        <v>45796.883796296293</v>
      </c>
      <c r="D35" t="s">
        <v>3758</v>
      </c>
      <c r="E35" t="s">
        <v>3769</v>
      </c>
    </row>
    <row r="36" spans="3:5" x14ac:dyDescent="0.3">
      <c r="C36" s="4">
        <v>45796.930752314816</v>
      </c>
      <c r="D36" t="s">
        <v>8</v>
      </c>
      <c r="E36" t="s">
        <v>3769</v>
      </c>
    </row>
    <row r="37" spans="3:5" x14ac:dyDescent="0.3">
      <c r="C37" s="4">
        <v>45796.930810185186</v>
      </c>
      <c r="D37" t="s">
        <v>9</v>
      </c>
      <c r="E37" t="s">
        <v>3769</v>
      </c>
    </row>
    <row r="38" spans="3:5" x14ac:dyDescent="0.3">
      <c r="C38" s="4">
        <v>45796.930810185186</v>
      </c>
      <c r="D38" t="s">
        <v>8</v>
      </c>
      <c r="E38" t="s">
        <v>3769</v>
      </c>
    </row>
    <row r="39" spans="3:5" x14ac:dyDescent="0.3">
      <c r="C39" s="4">
        <v>45803.929537037038</v>
      </c>
      <c r="D39" t="s">
        <v>3758</v>
      </c>
      <c r="E39" t="s">
        <v>3769</v>
      </c>
    </row>
    <row r="40" spans="3:5" x14ac:dyDescent="0.3">
      <c r="C40" s="4">
        <v>45803.931608796294</v>
      </c>
      <c r="D40" t="s">
        <v>9</v>
      </c>
      <c r="E40" t="s">
        <v>3769</v>
      </c>
    </row>
    <row r="41" spans="3:5" x14ac:dyDescent="0.3">
      <c r="C41" s="4">
        <v>45803.931608796294</v>
      </c>
      <c r="D41" t="s">
        <v>8</v>
      </c>
      <c r="E41" t="s">
        <v>3769</v>
      </c>
    </row>
    <row r="42" spans="3:5" x14ac:dyDescent="0.3">
      <c r="C42" s="4">
        <v>45950.791504629633</v>
      </c>
      <c r="D42" t="s">
        <v>3758</v>
      </c>
      <c r="E42" t="s">
        <v>3771</v>
      </c>
    </row>
    <row r="43" spans="3:5" x14ac:dyDescent="0.3">
      <c r="C43" s="4">
        <v>45950.791643518518</v>
      </c>
      <c r="D43" t="s">
        <v>9</v>
      </c>
      <c r="E43" t="s">
        <v>3771</v>
      </c>
    </row>
    <row r="44" spans="3:5" x14ac:dyDescent="0.3">
      <c r="C44" s="4">
        <v>45950.791643518518</v>
      </c>
      <c r="D44" t="s">
        <v>8</v>
      </c>
      <c r="E44" t="s">
        <v>3771</v>
      </c>
    </row>
    <row r="45" spans="3:5" x14ac:dyDescent="0.3">
      <c r="C45" s="4">
        <v>45950.794907407406</v>
      </c>
      <c r="D45" t="s">
        <v>3758</v>
      </c>
      <c r="E45" t="s">
        <v>3771</v>
      </c>
    </row>
    <row r="46" spans="3:5" x14ac:dyDescent="0.3">
      <c r="C46" s="4">
        <v>45950.796006944445</v>
      </c>
      <c r="D46" t="s">
        <v>8</v>
      </c>
      <c r="E46" t="s">
        <v>3771</v>
      </c>
    </row>
    <row r="47" spans="3:5" x14ac:dyDescent="0.3">
      <c r="C47" s="4">
        <v>46167.554722222223</v>
      </c>
      <c r="D47" t="s">
        <v>3758</v>
      </c>
      <c r="E47" t="s">
        <v>3772</v>
      </c>
    </row>
    <row r="48" spans="3:5" x14ac:dyDescent="0.3">
      <c r="C48" s="4">
        <v>46167.570798611108</v>
      </c>
      <c r="D48" t="s">
        <v>8</v>
      </c>
      <c r="E48" t="s">
        <v>3772</v>
      </c>
    </row>
    <row r="49" spans="3:5" x14ac:dyDescent="0.3">
      <c r="C49" s="4">
        <v>46167.570925925924</v>
      </c>
      <c r="D49" t="s">
        <v>9</v>
      </c>
      <c r="E49" t="s">
        <v>3772</v>
      </c>
    </row>
    <row r="50" spans="3:5" x14ac:dyDescent="0.3">
      <c r="C50" s="4">
        <v>46167.570925925924</v>
      </c>
      <c r="D50" t="s">
        <v>8</v>
      </c>
      <c r="E50" t="s">
        <v>3772</v>
      </c>
    </row>
    <row r="51" spans="3:5" x14ac:dyDescent="0.3">
      <c r="C51" s="4">
        <v>46167.571180555555</v>
      </c>
      <c r="D51" t="s">
        <v>3758</v>
      </c>
      <c r="E51" t="s">
        <v>3772</v>
      </c>
    </row>
    <row r="52" spans="3:5" x14ac:dyDescent="0.3">
      <c r="C52" s="4">
        <v>46167.571296296293</v>
      </c>
      <c r="D52" t="s">
        <v>9</v>
      </c>
      <c r="E52" t="s">
        <v>3772</v>
      </c>
    </row>
    <row r="53" spans="3:5" x14ac:dyDescent="0.3">
      <c r="C53" s="4">
        <v>46167.571296296293</v>
      </c>
      <c r="D53" t="s">
        <v>8</v>
      </c>
      <c r="E53" t="s">
        <v>3772</v>
      </c>
    </row>
    <row r="54" spans="3:5" x14ac:dyDescent="0.3">
      <c r="C54" s="4">
        <v>46167.808206018519</v>
      </c>
      <c r="D54" t="s">
        <v>3758</v>
      </c>
      <c r="E54" t="s">
        <v>3784</v>
      </c>
    </row>
    <row r="55" spans="3:5" x14ac:dyDescent="0.3">
      <c r="C55" s="4">
        <v>46167.835300925923</v>
      </c>
      <c r="D55" t="s">
        <v>8</v>
      </c>
      <c r="E55" t="s">
        <v>3784</v>
      </c>
    </row>
    <row r="56" spans="3:5" x14ac:dyDescent="0.3">
      <c r="C56" s="4">
        <v>46167.835335648146</v>
      </c>
      <c r="D56" t="s">
        <v>8</v>
      </c>
      <c r="E56" t="s">
        <v>3784</v>
      </c>
    </row>
    <row r="57" spans="3:5" x14ac:dyDescent="0.3">
      <c r="C57" s="4">
        <v>46167.835358796299</v>
      </c>
      <c r="D57" t="s">
        <v>8</v>
      </c>
      <c r="E57" t="s">
        <v>3784</v>
      </c>
    </row>
    <row r="58" spans="3:5" x14ac:dyDescent="0.3">
      <c r="C58" s="4">
        <v>46168.465497685182</v>
      </c>
      <c r="D58" t="s">
        <v>8</v>
      </c>
      <c r="E58" t="s">
        <v>3784</v>
      </c>
    </row>
    <row r="59" spans="3:5" x14ac:dyDescent="0.3">
      <c r="C59" s="4">
        <v>46168.465520833335</v>
      </c>
      <c r="D59" t="s">
        <v>9</v>
      </c>
      <c r="E59" t="s">
        <v>3784</v>
      </c>
    </row>
    <row r="60" spans="3:5" x14ac:dyDescent="0.3">
      <c r="C60" s="4">
        <v>46168.465520833335</v>
      </c>
      <c r="D60" t="s">
        <v>8</v>
      </c>
      <c r="E60" t="s">
        <v>3784</v>
      </c>
    </row>
    <row r="61" spans="3:5" x14ac:dyDescent="0.3">
      <c r="C61" s="4">
        <v>46174.797592592593</v>
      </c>
      <c r="D61" t="s">
        <v>3758</v>
      </c>
      <c r="E61" t="s">
        <v>3784</v>
      </c>
    </row>
    <row r="62" spans="3:5" x14ac:dyDescent="0.3">
      <c r="C62" s="4">
        <v>46174.840208333335</v>
      </c>
      <c r="D62" t="s">
        <v>8</v>
      </c>
      <c r="E62" t="s">
        <v>3784</v>
      </c>
    </row>
    <row r="63" spans="3:5" x14ac:dyDescent="0.3">
      <c r="C63" s="4">
        <v>46174.841284722221</v>
      </c>
      <c r="D63" t="s">
        <v>9</v>
      </c>
      <c r="E63" t="s">
        <v>3784</v>
      </c>
    </row>
    <row r="64" spans="3:5" x14ac:dyDescent="0.3">
      <c r="C64" s="4">
        <v>46174.841284722221</v>
      </c>
      <c r="D64" t="s">
        <v>8</v>
      </c>
      <c r="E64" t="s">
        <v>3784</v>
      </c>
    </row>
    <row r="65" spans="3:5" x14ac:dyDescent="0.3">
      <c r="C65" s="4">
        <v>46174.841377314813</v>
      </c>
      <c r="D65" t="s">
        <v>3758</v>
      </c>
      <c r="E65" t="s">
        <v>3784</v>
      </c>
    </row>
    <row r="66" spans="3:5" x14ac:dyDescent="0.3">
      <c r="C66" s="4">
        <v>46174.841527777775</v>
      </c>
      <c r="D66" t="s">
        <v>9</v>
      </c>
      <c r="E66" t="s">
        <v>3784</v>
      </c>
    </row>
    <row r="67" spans="3:5" x14ac:dyDescent="0.3">
      <c r="C67" s="4">
        <v>46174.841527777775</v>
      </c>
      <c r="D67" t="s">
        <v>8</v>
      </c>
      <c r="E67" t="s">
        <v>3784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Início</vt:lpstr>
      <vt:lpstr>Bases</vt:lpstr>
      <vt:lpstr>Dashboard</vt:lpstr>
      <vt:lpstr>Apoio</vt:lpstr>
      <vt:lpstr>Apoio2</vt:lpstr>
      <vt:lpstr>celHab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Cadu Crestana</dc:creator>
  <cp:lastModifiedBy>JOSE GUILHERME DUARTE GARCIA</cp:lastModifiedBy>
  <dcterms:created xsi:type="dcterms:W3CDTF">2019-09-09T13:19:59Z</dcterms:created>
  <dcterms:modified xsi:type="dcterms:W3CDTF">2026-06-01T23:11:48Z</dcterms:modified>
</cp:coreProperties>
</file>